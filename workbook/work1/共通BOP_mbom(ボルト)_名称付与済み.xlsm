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S:\HERP\01_リプラン\002_業務要件定義（ToBe）\02_PLM_Obbligato\02_BOM\02_検討資料\E-BOMマスター\00_マスタ作業用\品目詳細\BOP見直し\BOP\00_マージ\見直し完了\追加BOP完了\"/>
    </mc:Choice>
  </mc:AlternateContent>
  <xr:revisionPtr revIDLastSave="0" documentId="13_ncr:1_{52D5605E-FB75-4AB8-B164-93A2EBB1F1BE}" xr6:coauthVersionLast="47" xr6:coauthVersionMax="47" xr10:uidLastSave="{00000000-0000-0000-0000-000000000000}"/>
  <bookViews>
    <workbookView xWindow="-110" yWindow="-110" windowWidth="19420" windowHeight="11620" xr2:uid="{9A517990-EF23-4262-893C-8BE5F6CA3C4C}"/>
  </bookViews>
  <sheets>
    <sheet name="共通BOP_mbom(ボルト)_名称付与済み" sheetId="1" r:id="rId1"/>
  </sheets>
  <definedNames>
    <definedName name="_xlnm._FilterDatabase" localSheetId="0" hidden="1">'共通BOP_mbom(ボルト)_名称付与済み'!$A$3:$R$4922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23" i="1" l="1"/>
  <c r="Q2420" i="1"/>
  <c r="Q2417" i="1"/>
  <c r="Q2396" i="1"/>
  <c r="Q2393" i="1"/>
  <c r="Q2375" i="1"/>
  <c r="Q2372" i="1"/>
  <c r="Q2348" i="1"/>
  <c r="Q2345" i="1"/>
  <c r="Q2327" i="1"/>
  <c r="Q2324" i="1"/>
  <c r="Q2299" i="1"/>
  <c r="Q2296" i="1"/>
  <c r="Q2278" i="1"/>
  <c r="Q2275" i="1"/>
  <c r="Q2251" i="1"/>
  <c r="Q2248" i="1"/>
  <c r="Q2230" i="1"/>
  <c r="Q2227" i="1"/>
  <c r="Q1194" i="1"/>
  <c r="Q1190" i="1"/>
  <c r="Q1166" i="1"/>
  <c r="Q1162" i="1"/>
  <c r="Q1130" i="1"/>
  <c r="Q1126" i="1"/>
  <c r="Q1102" i="1"/>
  <c r="Q1098" i="1"/>
  <c r="Q1066" i="1"/>
  <c r="Q1062" i="1"/>
  <c r="Q1038" i="1"/>
  <c r="Q1034" i="1"/>
  <c r="Q1001" i="1"/>
  <c r="Q997" i="1"/>
  <c r="Q973" i="1"/>
  <c r="Q937" i="1"/>
  <c r="Q933" i="1"/>
  <c r="Q873" i="1"/>
  <c r="Q869" i="1"/>
  <c r="Q781" i="1"/>
  <c r="Q777" i="1"/>
  <c r="Q713" i="1"/>
  <c r="Q649" i="1"/>
  <c r="Q584" i="1"/>
  <c r="Q520" i="1"/>
  <c r="Q456" i="1"/>
  <c r="Q343" i="1"/>
  <c r="Q278" i="1"/>
  <c r="Q213" i="1"/>
  <c r="Q149" i="1"/>
  <c r="S2435" i="1"/>
  <c r="Q2435" i="1" s="1"/>
  <c r="S2432" i="1"/>
  <c r="Q2432" i="1" s="1"/>
  <c r="S2429" i="1"/>
  <c r="Q2429" i="1" s="1"/>
  <c r="S2426" i="1"/>
  <c r="Q2426" i="1" s="1"/>
  <c r="S2423" i="1"/>
  <c r="S2420" i="1"/>
  <c r="S2417" i="1"/>
  <c r="S2414" i="1"/>
  <c r="Q2414" i="1" s="1"/>
  <c r="S2411" i="1"/>
  <c r="Q2411" i="1" s="1"/>
  <c r="S2408" i="1"/>
  <c r="Q2408" i="1" s="1"/>
  <c r="S2405" i="1"/>
  <c r="Q2405" i="1" s="1"/>
  <c r="S2402" i="1"/>
  <c r="Q2402" i="1" s="1"/>
  <c r="S2399" i="1"/>
  <c r="Q2399" i="1" s="1"/>
  <c r="S2396" i="1"/>
  <c r="S2393" i="1"/>
  <c r="S2390" i="1"/>
  <c r="Q2390" i="1" s="1"/>
  <c r="S2387" i="1"/>
  <c r="Q2387" i="1" s="1"/>
  <c r="S2384" i="1"/>
  <c r="Q2384" i="1" s="1"/>
  <c r="S2381" i="1"/>
  <c r="Q2381" i="1" s="1"/>
  <c r="S2378" i="1"/>
  <c r="Q2378" i="1" s="1"/>
  <c r="S2375" i="1"/>
  <c r="S2372" i="1"/>
  <c r="S2369" i="1"/>
  <c r="Q2369" i="1" s="1"/>
  <c r="S2366" i="1"/>
  <c r="Q2366" i="1" s="1"/>
  <c r="S2363" i="1"/>
  <c r="Q2363" i="1" s="1"/>
  <c r="S2360" i="1"/>
  <c r="Q2360" i="1" s="1"/>
  <c r="S2357" i="1"/>
  <c r="Q2357" i="1" s="1"/>
  <c r="S2354" i="1"/>
  <c r="Q2354" i="1" s="1"/>
  <c r="S2351" i="1"/>
  <c r="Q2351" i="1" s="1"/>
  <c r="S2348" i="1"/>
  <c r="S2345" i="1"/>
  <c r="S2342" i="1"/>
  <c r="Q2342" i="1" s="1"/>
  <c r="S2339" i="1"/>
  <c r="Q2339" i="1" s="1"/>
  <c r="S2336" i="1"/>
  <c r="Q2336" i="1" s="1"/>
  <c r="S2333" i="1"/>
  <c r="Q2333" i="1" s="1"/>
  <c r="S2330" i="1"/>
  <c r="Q2330" i="1" s="1"/>
  <c r="S2327" i="1"/>
  <c r="S2324" i="1"/>
  <c r="S2321" i="1"/>
  <c r="Q2321" i="1" s="1"/>
  <c r="S2318" i="1"/>
  <c r="Q2318" i="1" s="1"/>
  <c r="S2315" i="1"/>
  <c r="Q2315" i="1" s="1"/>
  <c r="S2312" i="1"/>
  <c r="Q2312" i="1" s="1"/>
  <c r="S2309" i="1"/>
  <c r="Q2309" i="1" s="1"/>
  <c r="S2306" i="1"/>
  <c r="Q2306" i="1" s="1"/>
  <c r="S2302" i="1"/>
  <c r="Q2302" i="1" s="1"/>
  <c r="S2299" i="1"/>
  <c r="S2296" i="1"/>
  <c r="S2293" i="1"/>
  <c r="Q2293" i="1" s="1"/>
  <c r="S2290" i="1"/>
  <c r="Q2290" i="1" s="1"/>
  <c r="S2287" i="1"/>
  <c r="Q2287" i="1" s="1"/>
  <c r="S2284" i="1"/>
  <c r="Q2284" i="1" s="1"/>
  <c r="S2281" i="1"/>
  <c r="Q2281" i="1" s="1"/>
  <c r="S2278" i="1"/>
  <c r="S2275" i="1"/>
  <c r="S2272" i="1"/>
  <c r="Q2272" i="1" s="1"/>
  <c r="S2269" i="1"/>
  <c r="Q2269" i="1" s="1"/>
  <c r="S2266" i="1"/>
  <c r="Q2266" i="1" s="1"/>
  <c r="S2263" i="1"/>
  <c r="Q2263" i="1" s="1"/>
  <c r="S2260" i="1"/>
  <c r="Q2260" i="1" s="1"/>
  <c r="S2257" i="1"/>
  <c r="Q2257" i="1" s="1"/>
  <c r="S2254" i="1"/>
  <c r="Q2254" i="1" s="1"/>
  <c r="S2251" i="1"/>
  <c r="S2248" i="1"/>
  <c r="S2245" i="1"/>
  <c r="Q2245" i="1" s="1"/>
  <c r="S2242" i="1"/>
  <c r="Q2242" i="1" s="1"/>
  <c r="S2239" i="1"/>
  <c r="Q2239" i="1" s="1"/>
  <c r="S2236" i="1"/>
  <c r="Q2236" i="1" s="1"/>
  <c r="S2233" i="1"/>
  <c r="Q2233" i="1" s="1"/>
  <c r="S2230" i="1"/>
  <c r="S2227" i="1"/>
  <c r="S2224" i="1"/>
  <c r="Q2224" i="1" s="1"/>
  <c r="S2221" i="1"/>
  <c r="Q2221" i="1" s="1"/>
  <c r="S2218" i="1"/>
  <c r="Q2218" i="1" s="1"/>
  <c r="S2214" i="1"/>
  <c r="Q2214" i="1" s="1"/>
  <c r="S1206" i="1"/>
  <c r="Q1206" i="1" s="1"/>
  <c r="S1202" i="1"/>
  <c r="Q1202" i="1" s="1"/>
  <c r="S1198" i="1"/>
  <c r="Q1198" i="1" s="1"/>
  <c r="S1194" i="1"/>
  <c r="S1190" i="1"/>
  <c r="S1186" i="1"/>
  <c r="Q1186" i="1" s="1"/>
  <c r="S1182" i="1"/>
  <c r="Q1182" i="1" s="1"/>
  <c r="S1178" i="1"/>
  <c r="Q1178" i="1" s="1"/>
  <c r="S1174" i="1"/>
  <c r="Q1174" i="1" s="1"/>
  <c r="S1170" i="1"/>
  <c r="Q1170" i="1" s="1"/>
  <c r="S1166" i="1"/>
  <c r="S1162" i="1"/>
  <c r="S1158" i="1"/>
  <c r="Q1158" i="1" s="1"/>
  <c r="S1154" i="1"/>
  <c r="Q1154" i="1" s="1"/>
  <c r="S1150" i="1"/>
  <c r="Q1150" i="1" s="1"/>
  <c r="S1146" i="1"/>
  <c r="Q1146" i="1" s="1"/>
  <c r="S1142" i="1"/>
  <c r="Q1142" i="1" s="1"/>
  <c r="S1138" i="1"/>
  <c r="Q1138" i="1" s="1"/>
  <c r="S1134" i="1"/>
  <c r="Q1134" i="1" s="1"/>
  <c r="S1130" i="1"/>
  <c r="S1126" i="1"/>
  <c r="S1122" i="1"/>
  <c r="Q1122" i="1" s="1"/>
  <c r="S1118" i="1"/>
  <c r="Q1118" i="1" s="1"/>
  <c r="S1114" i="1"/>
  <c r="Q1114" i="1" s="1"/>
  <c r="S1110" i="1"/>
  <c r="Q1110" i="1" s="1"/>
  <c r="S1106" i="1"/>
  <c r="Q1106" i="1" s="1"/>
  <c r="S1102" i="1"/>
  <c r="S1098" i="1"/>
  <c r="S1094" i="1"/>
  <c r="Q1094" i="1" s="1"/>
  <c r="S1090" i="1"/>
  <c r="Q1090" i="1" s="1"/>
  <c r="S1086" i="1"/>
  <c r="Q1086" i="1" s="1"/>
  <c r="S1082" i="1"/>
  <c r="Q1082" i="1" s="1"/>
  <c r="S1078" i="1"/>
  <c r="Q1078" i="1" s="1"/>
  <c r="S1074" i="1"/>
  <c r="Q1074" i="1" s="1"/>
  <c r="S1070" i="1"/>
  <c r="Q1070" i="1" s="1"/>
  <c r="S1066" i="1"/>
  <c r="S1062" i="1"/>
  <c r="S1058" i="1"/>
  <c r="Q1058" i="1" s="1"/>
  <c r="S1054" i="1"/>
  <c r="Q1054" i="1" s="1"/>
  <c r="S1050" i="1"/>
  <c r="Q1050" i="1" s="1"/>
  <c r="S1046" i="1"/>
  <c r="Q1046" i="1" s="1"/>
  <c r="S1042" i="1"/>
  <c r="Q1042" i="1" s="1"/>
  <c r="S1038" i="1"/>
  <c r="S1034" i="1"/>
  <c r="S1030" i="1"/>
  <c r="Q1030" i="1" s="1"/>
  <c r="S1025" i="1"/>
  <c r="Q1025" i="1" s="1"/>
  <c r="S1021" i="1"/>
  <c r="Q1021" i="1" s="1"/>
  <c r="S1017" i="1"/>
  <c r="Q1017" i="1" s="1"/>
  <c r="S1013" i="1"/>
  <c r="Q1013" i="1" s="1"/>
  <c r="S1009" i="1"/>
  <c r="Q1009" i="1" s="1"/>
  <c r="S1005" i="1"/>
  <c r="Q1005" i="1" s="1"/>
  <c r="S1001" i="1"/>
  <c r="S997" i="1"/>
  <c r="S993" i="1"/>
  <c r="Q993" i="1" s="1"/>
  <c r="S989" i="1"/>
  <c r="Q989" i="1" s="1"/>
  <c r="S985" i="1"/>
  <c r="Q985" i="1" s="1"/>
  <c r="S981" i="1"/>
  <c r="Q981" i="1" s="1"/>
  <c r="S977" i="1"/>
  <c r="Q977" i="1" s="1"/>
  <c r="S973" i="1"/>
  <c r="S969" i="1"/>
  <c r="Q969" i="1" s="1"/>
  <c r="S965" i="1"/>
  <c r="Q965" i="1" s="1"/>
  <c r="S961" i="1"/>
  <c r="Q961" i="1" s="1"/>
  <c r="S957" i="1"/>
  <c r="Q957" i="1" s="1"/>
  <c r="S953" i="1"/>
  <c r="Q953" i="1" s="1"/>
  <c r="S949" i="1"/>
  <c r="Q949" i="1" s="1"/>
  <c r="S945" i="1"/>
  <c r="Q945" i="1" s="1"/>
  <c r="S941" i="1"/>
  <c r="Q941" i="1" s="1"/>
  <c r="S937" i="1"/>
  <c r="S933" i="1"/>
  <c r="S929" i="1"/>
  <c r="Q929" i="1" s="1"/>
  <c r="S925" i="1"/>
  <c r="Q925" i="1" s="1"/>
  <c r="S921" i="1"/>
  <c r="Q921" i="1" s="1"/>
  <c r="S917" i="1"/>
  <c r="Q917" i="1" s="1"/>
  <c r="S913" i="1"/>
  <c r="Q913" i="1" s="1"/>
  <c r="S909" i="1"/>
  <c r="Q909" i="1" s="1"/>
  <c r="S905" i="1"/>
  <c r="Q905" i="1" s="1"/>
  <c r="S901" i="1"/>
  <c r="Q901" i="1" s="1"/>
  <c r="S897" i="1"/>
  <c r="Q897" i="1" s="1"/>
  <c r="S893" i="1"/>
  <c r="Q893" i="1" s="1"/>
  <c r="S889" i="1"/>
  <c r="Q889" i="1" s="1"/>
  <c r="S885" i="1"/>
  <c r="Q885" i="1" s="1"/>
  <c r="S881" i="1"/>
  <c r="Q881" i="1" s="1"/>
  <c r="S877" i="1"/>
  <c r="Q877" i="1" s="1"/>
  <c r="S873" i="1"/>
  <c r="S869" i="1"/>
  <c r="S865" i="1"/>
  <c r="Q865" i="1" s="1"/>
  <c r="S861" i="1"/>
  <c r="Q861" i="1" s="1"/>
  <c r="S857" i="1"/>
  <c r="Q857" i="1" s="1"/>
  <c r="S853" i="1"/>
  <c r="Q853" i="1" s="1"/>
  <c r="S849" i="1"/>
  <c r="Q849" i="1" s="1"/>
  <c r="S845" i="1"/>
  <c r="Q845" i="1" s="1"/>
  <c r="S841" i="1"/>
  <c r="Q841" i="1" s="1"/>
  <c r="S837" i="1"/>
  <c r="Q837" i="1" s="1"/>
  <c r="S833" i="1"/>
  <c r="Q833" i="1" s="1"/>
  <c r="S829" i="1"/>
  <c r="Q829" i="1" s="1"/>
  <c r="S825" i="1"/>
  <c r="Q825" i="1" s="1"/>
  <c r="S821" i="1"/>
  <c r="Q821" i="1" s="1"/>
  <c r="S816" i="1"/>
  <c r="Q816" i="1" s="1"/>
  <c r="S785" i="1"/>
  <c r="Q785" i="1" s="1"/>
  <c r="S781" i="1"/>
  <c r="S777" i="1"/>
  <c r="S773" i="1"/>
  <c r="Q773" i="1" s="1"/>
  <c r="S769" i="1"/>
  <c r="Q769" i="1" s="1"/>
  <c r="S765" i="1"/>
  <c r="Q765" i="1" s="1"/>
  <c r="S761" i="1"/>
  <c r="Q761" i="1" s="1"/>
  <c r="S757" i="1"/>
  <c r="Q757" i="1" s="1"/>
  <c r="S753" i="1"/>
  <c r="Q753" i="1" s="1"/>
  <c r="S749" i="1"/>
  <c r="Q749" i="1" s="1"/>
  <c r="S745" i="1"/>
  <c r="Q745" i="1" s="1"/>
  <c r="S741" i="1"/>
  <c r="Q741" i="1" s="1"/>
  <c r="S737" i="1"/>
  <c r="Q737" i="1" s="1"/>
  <c r="S733" i="1"/>
  <c r="Q733" i="1" s="1"/>
  <c r="S729" i="1"/>
  <c r="Q729" i="1" s="1"/>
  <c r="S725" i="1"/>
  <c r="Q725" i="1" s="1"/>
  <c r="S721" i="1"/>
  <c r="Q721" i="1" s="1"/>
  <c r="S717" i="1"/>
  <c r="Q717" i="1" s="1"/>
  <c r="S713" i="1"/>
  <c r="S709" i="1"/>
  <c r="Q709" i="1" s="1"/>
  <c r="S705" i="1"/>
  <c r="Q705" i="1" s="1"/>
  <c r="S701" i="1"/>
  <c r="Q701" i="1" s="1"/>
  <c r="S697" i="1"/>
  <c r="Q697" i="1" s="1"/>
  <c r="S693" i="1"/>
  <c r="Q693" i="1" s="1"/>
  <c r="S689" i="1"/>
  <c r="Q689" i="1" s="1"/>
  <c r="S685" i="1"/>
  <c r="Q685" i="1" s="1"/>
  <c r="S681" i="1"/>
  <c r="Q681" i="1" s="1"/>
  <c r="S677" i="1"/>
  <c r="Q677" i="1" s="1"/>
  <c r="S673" i="1"/>
  <c r="Q673" i="1" s="1"/>
  <c r="S669" i="1"/>
  <c r="Q669" i="1" s="1"/>
  <c r="S665" i="1"/>
  <c r="Q665" i="1" s="1"/>
  <c r="S661" i="1"/>
  <c r="Q661" i="1" s="1"/>
  <c r="S657" i="1"/>
  <c r="Q657" i="1" s="1"/>
  <c r="S653" i="1"/>
  <c r="Q653" i="1" s="1"/>
  <c r="S649" i="1"/>
  <c r="S645" i="1"/>
  <c r="Q645" i="1" s="1"/>
  <c r="S641" i="1"/>
  <c r="Q641" i="1" s="1"/>
  <c r="S637" i="1"/>
  <c r="Q637" i="1" s="1"/>
  <c r="S632" i="1"/>
  <c r="Q632" i="1" s="1"/>
  <c r="S628" i="1"/>
  <c r="Q628" i="1" s="1"/>
  <c r="S624" i="1"/>
  <c r="Q624" i="1" s="1"/>
  <c r="S620" i="1"/>
  <c r="Q620" i="1" s="1"/>
  <c r="S616" i="1"/>
  <c r="Q616" i="1" s="1"/>
  <c r="S612" i="1"/>
  <c r="Q612" i="1" s="1"/>
  <c r="S608" i="1"/>
  <c r="Q608" i="1" s="1"/>
  <c r="S604" i="1"/>
  <c r="Q604" i="1" s="1"/>
  <c r="S600" i="1"/>
  <c r="Q600" i="1" s="1"/>
  <c r="S596" i="1"/>
  <c r="Q596" i="1" s="1"/>
  <c r="S592" i="1"/>
  <c r="Q592" i="1" s="1"/>
  <c r="S588" i="1"/>
  <c r="Q588" i="1" s="1"/>
  <c r="S584" i="1"/>
  <c r="S580" i="1"/>
  <c r="Q580" i="1" s="1"/>
  <c r="S576" i="1"/>
  <c r="Q576" i="1" s="1"/>
  <c r="S572" i="1"/>
  <c r="Q572" i="1" s="1"/>
  <c r="S568" i="1"/>
  <c r="Q568" i="1" s="1"/>
  <c r="S564" i="1"/>
  <c r="Q564" i="1" s="1"/>
  <c r="S560" i="1"/>
  <c r="Q560" i="1" s="1"/>
  <c r="S556" i="1"/>
  <c r="Q556" i="1" s="1"/>
  <c r="S552" i="1"/>
  <c r="Q552" i="1" s="1"/>
  <c r="S548" i="1"/>
  <c r="Q548" i="1" s="1"/>
  <c r="S544" i="1"/>
  <c r="Q544" i="1" s="1"/>
  <c r="S540" i="1"/>
  <c r="Q540" i="1" s="1"/>
  <c r="S536" i="1"/>
  <c r="Q536" i="1" s="1"/>
  <c r="S532" i="1"/>
  <c r="Q532" i="1" s="1"/>
  <c r="S528" i="1"/>
  <c r="Q528" i="1" s="1"/>
  <c r="S524" i="1"/>
  <c r="Q524" i="1" s="1"/>
  <c r="S520" i="1"/>
  <c r="S516" i="1"/>
  <c r="Q516" i="1" s="1"/>
  <c r="S512" i="1"/>
  <c r="Q512" i="1" s="1"/>
  <c r="S508" i="1"/>
  <c r="Q508" i="1" s="1"/>
  <c r="S504" i="1"/>
  <c r="Q504" i="1" s="1"/>
  <c r="S500" i="1"/>
  <c r="Q500" i="1" s="1"/>
  <c r="S496" i="1"/>
  <c r="Q496" i="1" s="1"/>
  <c r="S492" i="1"/>
  <c r="Q492" i="1" s="1"/>
  <c r="S488" i="1"/>
  <c r="Q488" i="1" s="1"/>
  <c r="S484" i="1"/>
  <c r="Q484" i="1" s="1"/>
  <c r="S480" i="1"/>
  <c r="Q480" i="1" s="1"/>
  <c r="S476" i="1"/>
  <c r="Q476" i="1" s="1"/>
  <c r="S472" i="1"/>
  <c r="Q472" i="1" s="1"/>
  <c r="S468" i="1"/>
  <c r="Q468" i="1" s="1"/>
  <c r="S464" i="1"/>
  <c r="Q464" i="1" s="1"/>
  <c r="S460" i="1"/>
  <c r="Q460" i="1" s="1"/>
  <c r="S456" i="1"/>
  <c r="S452" i="1"/>
  <c r="Q452" i="1" s="1"/>
  <c r="S448" i="1"/>
  <c r="Q448" i="1" s="1"/>
  <c r="S444" i="1"/>
  <c r="Q444" i="1" s="1"/>
  <c r="S440" i="1"/>
  <c r="Q440" i="1" s="1"/>
  <c r="S436" i="1"/>
  <c r="Q436" i="1" s="1"/>
  <c r="S432" i="1"/>
  <c r="Q432" i="1" s="1"/>
  <c r="S428" i="1"/>
  <c r="Q428" i="1" s="1"/>
  <c r="S424" i="1"/>
  <c r="Q424" i="1" s="1"/>
  <c r="S420" i="1"/>
  <c r="Q420" i="1" s="1"/>
  <c r="S416" i="1"/>
  <c r="Q416" i="1" s="1"/>
  <c r="S411" i="1"/>
  <c r="Q411" i="1" s="1"/>
  <c r="S359" i="1"/>
  <c r="Q359" i="1" s="1"/>
  <c r="S355" i="1"/>
  <c r="Q355" i="1" s="1"/>
  <c r="S351" i="1"/>
  <c r="Q351" i="1" s="1"/>
  <c r="S347" i="1"/>
  <c r="Q347" i="1" s="1"/>
  <c r="S343" i="1"/>
  <c r="S339" i="1"/>
  <c r="Q339" i="1" s="1"/>
  <c r="S335" i="1"/>
  <c r="Q335" i="1" s="1"/>
  <c r="S331" i="1"/>
  <c r="Q331" i="1" s="1"/>
  <c r="S327" i="1"/>
  <c r="Q327" i="1" s="1"/>
  <c r="S323" i="1"/>
  <c r="Q323" i="1" s="1"/>
  <c r="S319" i="1"/>
  <c r="Q319" i="1" s="1"/>
  <c r="S315" i="1"/>
  <c r="Q315" i="1" s="1"/>
  <c r="S311" i="1"/>
  <c r="Q311" i="1" s="1"/>
  <c r="S307" i="1"/>
  <c r="Q307" i="1" s="1"/>
  <c r="S302" i="1"/>
  <c r="Q302" i="1" s="1"/>
  <c r="S298" i="1"/>
  <c r="Q298" i="1" s="1"/>
  <c r="S294" i="1"/>
  <c r="Q294" i="1" s="1"/>
  <c r="S290" i="1"/>
  <c r="Q290" i="1" s="1"/>
  <c r="S286" i="1"/>
  <c r="Q286" i="1" s="1"/>
  <c r="S282" i="1"/>
  <c r="Q282" i="1" s="1"/>
  <c r="S278" i="1"/>
  <c r="S274" i="1"/>
  <c r="Q274" i="1" s="1"/>
  <c r="S270" i="1"/>
  <c r="Q270" i="1" s="1"/>
  <c r="S266" i="1"/>
  <c r="Q266" i="1" s="1"/>
  <c r="S262" i="1"/>
  <c r="Q262" i="1" s="1"/>
  <c r="S258" i="1"/>
  <c r="Q258" i="1" s="1"/>
  <c r="S254" i="1"/>
  <c r="Q254" i="1" s="1"/>
  <c r="S250" i="1"/>
  <c r="Q250" i="1" s="1"/>
  <c r="S246" i="1"/>
  <c r="Q246" i="1" s="1"/>
  <c r="S241" i="1"/>
  <c r="Q241" i="1" s="1"/>
  <c r="S237" i="1"/>
  <c r="Q237" i="1" s="1"/>
  <c r="S233" i="1"/>
  <c r="Q233" i="1" s="1"/>
  <c r="S229" i="1"/>
  <c r="Q229" i="1" s="1"/>
  <c r="S225" i="1"/>
  <c r="Q225" i="1" s="1"/>
  <c r="S221" i="1"/>
  <c r="Q221" i="1" s="1"/>
  <c r="S217" i="1"/>
  <c r="Q217" i="1" s="1"/>
  <c r="S213" i="1"/>
  <c r="S209" i="1"/>
  <c r="Q209" i="1" s="1"/>
  <c r="S205" i="1"/>
  <c r="Q205" i="1" s="1"/>
  <c r="S201" i="1"/>
  <c r="Q201" i="1" s="1"/>
  <c r="S197" i="1"/>
  <c r="Q197" i="1" s="1"/>
  <c r="S193" i="1"/>
  <c r="Q193" i="1" s="1"/>
  <c r="S189" i="1"/>
  <c r="Q189" i="1" s="1"/>
  <c r="S185" i="1"/>
  <c r="Q185" i="1" s="1"/>
  <c r="S181" i="1"/>
  <c r="Q181" i="1" s="1"/>
  <c r="S177" i="1"/>
  <c r="Q177" i="1" s="1"/>
  <c r="S173" i="1"/>
  <c r="Q173" i="1" s="1"/>
  <c r="S169" i="1"/>
  <c r="Q169" i="1" s="1"/>
  <c r="S165" i="1"/>
  <c r="Q165" i="1" s="1"/>
  <c r="S161" i="1"/>
  <c r="Q161" i="1" s="1"/>
  <c r="S157" i="1"/>
  <c r="Q157" i="1" s="1"/>
  <c r="S153" i="1"/>
  <c r="Q153" i="1" s="1"/>
  <c r="S149" i="1"/>
  <c r="S145" i="1"/>
  <c r="Q145" i="1" s="1"/>
  <c r="S141" i="1"/>
  <c r="Q141" i="1" s="1"/>
  <c r="S137" i="1"/>
  <c r="Q137" i="1" s="1"/>
  <c r="S133" i="1"/>
  <c r="Q133" i="1" s="1"/>
  <c r="S129" i="1"/>
  <c r="Q129" i="1" s="1"/>
  <c r="S124" i="1"/>
  <c r="Q124" i="1" s="1"/>
  <c r="Q120" i="1"/>
  <c r="Q116" i="1"/>
  <c r="Q112" i="1"/>
  <c r="Q108" i="1"/>
  <c r="Q104" i="1"/>
  <c r="Q88" i="1"/>
  <c r="Q80" i="1"/>
  <c r="Q76" i="1"/>
  <c r="Q72" i="1"/>
  <c r="Q52" i="1"/>
  <c r="Q48" i="1"/>
  <c r="Q44" i="1"/>
  <c r="Q40" i="1"/>
  <c r="Q24" i="1"/>
  <c r="Q16" i="1"/>
  <c r="Q12" i="1"/>
  <c r="Q7" i="1"/>
  <c r="S120" i="1"/>
  <c r="S116" i="1"/>
  <c r="S112" i="1"/>
  <c r="S108" i="1"/>
  <c r="S104" i="1"/>
  <c r="S100" i="1"/>
  <c r="Q100" i="1" s="1"/>
  <c r="S96" i="1"/>
  <c r="Q96" i="1" s="1"/>
  <c r="S92" i="1"/>
  <c r="Q92" i="1" s="1"/>
  <c r="S88" i="1"/>
  <c r="S84" i="1"/>
  <c r="Q84" i="1" s="1"/>
  <c r="S80" i="1"/>
  <c r="S76" i="1"/>
  <c r="S72" i="1"/>
  <c r="S68" i="1"/>
  <c r="Q68" i="1" s="1"/>
  <c r="S64" i="1"/>
  <c r="Q64" i="1" s="1"/>
  <c r="S60" i="1"/>
  <c r="Q60" i="1" s="1"/>
  <c r="S56" i="1"/>
  <c r="Q56" i="1" s="1"/>
  <c r="S52" i="1"/>
  <c r="S48" i="1"/>
  <c r="S44" i="1"/>
  <c r="S40" i="1"/>
  <c r="S36" i="1"/>
  <c r="Q36" i="1" s="1"/>
  <c r="S32" i="1"/>
  <c r="Q32" i="1" s="1"/>
  <c r="S28" i="1"/>
  <c r="Q28" i="1" s="1"/>
  <c r="S24" i="1"/>
  <c r="S20" i="1"/>
  <c r="Q20" i="1" s="1"/>
  <c r="S16" i="1"/>
  <c r="S12" i="1"/>
  <c r="S7" i="1"/>
</calcChain>
</file>

<file path=xl/sharedStrings.xml><?xml version="1.0" encoding="utf-8"?>
<sst xmlns="http://schemas.openxmlformats.org/spreadsheetml/2006/main" count="31018" uniqueCount="5678">
  <si>
    <t>mbomKey</t>
  </si>
  <si>
    <t>ebomQoid</t>
  </si>
  <si>
    <t>parentPartNumber</t>
  </si>
  <si>
    <t>parentModelName</t>
  </si>
  <si>
    <t>parentCompanyCode</t>
  </si>
  <si>
    <t>parentFactoryCode</t>
  </si>
  <si>
    <t>parentLocationCode</t>
  </si>
  <si>
    <t>partNumber</t>
  </si>
  <si>
    <t>modelName</t>
  </si>
  <si>
    <t>companyCode</t>
  </si>
  <si>
    <t>factoryCode</t>
  </si>
  <si>
    <t>locationCode</t>
  </si>
  <si>
    <t>orderNumber</t>
  </si>
  <si>
    <t>supplyProcessKey</t>
  </si>
  <si>
    <t>MBOMキー</t>
  </si>
  <si>
    <t>親品番</t>
  </si>
  <si>
    <t>親品目の内部名</t>
  </si>
  <si>
    <t>親品目の会社コード</t>
  </si>
  <si>
    <t>親品目の工場コード</t>
  </si>
  <si>
    <t>親品目の製造場所コード</t>
  </si>
  <si>
    <t>子品番</t>
  </si>
  <si>
    <t>子品目の内部名</t>
  </si>
  <si>
    <t>子品目の会社コード</t>
  </si>
  <si>
    <t>子品目の工場コード</t>
  </si>
  <si>
    <t>子品目の製造場所コード</t>
  </si>
  <si>
    <t>有効製番</t>
  </si>
  <si>
    <t>工程キー</t>
  </si>
  <si>
    <t>MBOM0</t>
  </si>
  <si>
    <t>Dummy000013</t>
  </si>
  <si>
    <t>$D_PS_PhantomPart</t>
  </si>
  <si>
    <t>HSK</t>
  </si>
  <si>
    <t>WG01</t>
  </si>
  <si>
    <t>MBOM1</t>
  </si>
  <si>
    <t>H0000029642</t>
  </si>
  <si>
    <t>締付ボルト_SS400_三価クロメート_M30x275L</t>
  </si>
  <si>
    <t>$D_PS_OutsourcingPart</t>
  </si>
  <si>
    <t>L00013</t>
  </si>
  <si>
    <t>H0000091400</t>
  </si>
  <si>
    <t>締付ボルト_SS400_仕上無し_M30x275L</t>
  </si>
  <si>
    <t>$D_PS_InHousePart</t>
  </si>
  <si>
    <t>WP007</t>
  </si>
  <si>
    <t>MBOM2</t>
  </si>
  <si>
    <t>H0000029643</t>
  </si>
  <si>
    <t>締付ボルト_SS400_三価クロメート_M30x375L</t>
  </si>
  <si>
    <t>H0000091401</t>
  </si>
  <si>
    <t>締付ボルト_SS400_仕上無し_M30x375L</t>
  </si>
  <si>
    <t>MBOM3</t>
  </si>
  <si>
    <t>H0000029644</t>
  </si>
  <si>
    <t>締付ボルト_SS400_三価クロメート_M30x475L</t>
  </si>
  <si>
    <t>H0000091402</t>
  </si>
  <si>
    <t>締付ボルト_SS400_仕上無し_M30x475L</t>
  </si>
  <si>
    <t>MBOM4</t>
  </si>
  <si>
    <t>H0000029645</t>
  </si>
  <si>
    <t>締付ボルト_SS400_三価クロメート_M30x575L</t>
  </si>
  <si>
    <t>H0000091403</t>
  </si>
  <si>
    <t>締付ボルト_SS400_仕上無し_M30x575L</t>
  </si>
  <si>
    <t>MBOM5</t>
  </si>
  <si>
    <t>H0000029646</t>
  </si>
  <si>
    <t>締付ボルト_SS400_三価クロメート_M30x675L</t>
  </si>
  <si>
    <t>H0000091404</t>
  </si>
  <si>
    <t>締付ボルト_SS400_仕上無し_M30x675L</t>
  </si>
  <si>
    <t>MBOM6</t>
  </si>
  <si>
    <t>H0000029647</t>
  </si>
  <si>
    <t>締付ボルト_SS400_三価クロメート_M30x775L</t>
  </si>
  <si>
    <t>H0000091405</t>
  </si>
  <si>
    <t>締付ボルト_SS400_仕上無し_M30x775L</t>
  </si>
  <si>
    <t>MBOM7</t>
  </si>
  <si>
    <t>H0000029648</t>
  </si>
  <si>
    <t>締付ボルト_SS400_三価クロメート_M30x875L</t>
  </si>
  <si>
    <t>H0000091406</t>
  </si>
  <si>
    <t>締付ボルト_SS400_仕上無し_M30x875L</t>
  </si>
  <si>
    <t>MBOM8</t>
  </si>
  <si>
    <t>H0000029649</t>
  </si>
  <si>
    <t>締付ボルト_SS400_三価クロメート_M30x975L</t>
  </si>
  <si>
    <t>H0000091407</t>
  </si>
  <si>
    <t>締付ボルト_SS400_仕上無し_M30x975L</t>
  </si>
  <si>
    <t>MBOM9</t>
  </si>
  <si>
    <t>H0000029650</t>
  </si>
  <si>
    <t>締付ボルト_SS400_三価クロメート_M30x1075L</t>
  </si>
  <si>
    <t>H0000091408</t>
  </si>
  <si>
    <t>締付ボルト_SS400_仕上無し_M30x1075L</t>
  </si>
  <si>
    <t>MBOM10</t>
  </si>
  <si>
    <t>H0000029651</t>
  </si>
  <si>
    <t>締付ボルト_SS400_三価クロメート_M30x1175L</t>
  </si>
  <si>
    <t>H0000091409</t>
  </si>
  <si>
    <t>締付ボルト_SS400_仕上無し_M30x1175L</t>
  </si>
  <si>
    <t>MBOM11</t>
  </si>
  <si>
    <t>H0000029652</t>
  </si>
  <si>
    <t>締付ボルト_SS400_三価クロメート_M30x1275L</t>
  </si>
  <si>
    <t>H0000091410</t>
  </si>
  <si>
    <t>締付ボルト_SS400_仕上無し_M30x1275L</t>
  </si>
  <si>
    <t>MBOM12</t>
  </si>
  <si>
    <t>H0000029653</t>
  </si>
  <si>
    <t>締付ボルト_SNB7_三価クロメート_M30x275L</t>
  </si>
  <si>
    <t>H0000091411</t>
  </si>
  <si>
    <t>締付ボルト_SNB7_仕上無し_M30x275L</t>
  </si>
  <si>
    <t>MBOM13</t>
  </si>
  <si>
    <t>H0000029654</t>
  </si>
  <si>
    <t>締付ボルト_SNB7_三価クロメート_M30x375L</t>
  </si>
  <si>
    <t>H0000091412</t>
  </si>
  <si>
    <t>締付ボルト_SNB7_仕上無し_M30x375L</t>
  </si>
  <si>
    <t>MBOM14</t>
  </si>
  <si>
    <t>H0000029655</t>
  </si>
  <si>
    <t>締付ボルト_SNB7_三価クロメート_M30x475L</t>
  </si>
  <si>
    <t>H0000091413</t>
  </si>
  <si>
    <t>締付ボルト_SNB7_仕上無し_M30x475L</t>
  </si>
  <si>
    <t>MBOM15</t>
  </si>
  <si>
    <t>H0000029656</t>
  </si>
  <si>
    <t>締付ボルト_SNB7_三価クロメート_M30x575L</t>
  </si>
  <si>
    <t>H0000091414</t>
  </si>
  <si>
    <t>締付ボルト_SNB7_仕上無し_M30x575L</t>
  </si>
  <si>
    <t>MBOM16</t>
  </si>
  <si>
    <t>H0000029657</t>
  </si>
  <si>
    <t>締付ボルト_SNB7_三価クロメート_M30x675L</t>
  </si>
  <si>
    <t>H0000091415</t>
  </si>
  <si>
    <t>締付ボルト_SNB7_仕上無し_M30x675L</t>
  </si>
  <si>
    <t>MBOM17</t>
  </si>
  <si>
    <t>H0000029658</t>
  </si>
  <si>
    <t>締付ボルト_SNB7_三価クロメート_M30x775L</t>
  </si>
  <si>
    <t>H0000091416</t>
  </si>
  <si>
    <t>締付ボルト_SNB7_仕上無し_M30x775L</t>
  </si>
  <si>
    <t>MBOM18</t>
  </si>
  <si>
    <t>H0000029659</t>
  </si>
  <si>
    <t>締付ボルト_SNB7_三価クロメート_M30x875L</t>
  </si>
  <si>
    <t>H0000091417</t>
  </si>
  <si>
    <t>締付ボルト_SNB7_仕上無し_M30x875L</t>
  </si>
  <si>
    <t>MBOM19</t>
  </si>
  <si>
    <t>H0000029660</t>
  </si>
  <si>
    <t>締付ボルト_SNB7_三価クロメート_M30x975L</t>
  </si>
  <si>
    <t>H0000091418</t>
  </si>
  <si>
    <t>締付ボルト_SNB7_仕上無し_M30x975L</t>
  </si>
  <si>
    <t>MBOM20</t>
  </si>
  <si>
    <t>H0000029661</t>
  </si>
  <si>
    <t>締付ボルト_SNB7_三価クロメート_M30x1075L</t>
  </si>
  <si>
    <t>H0000091419</t>
  </si>
  <si>
    <t>締付ボルト_SNB7_仕上無し_M30x1075L</t>
  </si>
  <si>
    <t>MBOM21</t>
  </si>
  <si>
    <t>H0000029662</t>
  </si>
  <si>
    <t>締付ボルト_SNB7_三価クロメート_M30x1175L</t>
  </si>
  <si>
    <t>H0000091420</t>
  </si>
  <si>
    <t>締付ボルト_SNB7_仕上無し_M30x1175L</t>
  </si>
  <si>
    <t>MBOM22</t>
  </si>
  <si>
    <t>H0000029663</t>
  </si>
  <si>
    <t>締付ボルト_SNB7_三価クロメート_M30x1275L</t>
  </si>
  <si>
    <t>H0000091421</t>
  </si>
  <si>
    <t>締付ボルト_SNB7_仕上無し_M30x1275L</t>
  </si>
  <si>
    <t>MBOM23</t>
  </si>
  <si>
    <t>H0000029675</t>
  </si>
  <si>
    <t>締付ボルト_SS400_三価クロメート_M24x280L</t>
  </si>
  <si>
    <t>H0000091422</t>
  </si>
  <si>
    <t>締付ボルト_SS400_仕上無し_M24x280L</t>
  </si>
  <si>
    <t>MBOM24</t>
  </si>
  <si>
    <t>H0000029676</t>
  </si>
  <si>
    <t>締付ボルト_SS400_三価クロメート_M24x380L</t>
  </si>
  <si>
    <t>H0000091423</t>
  </si>
  <si>
    <t>締付ボルト_SS400_仕上無し_M24x380L</t>
  </si>
  <si>
    <t>MBOM25</t>
  </si>
  <si>
    <t>H0000029677</t>
  </si>
  <si>
    <t>締付ボルト_SS400_三価クロメート_M24x480L</t>
  </si>
  <si>
    <t>H0000091424</t>
  </si>
  <si>
    <t>締付ボルト_SS400_仕上無し_M24x480L</t>
  </si>
  <si>
    <t>MBOM26</t>
  </si>
  <si>
    <t>H0000029678</t>
  </si>
  <si>
    <t>締付ボルト_SS400_三価クロメート_M24x580L</t>
  </si>
  <si>
    <t>H0000091425</t>
  </si>
  <si>
    <t>締付ボルト_SS400_仕上無し_M24x580L</t>
  </si>
  <si>
    <t>MBOM27</t>
  </si>
  <si>
    <t>H0000029679</t>
  </si>
  <si>
    <t>締付ボルト_SS400_三価クロメート_M24x680L</t>
  </si>
  <si>
    <t>H0000091426</t>
  </si>
  <si>
    <t>締付ボルト_SS400_仕上無し_M24x680L</t>
  </si>
  <si>
    <t>MBOM28</t>
  </si>
  <si>
    <t>H0000029680</t>
  </si>
  <si>
    <t>締付ボルト_SS400_三価クロメート_M24x780L</t>
  </si>
  <si>
    <t>H0000091427</t>
  </si>
  <si>
    <t>締付ボルト_SS400_仕上無し_M24x780L</t>
  </si>
  <si>
    <t>MBOM29</t>
  </si>
  <si>
    <t>H0000029681</t>
  </si>
  <si>
    <t>締付ボルト_SS400_三価クロメート_M24x880L</t>
  </si>
  <si>
    <t>H0000091428</t>
  </si>
  <si>
    <t>締付ボルト_SS400_仕上無し_M24x880L</t>
  </si>
  <si>
    <t>MBOM30</t>
  </si>
  <si>
    <t>H0000029682</t>
  </si>
  <si>
    <t>締付ボルト_SS400_三価クロメート_M24x980L</t>
  </si>
  <si>
    <t>H0000091429</t>
  </si>
  <si>
    <t>締付ボルト_SS400_仕上無し_M24x980L</t>
  </si>
  <si>
    <t>MBOM31</t>
  </si>
  <si>
    <t>H0000029683</t>
  </si>
  <si>
    <t>締付ボルト_SS400_三価クロメート_M24x1080L</t>
  </si>
  <si>
    <t>H0000091430</t>
  </si>
  <si>
    <t>締付ボルト_SS400_仕上無し_M24x1080L</t>
  </si>
  <si>
    <t>MBOM32</t>
  </si>
  <si>
    <t>H0000029843</t>
  </si>
  <si>
    <t>締付ボルト_SNB7_三価クロメート_M36x470L</t>
  </si>
  <si>
    <t>H0000091431</t>
  </si>
  <si>
    <t>締付ボルト_SNB7_仕上無し_M36x470L</t>
  </si>
  <si>
    <t>WP008</t>
  </si>
  <si>
    <t>MBOM33</t>
  </si>
  <si>
    <t>H0000029844</t>
  </si>
  <si>
    <t>締付ボルト_SNB7_三価クロメート_M36x570L</t>
  </si>
  <si>
    <t>H0000091432</t>
  </si>
  <si>
    <t>締付ボルト_SNB7_仕上無し_M36x570L</t>
  </si>
  <si>
    <t>MBOM34</t>
  </si>
  <si>
    <t>H0000029845</t>
  </si>
  <si>
    <t>締付ボルト_SNB7_三価クロメート_M36x670L</t>
  </si>
  <si>
    <t>H0000091433</t>
  </si>
  <si>
    <t>締付ボルト_SNB7_仕上無し_M36x670L</t>
  </si>
  <si>
    <t>MBOM35</t>
  </si>
  <si>
    <t>H0000029846</t>
  </si>
  <si>
    <t>締付ボルト_SNB7_三価クロメート_M36x770L</t>
  </si>
  <si>
    <t>H0000091434</t>
  </si>
  <si>
    <t>締付ボルト_SNB7_仕上無し_M36x770L</t>
  </si>
  <si>
    <t>MBOM36</t>
  </si>
  <si>
    <t>H0000029847</t>
  </si>
  <si>
    <t>締付ボルト_SNB7_三価クロメート_M36x870L</t>
  </si>
  <si>
    <t>H0000091435</t>
  </si>
  <si>
    <t>締付ボルト_SNB7_仕上無し_M36x870L</t>
  </si>
  <si>
    <t>MBOM37</t>
  </si>
  <si>
    <t>H0000029848</t>
  </si>
  <si>
    <t>締付ボルト_SNB7_三価クロメート_M36x970L</t>
  </si>
  <si>
    <t>H0000091436</t>
  </si>
  <si>
    <t>締付ボルト_SNB7_仕上無し_M36x970L</t>
  </si>
  <si>
    <t>MBOM38</t>
  </si>
  <si>
    <t>H0000029849</t>
  </si>
  <si>
    <t>締付ボルト_SNB7_三価クロメート_M36x1070L</t>
  </si>
  <si>
    <t>H0000091437</t>
  </si>
  <si>
    <t>締付ボルト_SNB7_仕上無し_M36x1070L</t>
  </si>
  <si>
    <t>MBOM39</t>
  </si>
  <si>
    <t>H0000029850</t>
  </si>
  <si>
    <t>締付ボルト_SNB7_三価クロメート_M36x1170L</t>
  </si>
  <si>
    <t>H0000091438</t>
  </si>
  <si>
    <t>締付ボルト_SNB7_仕上無し_M36x1170L</t>
  </si>
  <si>
    <t>MBOM40</t>
  </si>
  <si>
    <t>H0000029851</t>
  </si>
  <si>
    <t>締付ボルト_SNB7_三価クロメート_M36x1270L</t>
  </si>
  <si>
    <t>H0000091439</t>
  </si>
  <si>
    <t>締付ボルト_SNB7_仕上無し_M36x1270L</t>
  </si>
  <si>
    <t>MBOM41</t>
  </si>
  <si>
    <t>H0000029852</t>
  </si>
  <si>
    <t>締付ボルト_SNB7_三価クロメート_M36x1370L</t>
  </si>
  <si>
    <t>H0000091440</t>
  </si>
  <si>
    <t>締付ボルト_SNB7_仕上無し_M36x1370L</t>
  </si>
  <si>
    <t>MBOM42</t>
  </si>
  <si>
    <t>H0000029853</t>
  </si>
  <si>
    <t>締付ボルト_SNB7_三価クロメート_M36x1470L</t>
  </si>
  <si>
    <t>H0000091441</t>
  </si>
  <si>
    <t>締付ボルト_SNB7_仕上無し_M36x1470L</t>
  </si>
  <si>
    <t>MBOM43</t>
  </si>
  <si>
    <t>H0000029854</t>
  </si>
  <si>
    <t>締付ボルト_SNB7_三価クロメート_M36x1570L</t>
  </si>
  <si>
    <t>H0000091442</t>
  </si>
  <si>
    <t>締付ボルト_SNB7_仕上無し_M36x1570L</t>
  </si>
  <si>
    <t>MBOM44</t>
  </si>
  <si>
    <t>H0000029855</t>
  </si>
  <si>
    <t>締付ボルト_SNB7_三価クロメート_M36x1670L</t>
  </si>
  <si>
    <t>H0000091443</t>
  </si>
  <si>
    <t>締付ボルト_SNB7_仕上無し_M36x1670L</t>
  </si>
  <si>
    <t>MBOM45</t>
  </si>
  <si>
    <t>H0000029856</t>
  </si>
  <si>
    <t>締付ボルト_SNB7_三価クロメート_M36x1770L</t>
  </si>
  <si>
    <t>H0000091444</t>
  </si>
  <si>
    <t>締付ボルト_SNB7_仕上無し_M36x1770L</t>
  </si>
  <si>
    <t>MBOM46</t>
  </si>
  <si>
    <t>H0000029857</t>
  </si>
  <si>
    <t>締付ボルト_SNB7_三価クロメート_M36x1870L</t>
  </si>
  <si>
    <t>H0000091445</t>
  </si>
  <si>
    <t>締付ボルト_SNB7_仕上無し_M36x1870L</t>
  </si>
  <si>
    <t>MBOM47</t>
  </si>
  <si>
    <t>H0000029858</t>
  </si>
  <si>
    <t>締付ボルト_SNB7_三価クロメート_M36x1970L</t>
  </si>
  <si>
    <t>H0000091446</t>
  </si>
  <si>
    <t>締付ボルト_SNB7_仕上無し_M36x1970L</t>
  </si>
  <si>
    <t>MBOM48</t>
  </si>
  <si>
    <t>H0000029859</t>
  </si>
  <si>
    <t>締付ボルト_SNB7_三価クロメート_M36x2070L</t>
  </si>
  <si>
    <t>H0000091447</t>
  </si>
  <si>
    <t>締付ボルト_SNB7_仕上無し_M36x2070L</t>
  </si>
  <si>
    <t>MBOM49</t>
  </si>
  <si>
    <t>H0000029860</t>
  </si>
  <si>
    <t>締付ボルト_SNB7_三価クロメート_M36x2170L</t>
  </si>
  <si>
    <t>H0000091448</t>
  </si>
  <si>
    <t>締付ボルト_SNB7_仕上無し_M36x2170L</t>
  </si>
  <si>
    <t>MBOM50</t>
  </si>
  <si>
    <t>H0000029861</t>
  </si>
  <si>
    <t>締付ボルト_SNB7_三価クロメート_M36x2270L</t>
  </si>
  <si>
    <t>H0000091449</t>
  </si>
  <si>
    <t>締付ボルト_SNB7_仕上無し_M36x2270L</t>
  </si>
  <si>
    <t>MBOM51</t>
  </si>
  <si>
    <t>H0000029862</t>
  </si>
  <si>
    <t>締付ボルト_SNB7_三価クロメート_M36x2370L</t>
  </si>
  <si>
    <t>H0000091450</t>
  </si>
  <si>
    <t>締付ボルト_SNB7_仕上無し_M36x2370L</t>
  </si>
  <si>
    <t>MBOM52</t>
  </si>
  <si>
    <t>H0000029863</t>
  </si>
  <si>
    <t>締付ボルト_SNB7_三価クロメート_M36x2470L</t>
  </si>
  <si>
    <t>H0000091451</t>
  </si>
  <si>
    <t>締付ボルト_SNB7_仕上無し_M36x2470L</t>
  </si>
  <si>
    <t>MBOM53</t>
  </si>
  <si>
    <t>H0000029864</t>
  </si>
  <si>
    <t>締付ボルト_SNB7_三価クロメート_M36x2570L</t>
  </si>
  <si>
    <t>H0000091452</t>
  </si>
  <si>
    <t>締付ボルト_SNB7_仕上無し_M36x2570L</t>
  </si>
  <si>
    <t>MBOM54</t>
  </si>
  <si>
    <t>H0000029865</t>
  </si>
  <si>
    <t>締付ボルト_SNB7_三価クロメート_M36x2670L</t>
  </si>
  <si>
    <t>H0000091453</t>
  </si>
  <si>
    <t>締付ボルト_SNB7_仕上無し_M36x2670L</t>
  </si>
  <si>
    <t>MBOM55</t>
  </si>
  <si>
    <t>H0000029866</t>
  </si>
  <si>
    <t>締付ボルト_SNB7_三価クロメート_M36x2770L</t>
  </si>
  <si>
    <t>H0000091454</t>
  </si>
  <si>
    <t>締付ボルト_SNB7_仕上無し_M36x2770L</t>
  </si>
  <si>
    <t>MBOM56</t>
  </si>
  <si>
    <t>H0000029867</t>
  </si>
  <si>
    <t>締付ボルト_SNB7_三価クロメート_M36x2870L</t>
  </si>
  <si>
    <t>H0000091455</t>
  </si>
  <si>
    <t>締付ボルト_SNB7_仕上無し_M36x2870L</t>
  </si>
  <si>
    <t>MBOM57</t>
  </si>
  <si>
    <t>H0000029868</t>
  </si>
  <si>
    <t>締付ボルト_SNB7_三価クロメート_M36x2970L</t>
  </si>
  <si>
    <t>H0000091456</t>
  </si>
  <si>
    <t>締付ボルト_SNB7_仕上無し_M36x2970L</t>
  </si>
  <si>
    <t>MBOM58</t>
  </si>
  <si>
    <t>H0000029869</t>
  </si>
  <si>
    <t>締付ボルト_SNB7_三価クロメート_M36x3070L</t>
  </si>
  <si>
    <t>H0000091457</t>
  </si>
  <si>
    <t>締付ボルト_SNB7_仕上無し_M36x3070L</t>
  </si>
  <si>
    <t>MBOM59</t>
  </si>
  <si>
    <t>H0000029870</t>
  </si>
  <si>
    <t>締付ボルト_SNB7_三価クロメート_M36x3170L</t>
  </si>
  <si>
    <t>H0000091458</t>
  </si>
  <si>
    <t>締付ボルト_SNB7_仕上無し_M36x3170L</t>
  </si>
  <si>
    <t>MBOM60</t>
  </si>
  <si>
    <t>H0000029871</t>
  </si>
  <si>
    <t>締付ボルト_SNB7_三価クロメート_M36x3270L</t>
  </si>
  <si>
    <t>H0000091459</t>
  </si>
  <si>
    <t>締付ボルト_SNB7_仕上無し_M36x3270L</t>
  </si>
  <si>
    <t>MBOM61</t>
  </si>
  <si>
    <t>H0000029872</t>
  </si>
  <si>
    <t>締付ボルト_SNB7_三価クロメート_M36x3370L</t>
  </si>
  <si>
    <t>H0000091460</t>
  </si>
  <si>
    <t>締付ボルト_SNB7_仕上無し_M36x3370L</t>
  </si>
  <si>
    <t>MBOM62</t>
  </si>
  <si>
    <t>H0000029873</t>
  </si>
  <si>
    <t>締付ボルト_SNB7_三価クロメート_M36x3470L</t>
  </si>
  <si>
    <t>H0000091461</t>
  </si>
  <si>
    <t>締付ボルト_SNB7_仕上無し_M36x3470L</t>
  </si>
  <si>
    <t>MBOM63</t>
  </si>
  <si>
    <t>H0000029874</t>
  </si>
  <si>
    <t>締付ボルト_SNB7_三価クロメート_M36x3570L</t>
  </si>
  <si>
    <t>H0000091462</t>
  </si>
  <si>
    <t>締付ボルト_SNB7_仕上無し_M36x3570L</t>
  </si>
  <si>
    <t>MBOM64</t>
  </si>
  <si>
    <t>H0000029875</t>
  </si>
  <si>
    <t>締付ボルト_SNB7_三価クロメート_M36x3670L</t>
  </si>
  <si>
    <t>H0000091463</t>
  </si>
  <si>
    <t>締付ボルト_SNB7_仕上無し_M36x3670L</t>
  </si>
  <si>
    <t>MBOM65</t>
  </si>
  <si>
    <t>H0000029936</t>
  </si>
  <si>
    <t>締付ボルト_SNB7_三価クロメート_M39x470L</t>
  </si>
  <si>
    <t>H0000091464</t>
  </si>
  <si>
    <t>締付ボルト_SNB7_仕上無し_M39x470L</t>
  </si>
  <si>
    <t>$D_PS_PurchasePart</t>
  </si>
  <si>
    <t>MBOM66</t>
  </si>
  <si>
    <t>H0000029937</t>
  </si>
  <si>
    <t>締付ボルト_SNB7_三価クロメート_M39x570L</t>
  </si>
  <si>
    <t>H0000091465</t>
  </si>
  <si>
    <t>締付ボルト_SNB7_仕上無し_M39x570L</t>
  </si>
  <si>
    <t>MBOM67</t>
  </si>
  <si>
    <t>H0000029938</t>
  </si>
  <si>
    <t>締付ボルト_SNB7_三価クロメート_M39x670L</t>
  </si>
  <si>
    <t>H0000091466</t>
  </si>
  <si>
    <t>締付ボルト_SNB7_仕上無し_M39x670L</t>
  </si>
  <si>
    <t>MBOM68</t>
  </si>
  <si>
    <t>H0000029939</t>
  </si>
  <si>
    <t>締付ボルト_SNB7_三価クロメート_M39x770L</t>
  </si>
  <si>
    <t>H0000091467</t>
  </si>
  <si>
    <t>締付ボルト_SNB7_仕上無し_M39x770L</t>
  </si>
  <si>
    <t>MBOM69</t>
  </si>
  <si>
    <t>H0000029940</t>
  </si>
  <si>
    <t>締付ボルト_SNB7_三価クロメート_M39x870L</t>
  </si>
  <si>
    <t>H0000091468</t>
  </si>
  <si>
    <t>締付ボルト_SNB7_仕上無し_M39x870L</t>
  </si>
  <si>
    <t>MBOM70</t>
  </si>
  <si>
    <t>H0000029941</t>
  </si>
  <si>
    <t>締付ボルト_SNB7_三価クロメート_M39x970L</t>
  </si>
  <si>
    <t>H0000091469</t>
  </si>
  <si>
    <t>締付ボルト_SNB7_仕上無し_M39x970L</t>
  </si>
  <si>
    <t>MBOM71</t>
  </si>
  <si>
    <t>H0000029942</t>
  </si>
  <si>
    <t>締付ボルト_SNB7_三価クロメート_M39x1070L</t>
  </si>
  <si>
    <t>H0000091470</t>
  </si>
  <si>
    <t>締付ボルト_SNB7_仕上無し_M39x1070L</t>
  </si>
  <si>
    <t>MBOM72</t>
  </si>
  <si>
    <t>H0000029943</t>
  </si>
  <si>
    <t>締付ボルト_SNB7_三価クロメート_M39x1170L</t>
  </si>
  <si>
    <t>H0000091471</t>
  </si>
  <si>
    <t>締付ボルト_SNB7_仕上無し_M39x1170L</t>
  </si>
  <si>
    <t>MBOM73</t>
  </si>
  <si>
    <t>H0000029944</t>
  </si>
  <si>
    <t>締付ボルト_SNB7_三価クロメート_M39x1270L</t>
  </si>
  <si>
    <t>H0000091472</t>
  </si>
  <si>
    <t>締付ボルト_SNB7_仕上無し_M39x1270L</t>
  </si>
  <si>
    <t>MBOM74</t>
  </si>
  <si>
    <t>H0000029945</t>
  </si>
  <si>
    <t>締付ボルト_SNB7_三価クロメート_M39x1370L</t>
  </si>
  <si>
    <t>H0000091473</t>
  </si>
  <si>
    <t>締付ボルト_SNB7_仕上無し_M39x1370L</t>
  </si>
  <si>
    <t>MBOM75</t>
  </si>
  <si>
    <t>H0000029946</t>
  </si>
  <si>
    <t>締付ボルト_SNB7_三価クロメート_M39x1470L</t>
  </si>
  <si>
    <t>H0000091474</t>
  </si>
  <si>
    <t>締付ボルト_SNB7_仕上無し_M39x1470L</t>
  </si>
  <si>
    <t>MBOM76</t>
  </si>
  <si>
    <t>H0000029947</t>
  </si>
  <si>
    <t>締付ボルト_SNB7_三価クロメート_M39x1570L</t>
  </si>
  <si>
    <t>H0000091475</t>
  </si>
  <si>
    <t>締付ボルト_SNB7_仕上無し_M39x1570L</t>
  </si>
  <si>
    <t>MBOM77</t>
  </si>
  <si>
    <t>H0000029948</t>
  </si>
  <si>
    <t>締付ボルト_SNB7_三価クロメート_M39x1670L</t>
  </si>
  <si>
    <t>H0000091476</t>
  </si>
  <si>
    <t>締付ボルト_SNB7_仕上無し_M39x1670L</t>
  </si>
  <si>
    <t>MBOM78</t>
  </si>
  <si>
    <t>H0000029949</t>
  </si>
  <si>
    <t>締付ボルト_SNB7_三価クロメート_M39x1770L</t>
  </si>
  <si>
    <t>H0000091477</t>
  </si>
  <si>
    <t>締付ボルト_SNB7_仕上無し_M39x1770L</t>
  </si>
  <si>
    <t>MBOM79</t>
  </si>
  <si>
    <t>H0000029950</t>
  </si>
  <si>
    <t>締付ボルト_SNB7_三価クロメート_M39x1870L</t>
  </si>
  <si>
    <t>H0000091478</t>
  </si>
  <si>
    <t>締付ボルト_SNB7_仕上無し_M39x1870L</t>
  </si>
  <si>
    <t>MBOM80</t>
  </si>
  <si>
    <t>H0000029951</t>
  </si>
  <si>
    <t>締付ボルト_SNB7_三価クロメート_M39x1970L</t>
  </si>
  <si>
    <t>H0000091479</t>
  </si>
  <si>
    <t>締付ボルト_SNB7_仕上無し_M39x1970L</t>
  </si>
  <si>
    <t>MBOM81</t>
  </si>
  <si>
    <t>H0000029952</t>
  </si>
  <si>
    <t>締付ボルト_SNB7_三価クロメート_M39x2070L</t>
  </si>
  <si>
    <t>H0000091480</t>
  </si>
  <si>
    <t>締付ボルト_SNB7_仕上無し_M39x2070L</t>
  </si>
  <si>
    <t>MBOM82</t>
  </si>
  <si>
    <t>H0000029953</t>
  </si>
  <si>
    <t>締付ボルト_SNB7_三価クロメート_M39x2170L</t>
  </si>
  <si>
    <t>H0000091481</t>
  </si>
  <si>
    <t>締付ボルト_SNB7_仕上無し_M39x2170L</t>
  </si>
  <si>
    <t>MBOM83</t>
  </si>
  <si>
    <t>H0000029954</t>
  </si>
  <si>
    <t>締付ボルト_SNB7_三価クロメート_M39x2270L</t>
  </si>
  <si>
    <t>H0000091482</t>
  </si>
  <si>
    <t>締付ボルト_SNB7_仕上無し_M39x2270L</t>
  </si>
  <si>
    <t>MBOM84</t>
  </si>
  <si>
    <t>H0000029955</t>
  </si>
  <si>
    <t>締付ボルト_SNB7_三価クロメート_M39x2370L</t>
  </si>
  <si>
    <t>H0000091483</t>
  </si>
  <si>
    <t>締付ボルト_SNB7_仕上無し_M39x2370L</t>
  </si>
  <si>
    <t>MBOM85</t>
  </si>
  <si>
    <t>H0000029956</t>
  </si>
  <si>
    <t>締付ボルト_SNB7_三価クロメート_M39x2470L</t>
  </si>
  <si>
    <t>H0000091484</t>
  </si>
  <si>
    <t>締付ボルト_SNB7_仕上無し_M39x2470L</t>
  </si>
  <si>
    <t>MBOM86</t>
  </si>
  <si>
    <t>H0000029957</t>
  </si>
  <si>
    <t>締付ボルト_SNB7_三価クロメート_M39x2570L</t>
  </si>
  <si>
    <t>H0000091485</t>
  </si>
  <si>
    <t>締付ボルト_SNB7_仕上無し_M39x2570L</t>
  </si>
  <si>
    <t>MBOM87</t>
  </si>
  <si>
    <t>H0000029958</t>
  </si>
  <si>
    <t>締付ボルト_SNB7_三価クロメート_M39x2670L</t>
  </si>
  <si>
    <t>H0000091486</t>
  </si>
  <si>
    <t>締付ボルト_SNB7_仕上無し_M39x2670L</t>
  </si>
  <si>
    <t>MBOM88</t>
  </si>
  <si>
    <t>H0000029959</t>
  </si>
  <si>
    <t>締付ボルト_SNB7_三価クロメート_M39x2770L</t>
  </si>
  <si>
    <t>H0000091487</t>
  </si>
  <si>
    <t>締付ボルト_SNB7_仕上無し_M39x2770L</t>
  </si>
  <si>
    <t>MBOM89</t>
  </si>
  <si>
    <t>H0000029960</t>
  </si>
  <si>
    <t>締付ボルト_SNB7_三価クロメート_M39x2870L</t>
  </si>
  <si>
    <t>H0000091488</t>
  </si>
  <si>
    <t>締付ボルト_SNB7_仕上無し_M39x2870L</t>
  </si>
  <si>
    <t>MBOM90</t>
  </si>
  <si>
    <t>H0000029961</t>
  </si>
  <si>
    <t>締付ボルト_SNB7_三価クロメート_M39x2970L</t>
  </si>
  <si>
    <t>H0000091489</t>
  </si>
  <si>
    <t>締付ボルト_SNB7_仕上無し_M39x2970L</t>
  </si>
  <si>
    <t>MBOM91</t>
  </si>
  <si>
    <t>H0000029962</t>
  </si>
  <si>
    <t>締付ボルト_SNB7_三価クロメート_M39x3070L</t>
  </si>
  <si>
    <t>H0000091490</t>
  </si>
  <si>
    <t>締付ボルト_SNB7_仕上無し_M39x3070L</t>
  </si>
  <si>
    <t>MBOM92</t>
  </si>
  <si>
    <t>H0000030042</t>
  </si>
  <si>
    <t>締付ボルト_SNB7_三価クロメート_1-5/8-8UNx460L</t>
  </si>
  <si>
    <t>H0000091491</t>
  </si>
  <si>
    <t>締付ボルト_SNB7_仕上無し_1-5/8-8UNx460L</t>
  </si>
  <si>
    <t>MBOM93</t>
  </si>
  <si>
    <t>H0000030043</t>
  </si>
  <si>
    <t>締付ボルト_SNB7_三価クロメート_1-5/8-8UNx560L</t>
  </si>
  <si>
    <t>H0000091492</t>
  </si>
  <si>
    <t>締付ボルト_SNB7_仕上無し_1-5/8-8UNx560L</t>
  </si>
  <si>
    <t>MBOM94</t>
  </si>
  <si>
    <t>H0000030044</t>
  </si>
  <si>
    <t>締付ボルト_SNB7_三価クロメート_1-5/8-8UNx660L</t>
  </si>
  <si>
    <t>H0000091493</t>
  </si>
  <si>
    <t>締付ボルト_SNB7_仕上無し_1-5/8-8UNx660L</t>
  </si>
  <si>
    <t>MBOM95</t>
  </si>
  <si>
    <t>H0000030045</t>
  </si>
  <si>
    <t>締付ボルト_SNB7_三価クロメート_1-5/8-8UNx760L</t>
  </si>
  <si>
    <t>H0000091494</t>
  </si>
  <si>
    <t>締付ボルト_SNB7_仕上無し_1-5/8-8UNx760L</t>
  </si>
  <si>
    <t>MBOM96</t>
  </si>
  <si>
    <t>H0000030046</t>
  </si>
  <si>
    <t>締付ボルト_SNB7_三価クロメート_1-5/8-8UNx860L</t>
  </si>
  <si>
    <t>H0000091495</t>
  </si>
  <si>
    <t>締付ボルト_SNB7_仕上無し_1-5/8-8UNx860L</t>
  </si>
  <si>
    <t>MBOM97</t>
  </si>
  <si>
    <t>H0000030047</t>
  </si>
  <si>
    <t>締付ボルト_SNB7_三価クロメート_1-5/8-8UNx960L</t>
  </si>
  <si>
    <t>H0000091496</t>
  </si>
  <si>
    <t>締付ボルト_SNB7_仕上無し_1-5/8-8UNx960L</t>
  </si>
  <si>
    <t>MBOM98</t>
  </si>
  <si>
    <t>H0000030048</t>
  </si>
  <si>
    <t>締付ボルト_SNB7_三価クロメート_1-5/8-8UNx1060L</t>
  </si>
  <si>
    <t>H0000091497</t>
  </si>
  <si>
    <t>締付ボルト_SNB7_仕上無し_1-5/8-8UNx1060L</t>
  </si>
  <si>
    <t>MBOM99</t>
  </si>
  <si>
    <t>H0000030049</t>
  </si>
  <si>
    <t>締付ボルト_SNB7_三価クロメート_1-5/8-8UNx1160L</t>
  </si>
  <si>
    <t>H0000091498</t>
  </si>
  <si>
    <t>締付ボルト_SNB7_仕上無し_1-5/8-8UNx1160L</t>
  </si>
  <si>
    <t>MBOM100</t>
  </si>
  <si>
    <t>H0000030050</t>
  </si>
  <si>
    <t>締付ボルト_SNB7_三価クロメート_1-5/8-8UNx1260L</t>
  </si>
  <si>
    <t>H0000091499</t>
  </si>
  <si>
    <t>締付ボルト_SNB7_仕上無し_1-5/8-8UNx1260L</t>
  </si>
  <si>
    <t>MBOM101</t>
  </si>
  <si>
    <t>H0000030051</t>
  </si>
  <si>
    <t>締付ボルト_SNB7_三価クロメート_1-5/8-8UNx1360L</t>
  </si>
  <si>
    <t>H0000091500</t>
  </si>
  <si>
    <t>締付ボルト_SNB7_仕上無し_1-5/8-8UNx1360L</t>
  </si>
  <si>
    <t>MBOM102</t>
  </si>
  <si>
    <t>H0000030052</t>
  </si>
  <si>
    <t>締付ボルト_SNB7_三価クロメート_1-5/8-8UNx1460L</t>
  </si>
  <si>
    <t>H0000091501</t>
  </si>
  <si>
    <t>締付ボルト_SNB7_仕上無し_1-5/8-8UNx1460L</t>
  </si>
  <si>
    <t>MBOM103</t>
  </si>
  <si>
    <t>H0000030053</t>
  </si>
  <si>
    <t>締付ボルト_SNB7_三価クロメート_1-5/8-8UNx1560L</t>
  </si>
  <si>
    <t>H0000091502</t>
  </si>
  <si>
    <t>締付ボルト_SNB7_仕上無し_1-5/8-8UNx1560L</t>
  </si>
  <si>
    <t>MBOM104</t>
  </si>
  <si>
    <t>H0000030054</t>
  </si>
  <si>
    <t>締付ボルト_SNB7_三価クロメート_1-5/8-8UNx1660L</t>
  </si>
  <si>
    <t>H0000091503</t>
  </si>
  <si>
    <t>締付ボルト_SNB7_仕上無し_1-5/8-8UNx1660L</t>
  </si>
  <si>
    <t>MBOM105</t>
  </si>
  <si>
    <t>H0000030055</t>
  </si>
  <si>
    <t>締付ボルト_SNB7_三価クロメート_1-5/8-8UNx1760L</t>
  </si>
  <si>
    <t>H0000091504</t>
  </si>
  <si>
    <t>締付ボルト_SNB7_仕上無し_1-5/8-8UNx1760L</t>
  </si>
  <si>
    <t>MBOM106</t>
  </si>
  <si>
    <t>H0000030056</t>
  </si>
  <si>
    <t>締付ボルト_SNB7_三価クロメート_1-5/8-8UNx1860L</t>
  </si>
  <si>
    <t>H0000091505</t>
  </si>
  <si>
    <t>締付ボルト_SNB7_仕上無し_1-5/8-8UNx1860L</t>
  </si>
  <si>
    <t>MBOM107</t>
  </si>
  <si>
    <t>H0000030057</t>
  </si>
  <si>
    <t>締付ボルト_SNB7_三価クロメート_1-5/8-8UNx1960L</t>
  </si>
  <si>
    <t>H0000091506</t>
  </si>
  <si>
    <t>締付ボルト_SNB7_仕上無し_1-5/8-8UNx1960L</t>
  </si>
  <si>
    <t>MBOM108</t>
  </si>
  <si>
    <t>H0000030058</t>
  </si>
  <si>
    <t>締付ボルト_SNB7_三価クロメート_1-5/8-8UNx2060L</t>
  </si>
  <si>
    <t>H0000091507</t>
  </si>
  <si>
    <t>締付ボルト_SNB7_仕上無し_1-5/8-8UNx2060L</t>
  </si>
  <si>
    <t>MBOM109</t>
  </si>
  <si>
    <t>H0000030059</t>
  </si>
  <si>
    <t>締付ボルト_SNB7_三価クロメート_1-5/8-8UNx2160L</t>
  </si>
  <si>
    <t>H0000091508</t>
  </si>
  <si>
    <t>締付ボルト_SNB7_仕上無し_1-5/8-8UNx2160L</t>
  </si>
  <si>
    <t>MBOM110</t>
  </si>
  <si>
    <t>H0000030060</t>
  </si>
  <si>
    <t>締付ボルト_SNB7_三価クロメート_1-5/8-8UNx2260L</t>
  </si>
  <si>
    <t>H0000091509</t>
  </si>
  <si>
    <t>締付ボルト_SNB7_仕上無し_1-5/8-8UNx2260L</t>
  </si>
  <si>
    <t>MBOM111</t>
  </si>
  <si>
    <t>H0000030061</t>
  </si>
  <si>
    <t>締付ボルト_SNB7_三価クロメート_1-5/8-8UNx2360L</t>
  </si>
  <si>
    <t>H0000091510</t>
  </si>
  <si>
    <t>締付ボルト_SNB7_仕上無し_1-5/8-8UNx2360L</t>
  </si>
  <si>
    <t>MBOM112</t>
  </si>
  <si>
    <t>H0000030062</t>
  </si>
  <si>
    <t>締付ボルト_SNB7_三価クロメート_1-5/8-8UNx2460L</t>
  </si>
  <si>
    <t>H0000091511</t>
  </si>
  <si>
    <t>締付ボルト_SNB7_仕上無し_1-5/8-8UNx2460L</t>
  </si>
  <si>
    <t>MBOM113</t>
  </si>
  <si>
    <t>H0000030063</t>
  </si>
  <si>
    <t>締付ボルト_SNB7_三価クロメート_1-5/8-8UNx2560L</t>
  </si>
  <si>
    <t>H0000091512</t>
  </si>
  <si>
    <t>締付ボルト_SNB7_仕上無し_1-5/8-8UNx2560L</t>
  </si>
  <si>
    <t>MBOM114</t>
  </si>
  <si>
    <t>H0000030064</t>
  </si>
  <si>
    <t>締付ボルト_SNB7_三価クロメート_1-5/8-8UNx2660L</t>
  </si>
  <si>
    <t>H0000091513</t>
  </si>
  <si>
    <t>締付ボルト_SNB7_仕上無し_1-5/8-8UNx2660L</t>
  </si>
  <si>
    <t>MBOM115</t>
  </si>
  <si>
    <t>H0000030065</t>
  </si>
  <si>
    <t>締付ボルト_SNB7_三価クロメート_1-5/8-8UNx2760L</t>
  </si>
  <si>
    <t>H0000091514</t>
  </si>
  <si>
    <t>締付ボルト_SNB7_仕上無し_1-5/8-8UNx2760L</t>
  </si>
  <si>
    <t>MBOM116</t>
  </si>
  <si>
    <t>H0000030066</t>
  </si>
  <si>
    <t>締付ボルト_SNB7_三価クロメート_1-5/8-8UNx2860L</t>
  </si>
  <si>
    <t>H0000091515</t>
  </si>
  <si>
    <t>締付ボルト_SNB7_仕上無し_1-5/8-8UNx2860L</t>
  </si>
  <si>
    <t>MBOM117</t>
  </si>
  <si>
    <t>H0000030067</t>
  </si>
  <si>
    <t>締付ボルト_SNB7_三価クロメート_1-5/8-8UNx2960L</t>
  </si>
  <si>
    <t>H0000091516</t>
  </si>
  <si>
    <t>締付ボルト_SNB7_仕上無し_1-5/8-8UNx2960L</t>
  </si>
  <si>
    <t>MBOM118</t>
  </si>
  <si>
    <t>H0000030068</t>
  </si>
  <si>
    <t>締付ボルト_SNB7_三価クロメート_1-5/8-8UNx3060L</t>
  </si>
  <si>
    <t>H0000091517</t>
  </si>
  <si>
    <t>締付ボルト_SNB7_仕上無し_1-5/8-8UNx3060L</t>
  </si>
  <si>
    <t>MBOM119</t>
  </si>
  <si>
    <t>H0000030069</t>
  </si>
  <si>
    <t>締付ボルト_SNB7_三価クロメート_1-5/8-8UNx3160L</t>
  </si>
  <si>
    <t>H0000091518</t>
  </si>
  <si>
    <t>締付ボルト_SNB7_仕上無し_1-5/8-8UNx3160L</t>
  </si>
  <si>
    <t>MBOM120</t>
  </si>
  <si>
    <t>H0000030070</t>
  </si>
  <si>
    <t>締付ボルト_SNB7_三価クロメート_1-5/8-8UNx3260L</t>
  </si>
  <si>
    <t>H0000091519</t>
  </si>
  <si>
    <t>締付ボルト_SNB7_仕上無し_1-5/8-8UNx3260L</t>
  </si>
  <si>
    <t>MBOM121</t>
  </si>
  <si>
    <t>H0000030071</t>
  </si>
  <si>
    <t>締付ボルト_SNB7_三価クロメート_1-5/8-8UNx3360L</t>
  </si>
  <si>
    <t>H0000091520</t>
  </si>
  <si>
    <t>締付ボルト_SNB7_仕上無し_1-5/8-8UNx3360L</t>
  </si>
  <si>
    <t>MBOM122</t>
  </si>
  <si>
    <t>H0000030072</t>
  </si>
  <si>
    <t>締付ボルト_SNB7_三価クロメート_1-5/8-8UNx3460L</t>
  </si>
  <si>
    <t>H0000091521</t>
  </si>
  <si>
    <t>締付ボルト_SNB7_仕上無し_1-5/8-8UNx3460L</t>
  </si>
  <si>
    <t>MBOM123</t>
  </si>
  <si>
    <t>H0000030073</t>
  </si>
  <si>
    <t>締付ボルト_SNB7_三価クロメート_1-5/8-8UNx3560L</t>
  </si>
  <si>
    <t>H0000091522</t>
  </si>
  <si>
    <t>締付ボルト_SNB7_仕上無し_1-5/8-8UNx3560L</t>
  </si>
  <si>
    <t>MBOM124</t>
  </si>
  <si>
    <t>H0000030074</t>
  </si>
  <si>
    <t>締付ボルト_SNB7_三価クロメート_1-5/8-8UNx3660L</t>
  </si>
  <si>
    <t>H0000091523</t>
  </si>
  <si>
    <t>締付ボルト_SNB7_仕上無し_1-5/8-8UNx3660L</t>
  </si>
  <si>
    <t>MBOM125</t>
  </si>
  <si>
    <t>H0000030075</t>
  </si>
  <si>
    <t>締付ボルト_SNB7_三価クロメート_1-5/8-8UNx3760L</t>
  </si>
  <si>
    <t>H0000091524</t>
  </si>
  <si>
    <t>締付ボルト_SNB7_仕上無し_1-5/8-8UNx3760L</t>
  </si>
  <si>
    <t>MBOM126</t>
  </si>
  <si>
    <t>H0000030076</t>
  </si>
  <si>
    <t>締付ボルト_SNB7_三価クロメート_1-5/8-8UNx3860L</t>
  </si>
  <si>
    <t>H0000091525</t>
  </si>
  <si>
    <t>締付ボルト_SNB7_仕上無し_1-5/8-8UNx3860L</t>
  </si>
  <si>
    <t>MBOM127</t>
  </si>
  <si>
    <t>H0000030077</t>
  </si>
  <si>
    <t>締付ボルト_SNB7_三価クロメート_1-5/8-8UNx3960L</t>
  </si>
  <si>
    <t>H0000091526</t>
  </si>
  <si>
    <t>締付ボルト_SNB7_仕上無し_1-5/8-8UNx3960L</t>
  </si>
  <si>
    <t>MBOM128</t>
  </si>
  <si>
    <t>H0000030078</t>
  </si>
  <si>
    <t>締付ボルト_SNB7_三価クロメート_1-5/8-8UNx4060L</t>
  </si>
  <si>
    <t>H0000091527</t>
  </si>
  <si>
    <t>締付ボルト_SNB7_仕上無し_1-5/8-8UNx4060L</t>
  </si>
  <si>
    <t>MBOM129</t>
  </si>
  <si>
    <t>H0000030079</t>
  </si>
  <si>
    <t>締付ボルト_SNB7_三価クロメート_1-5/8-8UNx4160L</t>
  </si>
  <si>
    <t>H0000091528</t>
  </si>
  <si>
    <t>締付ボルト_SNB7_仕上無し_1-5/8-8UNx4160L</t>
  </si>
  <si>
    <t>MBOM130</t>
  </si>
  <si>
    <t>H0000030080</t>
  </si>
  <si>
    <t>締付ボルト_SNB7_三価クロメート_1-5/8-8UNx4260L</t>
  </si>
  <si>
    <t>H0000091529</t>
  </si>
  <si>
    <t>締付ボルト_SNB7_仕上無し_1-5/8-8UNx4260L</t>
  </si>
  <si>
    <t>MBOM131</t>
  </si>
  <si>
    <t>H0000030081</t>
  </si>
  <si>
    <t>締付ボルト_SNB7_三価クロメート_1-5/8-8UNx4360L</t>
  </si>
  <si>
    <t>H0000091530</t>
  </si>
  <si>
    <t>締付ボルト_SNB7_仕上無し_1-5/8-8UNx4360L</t>
  </si>
  <si>
    <t>MBOM132</t>
  </si>
  <si>
    <t>H0000030082</t>
  </si>
  <si>
    <t>締付ボルト_SNB7_三価クロメート_1-5/8-8UNx4460L</t>
  </si>
  <si>
    <t>H0000091531</t>
  </si>
  <si>
    <t>締付ボルト_SNB7_仕上無し_1-5/8-8UNx4460L</t>
  </si>
  <si>
    <t>MBOM133</t>
  </si>
  <si>
    <t>H0000030083</t>
  </si>
  <si>
    <t>締付ボルト_SNB7_三価クロメート_1-5/8-8UNx4560L</t>
  </si>
  <si>
    <t>H0000091532</t>
  </si>
  <si>
    <t>締付ボルト_SNB7_仕上無し_1-5/8-8UNx4560L</t>
  </si>
  <si>
    <t>MBOM134</t>
  </si>
  <si>
    <t>H0000030084</t>
  </si>
  <si>
    <t>締付ボルト_SNB7_三価クロメート_1-5/8-8UNx4660L</t>
  </si>
  <si>
    <t>H0000091533</t>
  </si>
  <si>
    <t>締付ボルト_SNB7_仕上無し_1-5/8-8UNx4660L</t>
  </si>
  <si>
    <t>MBOM135</t>
  </si>
  <si>
    <t>H0000030085</t>
  </si>
  <si>
    <t>締付ボルト_SNB7_三価クロメート_1-5/8-8UNx4760L</t>
  </si>
  <si>
    <t>H0000091534</t>
  </si>
  <si>
    <t>締付ボルト_SNB7_仕上無し_1-5/8-8UNx4760L</t>
  </si>
  <si>
    <t>MBOM136</t>
  </si>
  <si>
    <t>H0000030086</t>
  </si>
  <si>
    <t>締付ボルト_SNB7_三価クロメート_1-5/8-8UNx4860L</t>
  </si>
  <si>
    <t>H0000091535</t>
  </si>
  <si>
    <t>締付ボルト_SNB7_仕上無し_1-5/8-8UNx4860L</t>
  </si>
  <si>
    <t>MBOM137</t>
  </si>
  <si>
    <t>H0000030087</t>
  </si>
  <si>
    <t>締付ボルト_SNB7_三価クロメート_1-5/8-8UNx4960L</t>
  </si>
  <si>
    <t>H0000091536</t>
  </si>
  <si>
    <t>締付ボルト_SNB7_仕上無し_1-5/8-8UNx4960L</t>
  </si>
  <si>
    <t>MBOM138</t>
  </si>
  <si>
    <t>H0000030088</t>
  </si>
  <si>
    <t>締付ボルト_SNB7_三価クロメート_1-5/8-8UNx5060L</t>
  </si>
  <si>
    <t>H0000091537</t>
  </si>
  <si>
    <t>締付ボルト_SNB7_仕上無し_1-5/8-8UNx5060L</t>
  </si>
  <si>
    <t>MBOM139</t>
  </si>
  <si>
    <t>H0000030089</t>
  </si>
  <si>
    <t>締付ボルト_SNB7_三価クロメート_1-5/8-8UNx5160L</t>
  </si>
  <si>
    <t>H0000091538</t>
  </si>
  <si>
    <t>締付ボルト_SNB7_仕上無し_1-5/8-8UNx5160L</t>
  </si>
  <si>
    <t>MBOM140</t>
  </si>
  <si>
    <t>H0000030090</t>
  </si>
  <si>
    <t>締付ボルト_SNB7_三価クロメート_1-5/8-8UNx5260L</t>
  </si>
  <si>
    <t>H0000091539</t>
  </si>
  <si>
    <t>締付ボルト_SNB7_仕上無し_1-5/8-8UNx5260L</t>
  </si>
  <si>
    <t>MBOM141</t>
  </si>
  <si>
    <t>H0000030091</t>
  </si>
  <si>
    <t>締付ボルト_SNB7_三価クロメート_1-5/8-8UNx5360L</t>
  </si>
  <si>
    <t>H0000091540</t>
  </si>
  <si>
    <t>締付ボルト_SNB7_仕上無し_1-5/8-8UNx5360L</t>
  </si>
  <si>
    <t>MBOM142</t>
  </si>
  <si>
    <t>H0000030092</t>
  </si>
  <si>
    <t>締付ボルト_SNB7_三価クロメート_1-5/8-8UNx5460L</t>
  </si>
  <si>
    <t>H0000091541</t>
  </si>
  <si>
    <t>締付ボルト_SNB7_仕上無し_1-5/8-8UNx5460L</t>
  </si>
  <si>
    <t>MBOM143</t>
  </si>
  <si>
    <t>H0000030093</t>
  </si>
  <si>
    <t>締付ボルト_SNB7_三価クロメート_1-5/8-8UNx5560L</t>
  </si>
  <si>
    <t>H0000091542</t>
  </si>
  <si>
    <t>締付ボルト_SNB7_仕上無し_1-5/8-8UNx5560L</t>
  </si>
  <si>
    <t>MBOM144</t>
  </si>
  <si>
    <t>H0000030192</t>
  </si>
  <si>
    <t>締付ボルト_SNB7_三価クロメート_2-8UNx750L</t>
  </si>
  <si>
    <t>H0000091543</t>
  </si>
  <si>
    <t>締付ボルト_SNB7_仕上無し_2-8UNx750L</t>
  </si>
  <si>
    <t>MBOM145</t>
  </si>
  <si>
    <t>H0000030193</t>
  </si>
  <si>
    <t>締付ボルト_SNB7_三価クロメート_2-8UNx850L</t>
  </si>
  <si>
    <t>H0000091544</t>
  </si>
  <si>
    <t>締付ボルト_SNB7_仕上無し_2-8UNx850L</t>
  </si>
  <si>
    <t>MBOM146</t>
  </si>
  <si>
    <t>H0000030194</t>
  </si>
  <si>
    <t>締付ボルト_SNB7_三価クロメート_2-8UNx950L</t>
  </si>
  <si>
    <t>H0000091545</t>
  </si>
  <si>
    <t>締付ボルト_SNB7_仕上無し_2-8UNx950L</t>
  </si>
  <si>
    <t>MBOM147</t>
  </si>
  <si>
    <t>H0000030195</t>
  </si>
  <si>
    <t>締付ボルト_SNB7_三価クロメート_2-8UNx1050L</t>
  </si>
  <si>
    <t>H0000091546</t>
  </si>
  <si>
    <t>締付ボルト_SNB7_仕上無し_2-8UNx1050L</t>
  </si>
  <si>
    <t>MBOM148</t>
  </si>
  <si>
    <t>H0000030196</t>
  </si>
  <si>
    <t>締付ボルト_SNB7_三価クロメート_2-8UNx1150L</t>
  </si>
  <si>
    <t>H0000091547</t>
  </si>
  <si>
    <t>締付ボルト_SNB7_仕上無し_2-8UNx1150L</t>
  </si>
  <si>
    <t>MBOM149</t>
  </si>
  <si>
    <t>H0000030197</t>
  </si>
  <si>
    <t>締付ボルト_SNB7_三価クロメート_2-8UNx1250L</t>
  </si>
  <si>
    <t>H0000091548</t>
  </si>
  <si>
    <t>締付ボルト_SNB7_仕上無し_2-8UNx1250L</t>
  </si>
  <si>
    <t>MBOM150</t>
  </si>
  <si>
    <t>H0000030198</t>
  </si>
  <si>
    <t>締付ボルト_SNB7_三価クロメート_2-8UNx1350L</t>
  </si>
  <si>
    <t>H0000091549</t>
  </si>
  <si>
    <t>締付ボルト_SNB7_仕上無し_2-8UNx1350L</t>
  </si>
  <si>
    <t>MBOM151</t>
  </si>
  <si>
    <t>H0000030199</t>
  </si>
  <si>
    <t>締付ボルト_SNB7_三価クロメート_2-8UNx1450L</t>
  </si>
  <si>
    <t>H0000091550</t>
  </si>
  <si>
    <t>締付ボルト_SNB7_仕上無し_2-8UNx1450L</t>
  </si>
  <si>
    <t>MBOM152</t>
  </si>
  <si>
    <t>H0000030200</t>
  </si>
  <si>
    <t>締付ボルト_SNB7_三価クロメート_2-8UNx1550L</t>
  </si>
  <si>
    <t>H0000091551</t>
  </si>
  <si>
    <t>締付ボルト_SNB7_仕上無し_2-8UNx1550L</t>
  </si>
  <si>
    <t>MBOM153</t>
  </si>
  <si>
    <t>H0000030201</t>
  </si>
  <si>
    <t>締付ボルト_SNB7_三価クロメート_2-8UNx1650L</t>
  </si>
  <si>
    <t>H0000091552</t>
  </si>
  <si>
    <t>締付ボルト_SNB7_仕上無し_2-8UNx1650L</t>
  </si>
  <si>
    <t>MBOM154</t>
  </si>
  <si>
    <t>H0000030202</t>
  </si>
  <si>
    <t>締付ボルト_SNB7_三価クロメート_2-8UNx1750L</t>
  </si>
  <si>
    <t>H0000091553</t>
  </si>
  <si>
    <t>締付ボルト_SNB7_仕上無し_2-8UNx1750L</t>
  </si>
  <si>
    <t>MBOM155</t>
  </si>
  <si>
    <t>H0000030203</t>
  </si>
  <si>
    <t>締付ボルト_SNB7_三価クロメート_2-8UNx1850L</t>
  </si>
  <si>
    <t>H0000091554</t>
  </si>
  <si>
    <t>締付ボルト_SNB7_仕上無し_2-8UNx1850L</t>
  </si>
  <si>
    <t>MBOM156</t>
  </si>
  <si>
    <t>H0000030204</t>
  </si>
  <si>
    <t>締付ボルト_SNB7_三価クロメート_2-8UNx1950L</t>
  </si>
  <si>
    <t>H0000091555</t>
  </si>
  <si>
    <t>締付ボルト_SNB7_仕上無し_2-8UNx1950L</t>
  </si>
  <si>
    <t>MBOM157</t>
  </si>
  <si>
    <t>H0000030205</t>
  </si>
  <si>
    <t>締付ボルト_SNB7_三価クロメート_2-8UNx2050L</t>
  </si>
  <si>
    <t>H0000091556</t>
  </si>
  <si>
    <t>締付ボルト_SNB7_仕上無し_2-8UNx2050L</t>
  </si>
  <si>
    <t>MBOM158</t>
  </si>
  <si>
    <t>H0000030206</t>
  </si>
  <si>
    <t>締付ボルト_SNB7_三価クロメート_2-8UNx2150L</t>
  </si>
  <si>
    <t>H0000091557</t>
  </si>
  <si>
    <t>締付ボルト_SNB7_仕上無し_2-8UNx2150L</t>
  </si>
  <si>
    <t>MBOM159</t>
  </si>
  <si>
    <t>H0000030207</t>
  </si>
  <si>
    <t>締付ボルト_SNB7_三価クロメート_2-8UNx2250L</t>
  </si>
  <si>
    <t>H0000091558</t>
  </si>
  <si>
    <t>締付ボルト_SNB7_仕上無し_2-8UNx2250L</t>
  </si>
  <si>
    <t>MBOM160</t>
  </si>
  <si>
    <t>H0000030208</t>
  </si>
  <si>
    <t>締付ボルト_SNB7_三価クロメート_2-8UNx2350L</t>
  </si>
  <si>
    <t>H0000091559</t>
  </si>
  <si>
    <t>締付ボルト_SNB7_仕上無し_2-8UNx2350L</t>
  </si>
  <si>
    <t>MBOM161</t>
  </si>
  <si>
    <t>H0000030209</t>
  </si>
  <si>
    <t>締付ボルト_SNB7_三価クロメート_2-8UNx2450L</t>
  </si>
  <si>
    <t>H0000091560</t>
  </si>
  <si>
    <t>締付ボルト_SNB7_仕上無し_2-8UNx2450L</t>
  </si>
  <si>
    <t>MBOM162</t>
  </si>
  <si>
    <t>H0000030210</t>
  </si>
  <si>
    <t>締付ボルト_SNB7_三価クロメート_2-8UNx2550L</t>
  </si>
  <si>
    <t>H0000091561</t>
  </si>
  <si>
    <t>締付ボルト_SNB7_仕上無し_2-8UNx2550L</t>
  </si>
  <si>
    <t>MBOM163</t>
  </si>
  <si>
    <t>H0000030211</t>
  </si>
  <si>
    <t>締付ボルト_SNB7_三価クロメート_2-8UNx2650L</t>
  </si>
  <si>
    <t>H0000091562</t>
  </si>
  <si>
    <t>締付ボルト_SNB7_仕上無し_2-8UNx2650L</t>
  </si>
  <si>
    <t>MBOM164</t>
  </si>
  <si>
    <t>H0000030212</t>
  </si>
  <si>
    <t>締付ボルト_SNB7_三価クロメート_2-8UNx2750L</t>
  </si>
  <si>
    <t>H0000091563</t>
  </si>
  <si>
    <t>締付ボルト_SNB7_仕上無し_2-8UNx2750L</t>
  </si>
  <si>
    <t>MBOM165</t>
  </si>
  <si>
    <t>H0000030213</t>
  </si>
  <si>
    <t>締付ボルト_SNB7_三価クロメート_2-8UNx2850L</t>
  </si>
  <si>
    <t>H0000091564</t>
  </si>
  <si>
    <t>締付ボルト_SNB7_仕上無し_2-8UNx2850L</t>
  </si>
  <si>
    <t>MBOM166</t>
  </si>
  <si>
    <t>H0000030214</t>
  </si>
  <si>
    <t>締付ボルト_SNB7_三価クロメート_2-8UNx2950L</t>
  </si>
  <si>
    <t>H0000091565</t>
  </si>
  <si>
    <t>締付ボルト_SNB7_仕上無し_2-8UNx2950L</t>
  </si>
  <si>
    <t>MBOM167</t>
  </si>
  <si>
    <t>H0000030215</t>
  </si>
  <si>
    <t>締付ボルト_SNB7_三価クロメート_2-8UNx3050L</t>
  </si>
  <si>
    <t>H0000091566</t>
  </si>
  <si>
    <t>締付ボルト_SNB7_仕上無し_2-8UNx3050L</t>
  </si>
  <si>
    <t>MBOM168</t>
  </si>
  <si>
    <t>H0000030216</t>
  </si>
  <si>
    <t>締付ボルト_SNB7_三価クロメート_2-8UNx3150L</t>
  </si>
  <si>
    <t>H0000091567</t>
  </si>
  <si>
    <t>締付ボルト_SNB7_仕上無し_2-8UNx3150L</t>
  </si>
  <si>
    <t>MBOM169</t>
  </si>
  <si>
    <t>H0000030217</t>
  </si>
  <si>
    <t>締付ボルト_SNB7_三価クロメート_2-8UNx3250L</t>
  </si>
  <si>
    <t>H0000091568</t>
  </si>
  <si>
    <t>締付ボルト_SNB7_仕上無し_2-8UNx3250L</t>
  </si>
  <si>
    <t>MBOM170</t>
  </si>
  <si>
    <t>H0000030218</t>
  </si>
  <si>
    <t>締付ボルト_SNB7_三価クロメート_2-8UNx3350L</t>
  </si>
  <si>
    <t>H0000091569</t>
  </si>
  <si>
    <t>締付ボルト_SNB7_仕上無し_2-8UNx3350L</t>
  </si>
  <si>
    <t>MBOM171</t>
  </si>
  <si>
    <t>H0000030219</t>
  </si>
  <si>
    <t>締付ボルト_SNB7_三価クロメート_2-8UNx3450L</t>
  </si>
  <si>
    <t>H0000091570</t>
  </si>
  <si>
    <t>締付ボルト_SNB7_仕上無し_2-8UNx3450L</t>
  </si>
  <si>
    <t>MBOM172</t>
  </si>
  <si>
    <t>H0000030220</t>
  </si>
  <si>
    <t>締付ボルト_SNB7_三価クロメート_2-8UNx3550L</t>
  </si>
  <si>
    <t>H0000091571</t>
  </si>
  <si>
    <t>締付ボルト_SNB7_仕上無し_2-8UNx3550L</t>
  </si>
  <si>
    <t>MBOM173</t>
  </si>
  <si>
    <t>H0000030221</t>
  </si>
  <si>
    <t>締付ボルト_SNB7_三価クロメート_2-8UNx3650L</t>
  </si>
  <si>
    <t>H0000091572</t>
  </si>
  <si>
    <t>締付ボルト_SNB7_仕上無し_2-8UNx3650L</t>
  </si>
  <si>
    <t>MBOM174</t>
  </si>
  <si>
    <t>H0000030222</t>
  </si>
  <si>
    <t>締付ボルト_SNB7_三価クロメート_2-8UNx3750L</t>
  </si>
  <si>
    <t>H0000091573</t>
  </si>
  <si>
    <t>締付ボルト_SNB7_仕上無し_2-8UNx3750L</t>
  </si>
  <si>
    <t>MBOM175</t>
  </si>
  <si>
    <t>H0000030223</t>
  </si>
  <si>
    <t>締付ボルト_SNB7_三価クロメート_2-8UNx3850L</t>
  </si>
  <si>
    <t>H0000091574</t>
  </si>
  <si>
    <t>締付ボルト_SNB7_仕上無し_2-8UNx3850L</t>
  </si>
  <si>
    <t>MBOM176</t>
  </si>
  <si>
    <t>H0000030224</t>
  </si>
  <si>
    <t>締付ボルト_SNB7_三価クロメート_2-8UNx3950L</t>
  </si>
  <si>
    <t>H0000091575</t>
  </si>
  <si>
    <t>締付ボルト_SNB7_仕上無し_2-8UNx3950L</t>
  </si>
  <si>
    <t>MBOM177</t>
  </si>
  <si>
    <t>H0000030225</t>
  </si>
  <si>
    <t>締付ボルト_SNB7_三価クロメート_2-8UNx4050L</t>
  </si>
  <si>
    <t>H0000091576</t>
  </si>
  <si>
    <t>締付ボルト_SNB7_仕上無し_2-8UNx4050L</t>
  </si>
  <si>
    <t>MBOM178</t>
  </si>
  <si>
    <t>H0000030226</t>
  </si>
  <si>
    <t>締付ボルト_SNB7_三価クロメート_2-8UNx4150L</t>
  </si>
  <si>
    <t>H0000091577</t>
  </si>
  <si>
    <t>締付ボルト_SNB7_仕上無し_2-8UNx4150L</t>
  </si>
  <si>
    <t>MBOM179</t>
  </si>
  <si>
    <t>H0000030227</t>
  </si>
  <si>
    <t>締付ボルト_SNB7_三価クロメート_2-8UNx4250L</t>
  </si>
  <si>
    <t>H0000091578</t>
  </si>
  <si>
    <t>締付ボルト_SNB7_仕上無し_2-8UNx4250L</t>
  </si>
  <si>
    <t>MBOM180</t>
  </si>
  <si>
    <t>H0000030228</t>
  </si>
  <si>
    <t>締付ボルト_SNB7_三価クロメート_2-8UNx4350L</t>
  </si>
  <si>
    <t>H0000091579</t>
  </si>
  <si>
    <t>締付ボルト_SNB7_仕上無し_2-8UNx4350L</t>
  </si>
  <si>
    <t>MBOM181</t>
  </si>
  <si>
    <t>H0000030229</t>
  </si>
  <si>
    <t>締付ボルト_SNB7_三価クロメート_2-8UNx4450L</t>
  </si>
  <si>
    <t>H0000091580</t>
  </si>
  <si>
    <t>締付ボルト_SNB7_仕上無し_2-8UNx4450L</t>
  </si>
  <si>
    <t>MBOM182</t>
  </si>
  <si>
    <t>H0000030230</t>
  </si>
  <si>
    <t>締付ボルト_SNB7_三価クロメート_2-8UNx4550L</t>
  </si>
  <si>
    <t>H0000091581</t>
  </si>
  <si>
    <t>締付ボルト_SNB7_仕上無し_2-8UNx4550L</t>
  </si>
  <si>
    <t>MBOM183</t>
  </si>
  <si>
    <t>H0000030231</t>
  </si>
  <si>
    <t>締付ボルト_SNB7_三価クロメート_2-8UNx4650L</t>
  </si>
  <si>
    <t>H0000091582</t>
  </si>
  <si>
    <t>締付ボルト_SNB7_仕上無し_2-8UNx4650L</t>
  </si>
  <si>
    <t>MBOM184</t>
  </si>
  <si>
    <t>H0000030232</t>
  </si>
  <si>
    <t>締付ボルト_SNB7_三価クロメート_2-8UNx4750L</t>
  </si>
  <si>
    <t>H0000091583</t>
  </si>
  <si>
    <t>締付ボルト_SNB7_仕上無し_2-8UNx4750L</t>
  </si>
  <si>
    <t>MBOM185</t>
  </si>
  <si>
    <t>H0000030233</t>
  </si>
  <si>
    <t>締付ボルト_SNB7_三価クロメート_2-8UNx4850L</t>
  </si>
  <si>
    <t>H0000091584</t>
  </si>
  <si>
    <t>締付ボルト_SNB7_仕上無し_2-8UNx4850L</t>
  </si>
  <si>
    <t>MBOM186</t>
  </si>
  <si>
    <t>H0000030234</t>
  </si>
  <si>
    <t>締付ボルト_SNB7_三価クロメート_2-8UNx4950L</t>
  </si>
  <si>
    <t>H0000091585</t>
  </si>
  <si>
    <t>締付ボルト_SNB7_仕上無し_2-8UNx4950L</t>
  </si>
  <si>
    <t>MBOM187</t>
  </si>
  <si>
    <t>H0000030235</t>
  </si>
  <si>
    <t>締付ボルト_SNB7_三価クロメート_2-8UNx5050L</t>
  </si>
  <si>
    <t>H0000091586</t>
  </si>
  <si>
    <t>締付ボルト_SNB7_仕上無し_2-8UNx5050L</t>
  </si>
  <si>
    <t>MBOM188</t>
  </si>
  <si>
    <t>H0000030236</t>
  </si>
  <si>
    <t>締付ボルト_SNB7_三価クロメート_2-8UNx5150L</t>
  </si>
  <si>
    <t>H0000091587</t>
  </si>
  <si>
    <t>締付ボルト_SNB7_仕上無し_2-8UNx5150L</t>
  </si>
  <si>
    <t>MBOM189</t>
  </si>
  <si>
    <t>H0000030237</t>
  </si>
  <si>
    <t>締付ボルト_SNB7_三価クロメート_2-8UNx5250L</t>
  </si>
  <si>
    <t>H0000091588</t>
  </si>
  <si>
    <t>締付ボルト_SNB7_仕上無し_2-8UNx5250L</t>
  </si>
  <si>
    <t>MBOM190</t>
  </si>
  <si>
    <t>H0000029810</t>
  </si>
  <si>
    <t>締付ボルト_SNB7_グリスアップ_M36x470L</t>
  </si>
  <si>
    <t>H0000029749</t>
  </si>
  <si>
    <t>かしめナット_1種_S45C_M36</t>
  </si>
  <si>
    <t>MBOM191</t>
  </si>
  <si>
    <t>H0000029876</t>
  </si>
  <si>
    <t>スタッドボルト_SNB7_仕上無し_M36x500Lx500S</t>
  </si>
  <si>
    <t>WP019</t>
  </si>
  <si>
    <t>MBOM192</t>
  </si>
  <si>
    <t>H0000029811</t>
  </si>
  <si>
    <t>締付ボルト_SNB7_グリスアップ_M36x570L</t>
  </si>
  <si>
    <t>MBOM193</t>
  </si>
  <si>
    <t>H0000029877</t>
  </si>
  <si>
    <t>スタッドボルト_SNB7_仕上無し_M36x600Lx600S</t>
  </si>
  <si>
    <t>MBOM194</t>
  </si>
  <si>
    <t>H0000029812</t>
  </si>
  <si>
    <t>締付ボルト_SNB7_グリスアップ_M36x670L</t>
  </si>
  <si>
    <t>MBOM195</t>
  </si>
  <si>
    <t>H0000029878</t>
  </si>
  <si>
    <t>スタッドボルト_SNB7_仕上無し_M36x700Lx700S</t>
  </si>
  <si>
    <t>MBOM196</t>
  </si>
  <si>
    <t>H0000029813</t>
  </si>
  <si>
    <t>締付ボルト_SNB7_グリスアップ_M36x770L</t>
  </si>
  <si>
    <t>MBOM197</t>
  </si>
  <si>
    <t>H0000029879</t>
  </si>
  <si>
    <t>スタッドボルト_SNB7_仕上無し_M36x800Lx800S</t>
  </si>
  <si>
    <t>MBOM198</t>
  </si>
  <si>
    <t>H0000029814</t>
  </si>
  <si>
    <t>締付ボルト_SNB7_グリスアップ_M36x870L</t>
  </si>
  <si>
    <t>MBOM199</t>
  </si>
  <si>
    <t>H0000029880</t>
  </si>
  <si>
    <t>スタッドボルト_SNB7_仕上無し_M36x900Lx900S</t>
  </si>
  <si>
    <t>MBOM200</t>
  </si>
  <si>
    <t>H0000029815</t>
  </si>
  <si>
    <t>締付ボルト_SNB7_グリスアップ_M36x970L</t>
  </si>
  <si>
    <t>MBOM201</t>
  </si>
  <si>
    <t>H0000029881</t>
  </si>
  <si>
    <t>スタッドボルト_SNB7_仕上無し_M36x1000Lx1000S</t>
  </si>
  <si>
    <t>MBOM202</t>
  </si>
  <si>
    <t>H0000029816</t>
  </si>
  <si>
    <t>締付ボルト_SNB7_グリスアップ_M36x1070L</t>
  </si>
  <si>
    <t>MBOM203</t>
  </si>
  <si>
    <t>H0000029882</t>
  </si>
  <si>
    <t>スタッドボルト_SNB7_仕上無し_M36x1100Lx1100S</t>
  </si>
  <si>
    <t>MBOM204</t>
  </si>
  <si>
    <t>H0000029817</t>
  </si>
  <si>
    <t>締付ボルト_SNB7_グリスアップ_M36x1170L</t>
  </si>
  <si>
    <t>MBOM205</t>
  </si>
  <si>
    <t>H0000029883</t>
  </si>
  <si>
    <t>スタッドボルト_SNB7_仕上無し_M36x1200Lx1200S</t>
  </si>
  <si>
    <t>MBOM206</t>
  </si>
  <si>
    <t>H0000029818</t>
  </si>
  <si>
    <t>締付ボルト_SNB7_グリスアップ_M36x1270L</t>
  </si>
  <si>
    <t>MBOM207</t>
  </si>
  <si>
    <t>H0000029884</t>
  </si>
  <si>
    <t>スタッドボルト_SNB7_仕上無し_M36x1300Lx1300S</t>
  </si>
  <si>
    <t>MBOM208</t>
  </si>
  <si>
    <t>H0000029819</t>
  </si>
  <si>
    <t>締付ボルト_SNB7_グリスアップ_M36x1370L</t>
  </si>
  <si>
    <t>MBOM209</t>
  </si>
  <si>
    <t>H0000029885</t>
  </si>
  <si>
    <t>スタッドボルト_SNB7_仕上無し_M36x1400Lx1400S</t>
  </si>
  <si>
    <t>MBOM210</t>
  </si>
  <si>
    <t>H0000029820</t>
  </si>
  <si>
    <t>締付ボルト_SNB7_グリスアップ_M36x1470L</t>
  </si>
  <si>
    <t>MBOM211</t>
  </si>
  <si>
    <t>H0000029886</t>
  </si>
  <si>
    <t>スタッドボルト_SNB7_仕上無し_M36x1500Lx1500S</t>
  </si>
  <si>
    <t>MBOM212</t>
  </si>
  <si>
    <t>H0000029821</t>
  </si>
  <si>
    <t>締付ボルト_SNB7_グリスアップ_M36x1570L</t>
  </si>
  <si>
    <t>MBOM213</t>
  </si>
  <si>
    <t>H0000029887</t>
  </si>
  <si>
    <t>スタッドボルト_SNB7_仕上無し_M36x1600Lx1600S</t>
  </si>
  <si>
    <t>MBOM214</t>
  </si>
  <si>
    <t>H0000029822</t>
  </si>
  <si>
    <t>締付ボルト_SNB7_グリスアップ_M36x1670L</t>
  </si>
  <si>
    <t>MBOM215</t>
  </si>
  <si>
    <t>H0000029888</t>
  </si>
  <si>
    <t>スタッドボルト_SNB7_仕上無し_M36x1700Lx1700S</t>
  </si>
  <si>
    <t>MBOM216</t>
  </si>
  <si>
    <t>H0000029823</t>
  </si>
  <si>
    <t>締付ボルト_SNB7_グリスアップ_M36x1770L</t>
  </si>
  <si>
    <t>MBOM217</t>
  </si>
  <si>
    <t>H0000029889</t>
  </si>
  <si>
    <t>スタッドボルト_SNB7_仕上無し_M36x1800Lx1800S</t>
  </si>
  <si>
    <t>MBOM218</t>
  </si>
  <si>
    <t>H0000029824</t>
  </si>
  <si>
    <t>締付ボルト_SNB7_グリスアップ_M36x1870L</t>
  </si>
  <si>
    <t>MBOM219</t>
  </si>
  <si>
    <t>H0000029890</t>
  </si>
  <si>
    <t>スタッドボルト_SNB7_仕上無し_M36x1900Lx1900S</t>
  </si>
  <si>
    <t>MBOM220</t>
  </si>
  <si>
    <t>H0000029825</t>
  </si>
  <si>
    <t>締付ボルト_SNB7_グリスアップ_M36x1970L</t>
  </si>
  <si>
    <t>MBOM221</t>
  </si>
  <si>
    <t>H0000029891</t>
  </si>
  <si>
    <t>スタッドボルト_SNB7_仕上無し_M36x2000Lx2000S</t>
  </si>
  <si>
    <t>MBOM222</t>
  </si>
  <si>
    <t>H0000029826</t>
  </si>
  <si>
    <t>締付ボルト_SNB7_グリスアップ_M36x2070L</t>
  </si>
  <si>
    <t>MBOM223</t>
  </si>
  <si>
    <t>H0000029892</t>
  </si>
  <si>
    <t>スタッドボルト_SNB7_仕上無し_M36x2100Lx2100S</t>
  </si>
  <si>
    <t>MBOM224</t>
  </si>
  <si>
    <t>H0000029827</t>
  </si>
  <si>
    <t>締付ボルト_SNB7_グリスアップ_M36x2170L</t>
  </si>
  <si>
    <t>MBOM225</t>
  </si>
  <si>
    <t>H0000029893</t>
  </si>
  <si>
    <t>スタッドボルト_SNB7_仕上無し_M36x2200Lx2200S</t>
  </si>
  <si>
    <t>MBOM226</t>
  </si>
  <si>
    <t>H0000029828</t>
  </si>
  <si>
    <t>締付ボルト_SNB7_グリスアップ_M36x2270L</t>
  </si>
  <si>
    <t>MBOM227</t>
  </si>
  <si>
    <t>H0000029894</t>
  </si>
  <si>
    <t>スタッドボルト_SNB7_仕上無し_M36x2300Lx2300S</t>
  </si>
  <si>
    <t>MBOM228</t>
  </si>
  <si>
    <t>H0000029829</t>
  </si>
  <si>
    <t>締付ボルト_SNB7_グリスアップ_M36x2370L</t>
  </si>
  <si>
    <t>MBOM229</t>
  </si>
  <si>
    <t>H0000029895</t>
  </si>
  <si>
    <t>スタッドボルト_SNB7_仕上無し_M36x2400Lx2400S</t>
  </si>
  <si>
    <t>MBOM230</t>
  </si>
  <si>
    <t>H0000029830</t>
  </si>
  <si>
    <t>締付ボルト_SNB7_グリスアップ_M36x2470L</t>
  </si>
  <si>
    <t>MBOM231</t>
  </si>
  <si>
    <t>H0000029896</t>
  </si>
  <si>
    <t>スタッドボルト_SNB7_仕上無し_M36x2500Lx2500S</t>
  </si>
  <si>
    <t>MBOM232</t>
  </si>
  <si>
    <t>H0000029831</t>
  </si>
  <si>
    <t>締付ボルト_SNB7_グリスアップ_M36x2570L</t>
  </si>
  <si>
    <t>MBOM233</t>
  </si>
  <si>
    <t>H0000029897</t>
  </si>
  <si>
    <t>スタッドボルト_SNB7_仕上無し_M36x2600Lx2600S</t>
  </si>
  <si>
    <t>MBOM234</t>
  </si>
  <si>
    <t>H0000029832</t>
  </si>
  <si>
    <t>締付ボルト_SNB7_グリスアップ_M36x2670L</t>
  </si>
  <si>
    <t>MBOM235</t>
  </si>
  <si>
    <t>H0000029898</t>
  </si>
  <si>
    <t>スタッドボルト_SNB7_仕上無し_M36x2700Lx2700S</t>
  </si>
  <si>
    <t>MBOM236</t>
  </si>
  <si>
    <t>H0000029833</t>
  </si>
  <si>
    <t>締付ボルト_SNB7_グリスアップ_M36x2770L</t>
  </si>
  <si>
    <t>MBOM237</t>
  </si>
  <si>
    <t>H0000029899</t>
  </si>
  <si>
    <t>スタッドボルト_SNB7_仕上無し_M36x2800Lx2800S</t>
  </si>
  <si>
    <t>MBOM238</t>
  </si>
  <si>
    <t>H0000029834</t>
  </si>
  <si>
    <t>締付ボルト_SNB7_グリスアップ_M36x2870L</t>
  </si>
  <si>
    <t>MBOM239</t>
  </si>
  <si>
    <t>H0000029900</t>
  </si>
  <si>
    <t>スタッドボルト_SNB7_仕上無し_M36x2900Lx2900S</t>
  </si>
  <si>
    <t>MBOM240</t>
  </si>
  <si>
    <t>H0000029835</t>
  </si>
  <si>
    <t>締付ボルト_SNB7_グリスアップ_M36x2970L</t>
  </si>
  <si>
    <t>MBOM241</t>
  </si>
  <si>
    <t>H0000029901</t>
  </si>
  <si>
    <t>スタッドボルト_SNB7_仕上無し_M36x3000Lx3000S</t>
  </si>
  <si>
    <t>MBOM242</t>
  </si>
  <si>
    <t>H0000029836</t>
  </si>
  <si>
    <t>締付ボルト_SNB7_グリスアップ_M36x3070L</t>
  </si>
  <si>
    <t>MBOM243</t>
  </si>
  <si>
    <t>H0000029902</t>
  </si>
  <si>
    <t>スタッドボルト_SNB7_仕上無し_M36x3100Lx3100S</t>
  </si>
  <si>
    <t>MBOM244</t>
  </si>
  <si>
    <t>H0000029837</t>
  </si>
  <si>
    <t>締付ボルト_SNB7_グリスアップ_M36x3170L</t>
  </si>
  <si>
    <t>MBOM245</t>
  </si>
  <si>
    <t>H0000029903</t>
  </si>
  <si>
    <t>スタッドボルト_SNB7_仕上無し_M36x3200Lx3200S</t>
  </si>
  <si>
    <t>MBOM246</t>
  </si>
  <si>
    <t>H0000029838</t>
  </si>
  <si>
    <t>締付ボルト_SNB7_グリスアップ_M36x3270L</t>
  </si>
  <si>
    <t>MBOM247</t>
  </si>
  <si>
    <t>H0000029904</t>
  </si>
  <si>
    <t>スタッドボルト_SNB7_仕上無し_M36x3300Lx3300S</t>
  </si>
  <si>
    <t>MBOM248</t>
  </si>
  <si>
    <t>H0000029839</t>
  </si>
  <si>
    <t>締付ボルト_SNB7_グリスアップ_M36x3370L</t>
  </si>
  <si>
    <t>MBOM249</t>
  </si>
  <si>
    <t>H0000029905</t>
  </si>
  <si>
    <t>スタッドボルト_SNB7_仕上無し_M36x3400Lx3400S</t>
  </si>
  <si>
    <t>MBOM250</t>
  </si>
  <si>
    <t>H0000029840</t>
  </si>
  <si>
    <t>締付ボルト_SNB7_グリスアップ_M36x3470L</t>
  </si>
  <si>
    <t>MBOM251</t>
  </si>
  <si>
    <t>H0000029906</t>
  </si>
  <si>
    <t>スタッドボルト_SNB7_仕上無し_M36x3500Lx3500S</t>
  </si>
  <si>
    <t>MBOM252</t>
  </si>
  <si>
    <t>H0000029841</t>
  </si>
  <si>
    <t>締付ボルト_SNB7_グリスアップ_M36x3570L</t>
  </si>
  <si>
    <t>MBOM253</t>
  </si>
  <si>
    <t>H0000029907</t>
  </si>
  <si>
    <t>スタッドボルト_SNB7_仕上無し_M36x3600Lx3600S</t>
  </si>
  <si>
    <t>MBOM254</t>
  </si>
  <si>
    <t>H0000029842</t>
  </si>
  <si>
    <t>締付ボルト_SNB7_グリスアップ_M36x3670L</t>
  </si>
  <si>
    <t>MBOM255</t>
  </si>
  <si>
    <t>H0000029908</t>
  </si>
  <si>
    <t>スタッドボルト_SNB7_仕上無し_M36x3700Lx3700S</t>
  </si>
  <si>
    <t>MBOM256</t>
  </si>
  <si>
    <t>H0000029909</t>
  </si>
  <si>
    <t>締付ボルト_SNB7_グリスアップ_M39x470L</t>
  </si>
  <si>
    <t>MBOM257</t>
  </si>
  <si>
    <t>MBOM258</t>
  </si>
  <si>
    <t>H0000029910</t>
  </si>
  <si>
    <t>締付ボルト_SNB7_グリスアップ_M39x570L</t>
  </si>
  <si>
    <t>MBOM259</t>
  </si>
  <si>
    <t>MBOM260</t>
  </si>
  <si>
    <t>H0000029911</t>
  </si>
  <si>
    <t>締付ボルト_SNB7_グリスアップ_M39x670L</t>
  </si>
  <si>
    <t>MBOM261</t>
  </si>
  <si>
    <t>MBOM262</t>
  </si>
  <si>
    <t>H0000029912</t>
  </si>
  <si>
    <t>締付ボルト_SNB7_グリスアップ_M39x770L</t>
  </si>
  <si>
    <t>MBOM263</t>
  </si>
  <si>
    <t>MBOM264</t>
  </si>
  <si>
    <t>H0000029913</t>
  </si>
  <si>
    <t>締付ボルト_SNB7_グリスアップ_M39x870L</t>
  </si>
  <si>
    <t>MBOM265</t>
  </si>
  <si>
    <t>MBOM266</t>
  </si>
  <si>
    <t>H0000029914</t>
  </si>
  <si>
    <t>締付ボルト_SNB7_グリスアップ_M39x970L</t>
  </si>
  <si>
    <t>MBOM267</t>
  </si>
  <si>
    <t>MBOM268</t>
  </si>
  <si>
    <t>H0000029915</t>
  </si>
  <si>
    <t>締付ボルト_SNB7_グリスアップ_M39x1070L</t>
  </si>
  <si>
    <t>MBOM269</t>
  </si>
  <si>
    <t>MBOM270</t>
  </si>
  <si>
    <t>H0000029916</t>
  </si>
  <si>
    <t>締付ボルト_SNB7_グリスアップ_M39x1170L</t>
  </si>
  <si>
    <t>MBOM271</t>
  </si>
  <si>
    <t>MBOM272</t>
  </si>
  <si>
    <t>H0000029917</t>
  </si>
  <si>
    <t>締付ボルト_SNB7_グリスアップ_M39x1270L</t>
  </si>
  <si>
    <t>MBOM273</t>
  </si>
  <si>
    <t>MBOM274</t>
  </si>
  <si>
    <t>H0000029918</t>
  </si>
  <si>
    <t>締付ボルト_SNB7_グリスアップ_M39x1370L</t>
  </si>
  <si>
    <t>MBOM275</t>
  </si>
  <si>
    <t>MBOM276</t>
  </si>
  <si>
    <t>H0000029919</t>
  </si>
  <si>
    <t>締付ボルト_SNB7_グリスアップ_M39x1470L</t>
  </si>
  <si>
    <t>MBOM277</t>
  </si>
  <si>
    <t>MBOM278</t>
  </si>
  <si>
    <t>H0000029920</t>
  </si>
  <si>
    <t>締付ボルト_SNB7_グリスアップ_M39x1570L</t>
  </si>
  <si>
    <t>MBOM279</t>
  </si>
  <si>
    <t>MBOM280</t>
  </si>
  <si>
    <t>H0000029921</t>
  </si>
  <si>
    <t>締付ボルト_SNB7_グリスアップ_M39x1670L</t>
  </si>
  <si>
    <t>MBOM281</t>
  </si>
  <si>
    <t>MBOM282</t>
  </si>
  <si>
    <t>H0000029922</t>
  </si>
  <si>
    <t>締付ボルト_SNB7_グリスアップ_M39x1770L</t>
  </si>
  <si>
    <t>MBOM283</t>
  </si>
  <si>
    <t>MBOM284</t>
  </si>
  <si>
    <t>H0000029923</t>
  </si>
  <si>
    <t>締付ボルト_SNB7_グリスアップ_M39x1870L</t>
  </si>
  <si>
    <t>MBOM285</t>
  </si>
  <si>
    <t>MBOM286</t>
  </si>
  <si>
    <t>H0000029924</t>
  </si>
  <si>
    <t>締付ボルト_SNB7_グリスアップ_M39x1970L</t>
  </si>
  <si>
    <t>MBOM287</t>
  </si>
  <si>
    <t>MBOM288</t>
  </si>
  <si>
    <t>H0000029925</t>
  </si>
  <si>
    <t>締付ボルト_SNB7_グリスアップ_M39x2070L</t>
  </si>
  <si>
    <t>MBOM289</t>
  </si>
  <si>
    <t>MBOM290</t>
  </si>
  <si>
    <t>H0000029926</t>
  </si>
  <si>
    <t>締付ボルト_SNB7_グリスアップ_M39x2170L</t>
  </si>
  <si>
    <t>MBOM291</t>
  </si>
  <si>
    <t>MBOM292</t>
  </si>
  <si>
    <t>H0000029927</t>
  </si>
  <si>
    <t>締付ボルト_SNB7_グリスアップ_M39x2270L</t>
  </si>
  <si>
    <t>MBOM293</t>
  </si>
  <si>
    <t>MBOM294</t>
  </si>
  <si>
    <t>H0000029928</t>
  </si>
  <si>
    <t>締付ボルト_SNB7_グリスアップ_M39x2370L</t>
  </si>
  <si>
    <t>MBOM295</t>
  </si>
  <si>
    <t>MBOM296</t>
  </si>
  <si>
    <t>H0000029929</t>
  </si>
  <si>
    <t>締付ボルト_SNB7_グリスアップ_M39x2470L</t>
  </si>
  <si>
    <t>MBOM297</t>
  </si>
  <si>
    <t>MBOM298</t>
  </si>
  <si>
    <t>H0000029930</t>
  </si>
  <si>
    <t>締付ボルト_SNB7_グリスアップ_M39x2570L</t>
  </si>
  <si>
    <t>MBOM299</t>
  </si>
  <si>
    <t>MBOM300</t>
  </si>
  <si>
    <t>H0000029931</t>
  </si>
  <si>
    <t>締付ボルト_SNB7_グリスアップ_M39x2670L</t>
  </si>
  <si>
    <t>MBOM301</t>
  </si>
  <si>
    <t>MBOM302</t>
  </si>
  <si>
    <t>H0000029932</t>
  </si>
  <si>
    <t>締付ボルト_SNB7_グリスアップ_M39x2770L</t>
  </si>
  <si>
    <t>MBOM303</t>
  </si>
  <si>
    <t>MBOM304</t>
  </si>
  <si>
    <t>H0000029933</t>
  </si>
  <si>
    <t>締付ボルト_SNB7_グリスアップ_M39x2870L</t>
  </si>
  <si>
    <t>MBOM305</t>
  </si>
  <si>
    <t>MBOM306</t>
  </si>
  <si>
    <t>H0000029934</t>
  </si>
  <si>
    <t>締付ボルト_SNB7_グリスアップ_M39x2970L</t>
  </si>
  <si>
    <t>MBOM307</t>
  </si>
  <si>
    <t>MBOM308</t>
  </si>
  <si>
    <t>H0000029935</t>
  </si>
  <si>
    <t>締付ボルト_SNB7_グリスアップ_M39x3070L</t>
  </si>
  <si>
    <t>MBOM309</t>
  </si>
  <si>
    <t>MBOM310</t>
  </si>
  <si>
    <t>H0000029990</t>
  </si>
  <si>
    <t>締付ボルト_SNB7_グリスアップ_1-5/8-8UNx460L</t>
  </si>
  <si>
    <t>H0000029751</t>
  </si>
  <si>
    <t>かしめナット_HeavyHex._S45C_1-5/8-8UN</t>
  </si>
  <si>
    <t>MBOM311</t>
  </si>
  <si>
    <t>H0000030094</t>
  </si>
  <si>
    <t>スタッドボルト_SNB7_仕上無し_1-5/8-8UNx500Lx500S</t>
  </si>
  <si>
    <t>MBOM312</t>
  </si>
  <si>
    <t>H0000029991</t>
  </si>
  <si>
    <t>締付ボルト_SNB7_グリスアップ_1-5/8-8UNx560L</t>
  </si>
  <si>
    <t>MBOM313</t>
  </si>
  <si>
    <t>H0000030095</t>
  </si>
  <si>
    <t>スタッドボルト_SNB7_仕上無し_1-5/8-8UNx600Lx600S</t>
  </si>
  <si>
    <t>MBOM314</t>
  </si>
  <si>
    <t>H0000029992</t>
  </si>
  <si>
    <t>締付ボルト_SNB7_グリスアップ_1-5/8-8UNx660L</t>
  </si>
  <si>
    <t>MBOM315</t>
  </si>
  <si>
    <t>H0000030096</t>
  </si>
  <si>
    <t>スタッドボルト_SNB7_仕上無し_1-5/8-8UNx700Lx700S</t>
  </si>
  <si>
    <t>MBOM316</t>
  </si>
  <si>
    <t>H0000029993</t>
  </si>
  <si>
    <t>締付ボルト_SNB7_グリスアップ_1-5/8-8UNx760L</t>
  </si>
  <si>
    <t>MBOM317</t>
  </si>
  <si>
    <t>H0000030097</t>
  </si>
  <si>
    <t>スタッドボルト_SNB7_仕上無し_1-5/8-8UNx800Lx800S</t>
  </si>
  <si>
    <t>MBOM318</t>
  </si>
  <si>
    <t>H0000029994</t>
  </si>
  <si>
    <t>締付ボルト_SNB7_グリスアップ_1-5/8-8UNx860L</t>
  </si>
  <si>
    <t>MBOM319</t>
  </si>
  <si>
    <t>H0000030098</t>
  </si>
  <si>
    <t>スタッドボルト_SNB7_仕上無し_1-5/8-8UNx900Lx900S</t>
  </si>
  <si>
    <t>MBOM320</t>
  </si>
  <si>
    <t>H0000029995</t>
  </si>
  <si>
    <t>締付ボルト_SNB7_グリスアップ_1-5/8-8UNx960L</t>
  </si>
  <si>
    <t>MBOM321</t>
  </si>
  <si>
    <t>H0000030099</t>
  </si>
  <si>
    <t>スタッドボルト_SNB7_仕上無し_1-5/8-8UNx1000Lx1000S</t>
  </si>
  <si>
    <t>MBOM322</t>
  </si>
  <si>
    <t>H0000029996</t>
  </si>
  <si>
    <t>締付ボルト_SNB7_グリスアップ_1-5/8-8UNx1060L</t>
  </si>
  <si>
    <t>MBOM323</t>
  </si>
  <si>
    <t>H0000030100</t>
  </si>
  <si>
    <t>スタッドボルト_SNB7_仕上無し_1-5/8-8UNx1100Lx1100S</t>
  </si>
  <si>
    <t>MBOM324</t>
  </si>
  <si>
    <t>H0000029997</t>
  </si>
  <si>
    <t>締付ボルト_SNB7_グリスアップ_1-5/8-8UNx1160L</t>
  </si>
  <si>
    <t>MBOM325</t>
  </si>
  <si>
    <t>H0000030101</t>
  </si>
  <si>
    <t>スタッドボルト_SNB7_仕上無し_1-5/8-8UNx1200Lx1200S</t>
  </si>
  <si>
    <t>MBOM326</t>
  </si>
  <si>
    <t>H0000029998</t>
  </si>
  <si>
    <t>締付ボルト_SNB7_グリスアップ_1-5/8-8UNx1260L</t>
  </si>
  <si>
    <t>MBOM327</t>
  </si>
  <si>
    <t>H0000030102</t>
  </si>
  <si>
    <t>スタッドボルト_SNB7_仕上無し_1-5/8-8UNx1300Lx1300S</t>
  </si>
  <si>
    <t>MBOM328</t>
  </si>
  <si>
    <t>H0000029999</t>
  </si>
  <si>
    <t>締付ボルト_SNB7_グリスアップ_1-5/8-8UNx1360L</t>
  </si>
  <si>
    <t>MBOM329</t>
  </si>
  <si>
    <t>H0000030103</t>
  </si>
  <si>
    <t>スタッドボルト_SNB7_仕上無し_1-5/8-8UNx1400Lx1400S</t>
  </si>
  <si>
    <t>MBOM330</t>
  </si>
  <si>
    <t>H0000030000</t>
  </si>
  <si>
    <t>締付ボルト_SNB7_グリスアップ_1-5/8-8UNx1460L</t>
  </si>
  <si>
    <t>MBOM331</t>
  </si>
  <si>
    <t>H0000030104</t>
  </si>
  <si>
    <t>スタッドボルト_SNB7_仕上無し_1-5/8-8UNx1500Lx1500S</t>
  </si>
  <si>
    <t>MBOM332</t>
  </si>
  <si>
    <t>H0000030001</t>
  </si>
  <si>
    <t>締付ボルト_SNB7_グリスアップ_1-5/8-8UNx1560L</t>
  </si>
  <si>
    <t>MBOM333</t>
  </si>
  <si>
    <t>H0000030105</t>
  </si>
  <si>
    <t>スタッドボルト_SNB7_仕上無し_1-5/8-8UNx1600Lx1600S</t>
  </si>
  <si>
    <t>MBOM334</t>
  </si>
  <si>
    <t>H0000030002</t>
  </si>
  <si>
    <t>締付ボルト_SNB7_グリスアップ_1-5/8-8UNx1660L</t>
  </si>
  <si>
    <t>MBOM335</t>
  </si>
  <si>
    <t>H0000030106</t>
  </si>
  <si>
    <t>スタッドボルト_SNB7_仕上無し_1-5/8-8UNx1700Lx1700S</t>
  </si>
  <si>
    <t>MBOM336</t>
  </si>
  <si>
    <t>H0000030003</t>
  </si>
  <si>
    <t>締付ボルト_SNB7_グリスアップ_1-5/8-8UNx1760L</t>
  </si>
  <si>
    <t>MBOM337</t>
  </si>
  <si>
    <t>H0000030107</t>
  </si>
  <si>
    <t>スタッドボルト_SNB7_仕上無し_1-5/8-8UNx1800Lx1800S</t>
  </si>
  <si>
    <t>MBOM338</t>
  </si>
  <si>
    <t>H0000030004</t>
  </si>
  <si>
    <t>締付ボルト_SNB7_グリスアップ_1-5/8-8UNx1860L</t>
  </si>
  <si>
    <t>MBOM339</t>
  </si>
  <si>
    <t>H0000030108</t>
  </si>
  <si>
    <t>スタッドボルト_SNB7_仕上無し_1-5/8-8UNx1900Lx1900S</t>
  </si>
  <si>
    <t>MBOM340</t>
  </si>
  <si>
    <t>H0000030005</t>
  </si>
  <si>
    <t>締付ボルト_SNB7_グリスアップ_1-5/8-8UNx1960L</t>
  </si>
  <si>
    <t>MBOM341</t>
  </si>
  <si>
    <t>H0000030109</t>
  </si>
  <si>
    <t>スタッドボルト_SNB7_仕上無し_1-5/8-8UNx2000Lx2000S</t>
  </si>
  <si>
    <t>MBOM342</t>
  </si>
  <si>
    <t>H0000030006</t>
  </si>
  <si>
    <t>締付ボルト_SNB7_グリスアップ_1-5/8-8UNx2060L</t>
  </si>
  <si>
    <t>MBOM343</t>
  </si>
  <si>
    <t>H0000030110</t>
  </si>
  <si>
    <t>スタッドボルト_SNB7_仕上無し_1-5/8-8UNx2100Lx2100S</t>
  </si>
  <si>
    <t>MBOM344</t>
  </si>
  <si>
    <t>H0000030007</t>
  </si>
  <si>
    <t>締付ボルト_SNB7_グリスアップ_1-5/8-8UNx2160L</t>
  </si>
  <si>
    <t>MBOM345</t>
  </si>
  <si>
    <t>H0000030111</t>
  </si>
  <si>
    <t>スタッドボルト_SNB7_仕上無し_1-5/8-8UNx2200Lx2200S</t>
  </si>
  <si>
    <t>MBOM346</t>
  </si>
  <si>
    <t>H0000030008</t>
  </si>
  <si>
    <t>締付ボルト_SNB7_グリスアップ_1-5/8-8UNx2260L</t>
  </si>
  <si>
    <t>MBOM347</t>
  </si>
  <si>
    <t>H0000030112</t>
  </si>
  <si>
    <t>スタッドボルト_SNB7_仕上無し_1-5/8-8UNx2300Lx2300S</t>
  </si>
  <si>
    <t>MBOM348</t>
  </si>
  <si>
    <t>H0000030009</t>
  </si>
  <si>
    <t>締付ボルト_SNB7_グリスアップ_1-5/8-8UNx2360L</t>
  </si>
  <si>
    <t>MBOM349</t>
  </si>
  <si>
    <t>H0000030113</t>
  </si>
  <si>
    <t>スタッドボルト_SNB7_仕上無し_1-5/8-8UNx2400Lx2400S</t>
  </si>
  <si>
    <t>MBOM350</t>
  </si>
  <si>
    <t>H0000030010</t>
  </si>
  <si>
    <t>締付ボルト_SNB7_グリスアップ_1-5/8-8UNx2460L</t>
  </si>
  <si>
    <t>MBOM351</t>
  </si>
  <si>
    <t>H0000030114</t>
  </si>
  <si>
    <t>スタッドボルト_SNB7_仕上無し_1-5/8-8UNx2500Lx2500S</t>
  </si>
  <si>
    <t>MBOM352</t>
  </si>
  <si>
    <t>H0000030011</t>
  </si>
  <si>
    <t>締付ボルト_SNB7_グリスアップ_1-5/8-8UNx2560L</t>
  </si>
  <si>
    <t>MBOM353</t>
  </si>
  <si>
    <t>H0000030115</t>
  </si>
  <si>
    <t>スタッドボルト_SNB7_仕上無し_1-5/8-8UNx2600Lx2600S</t>
  </si>
  <si>
    <t>MBOM354</t>
  </si>
  <si>
    <t>H0000030012</t>
  </si>
  <si>
    <t>締付ボルト_SNB7_グリスアップ_1-5/8-8UNx2660L</t>
  </si>
  <si>
    <t>MBOM355</t>
  </si>
  <si>
    <t>H0000030116</t>
  </si>
  <si>
    <t>スタッドボルト_SNB7_仕上無し_1-5/8-8UNx2700Lx2700S</t>
  </si>
  <si>
    <t>MBOM356</t>
  </si>
  <si>
    <t>H0000030013</t>
  </si>
  <si>
    <t>締付ボルト_SNB7_グリスアップ_1-5/8-8UNx2760L</t>
  </si>
  <si>
    <t>MBOM357</t>
  </si>
  <si>
    <t>H0000030117</t>
  </si>
  <si>
    <t>スタッドボルト_SNB7_仕上無し_1-5/8-8UNx2800Lx2800S</t>
  </si>
  <si>
    <t>MBOM358</t>
  </si>
  <si>
    <t>H0000030014</t>
  </si>
  <si>
    <t>締付ボルト_SNB7_グリスアップ_1-5/8-8UNx2860L</t>
  </si>
  <si>
    <t>MBOM359</t>
  </si>
  <si>
    <t>H0000030118</t>
  </si>
  <si>
    <t>スタッドボルト_SNB7_仕上無し_1-5/8-8UNx2900Lx2900S</t>
  </si>
  <si>
    <t>MBOM360</t>
  </si>
  <si>
    <t>H0000030015</t>
  </si>
  <si>
    <t>締付ボルト_SNB7_グリスアップ_1-5/8-8UNx2960L</t>
  </si>
  <si>
    <t>MBOM361</t>
  </si>
  <si>
    <t>H0000030119</t>
  </si>
  <si>
    <t>スタッドボルト_SNB7_仕上無し_1-5/8-8UNx3000Lx3000S</t>
  </si>
  <si>
    <t>MBOM362</t>
  </si>
  <si>
    <t>H0000030016</t>
  </si>
  <si>
    <t>締付ボルト_SNB7_グリスアップ_1-5/8-8UNx3060L</t>
  </si>
  <si>
    <t>MBOM363</t>
  </si>
  <si>
    <t>H0000030120</t>
  </si>
  <si>
    <t>スタッドボルト_SNB7_仕上無し_1-5/8-8UNx3100Lx3100S</t>
  </si>
  <si>
    <t>MBOM364</t>
  </si>
  <si>
    <t>H0000030017</t>
  </si>
  <si>
    <t>締付ボルト_SNB7_グリスアップ_1-5/8-8UNx3160L</t>
  </si>
  <si>
    <t>MBOM365</t>
  </si>
  <si>
    <t>H0000030121</t>
  </si>
  <si>
    <t>スタッドボルト_SNB7_仕上無し_1-5/8-8UNx3200Lx3200S</t>
  </si>
  <si>
    <t>MBOM366</t>
  </si>
  <si>
    <t>H0000030018</t>
  </si>
  <si>
    <t>締付ボルト_SNB7_グリスアップ_1-5/8-8UNx3260L</t>
  </si>
  <si>
    <t>MBOM367</t>
  </si>
  <si>
    <t>H0000030122</t>
  </si>
  <si>
    <t>スタッドボルト_SNB7_仕上無し_1-5/8-8UNx3300Lx3300S</t>
  </si>
  <si>
    <t>MBOM368</t>
  </si>
  <si>
    <t>H0000030019</t>
  </si>
  <si>
    <t>締付ボルト_SNB7_グリスアップ_1-5/8-8UNx3360L</t>
  </si>
  <si>
    <t>MBOM369</t>
  </si>
  <si>
    <t>H0000030123</t>
  </si>
  <si>
    <t>スタッドボルト_SNB7_仕上無し_1-5/8-8UNx3400Lx3400S</t>
  </si>
  <si>
    <t>MBOM370</t>
  </si>
  <si>
    <t>H0000030020</t>
  </si>
  <si>
    <t>締付ボルト_SNB7_グリスアップ_1-5/8-8UNx3460L</t>
  </si>
  <si>
    <t>MBOM371</t>
  </si>
  <si>
    <t>H0000030124</t>
  </si>
  <si>
    <t>スタッドボルト_SNB7_仕上無し_1-5/8-8UNx3500Lx3500S</t>
  </si>
  <si>
    <t>MBOM372</t>
  </si>
  <si>
    <t>H0000030021</t>
  </si>
  <si>
    <t>締付ボルト_SNB7_グリスアップ_1-5/8-8UNx3560L</t>
  </si>
  <si>
    <t>MBOM373</t>
  </si>
  <si>
    <t>H0000030125</t>
  </si>
  <si>
    <t>スタッドボルト_SNB7_仕上無し_1-5/8-8UNx3600Lx3600S</t>
  </si>
  <si>
    <t>MBOM374</t>
  </si>
  <si>
    <t>H0000030022</t>
  </si>
  <si>
    <t>締付ボルト_SNB7_グリスアップ_1-5/8-8UNx3660L</t>
  </si>
  <si>
    <t>MBOM375</t>
  </si>
  <si>
    <t>H0000030126</t>
  </si>
  <si>
    <t>スタッドボルト_SNB7_仕上無し_1-5/8-8UNx3700Lx3700S</t>
  </si>
  <si>
    <t>MBOM376</t>
  </si>
  <si>
    <t>H0000030023</t>
  </si>
  <si>
    <t>締付ボルト_SNB7_グリスアップ_1-5/8-8UNx3760L</t>
  </si>
  <si>
    <t>MBOM377</t>
  </si>
  <si>
    <t>H0000030127</t>
  </si>
  <si>
    <t>スタッドボルト_SNB7_仕上無し_1-5/8-8UNx3800Lx3800S</t>
  </si>
  <si>
    <t>MBOM378</t>
  </si>
  <si>
    <t>H0000030024</t>
  </si>
  <si>
    <t>締付ボルト_SNB7_グリスアップ_1-5/8-8UNx3860L</t>
  </si>
  <si>
    <t>MBOM379</t>
  </si>
  <si>
    <t>H0000030128</t>
  </si>
  <si>
    <t>スタッドボルト_SNB7_仕上無し_1-5/8-8UNx3900Lx3900S</t>
  </si>
  <si>
    <t>MBOM380</t>
  </si>
  <si>
    <t>H0000030025</t>
  </si>
  <si>
    <t>締付ボルト_SNB7_グリスアップ_1-5/8-8UNx3960L</t>
  </si>
  <si>
    <t>MBOM381</t>
  </si>
  <si>
    <t>H0000030129</t>
  </si>
  <si>
    <t>スタッドボルト_SNB7_仕上無し_1-5/8-8UNx4000Lx4000S</t>
  </si>
  <si>
    <t>MBOM382</t>
  </si>
  <si>
    <t>H0000030026</t>
  </si>
  <si>
    <t>締付ボルト_SNB7_グリスアップ_1-5/8-8UNx4060L</t>
  </si>
  <si>
    <t>MBOM383</t>
  </si>
  <si>
    <t>H0000030130</t>
  </si>
  <si>
    <t>スタッドボルト_SNB7_仕上無し_1-5/8-8UNx4100Lx4100S</t>
  </si>
  <si>
    <t>MBOM384</t>
  </si>
  <si>
    <t>H0000030027</t>
  </si>
  <si>
    <t>締付ボルト_SNB7_グリスアップ_1-5/8-8UNx4160L</t>
  </si>
  <si>
    <t>MBOM385</t>
  </si>
  <si>
    <t>H0000030131</t>
  </si>
  <si>
    <t>スタッドボルト_SNB7_仕上無し_1-5/8-8UNx4200Lx4200S</t>
  </si>
  <si>
    <t>MBOM386</t>
  </si>
  <si>
    <t>H0000030028</t>
  </si>
  <si>
    <t>締付ボルト_SNB7_グリスアップ_1-5/8-8UNx4260L</t>
  </si>
  <si>
    <t>MBOM387</t>
  </si>
  <si>
    <t>H0000030132</t>
  </si>
  <si>
    <t>スタッドボルト_SNB7_仕上無し_1-5/8-8UNx4300Lx4300S</t>
  </si>
  <si>
    <t>MBOM388</t>
  </si>
  <si>
    <t>H0000030029</t>
  </si>
  <si>
    <t>締付ボルト_SNB7_グリスアップ_1-5/8-8UNx4360L</t>
  </si>
  <si>
    <t>MBOM389</t>
  </si>
  <si>
    <t>H0000030133</t>
  </si>
  <si>
    <t>スタッドボルト_SNB7_仕上無し_1-5/8-8UNx4400Lx4400S</t>
  </si>
  <si>
    <t>MBOM390</t>
  </si>
  <si>
    <t>H0000030030</t>
  </si>
  <si>
    <t>締付ボルト_SNB7_グリスアップ_1-5/8-8UNx4460L</t>
  </si>
  <si>
    <t>MBOM391</t>
  </si>
  <si>
    <t>H0000030134</t>
  </si>
  <si>
    <t>スタッドボルト_SNB7_仕上無し_1-5/8-8UNx4500Lx4500S</t>
  </si>
  <si>
    <t>MBOM392</t>
  </si>
  <si>
    <t>H0000030031</t>
  </si>
  <si>
    <t>締付ボルト_SNB7_グリスアップ_1-5/8-8UNx4560L</t>
  </si>
  <si>
    <t>MBOM393</t>
  </si>
  <si>
    <t>H0000030135</t>
  </si>
  <si>
    <t>スタッドボルト_SNB7_仕上無し_1-5/8-8UNx4600Lx4600S</t>
  </si>
  <si>
    <t>MBOM394</t>
  </si>
  <si>
    <t>H0000030032</t>
  </si>
  <si>
    <t>締付ボルト_SNB7_グリスアップ_1-5/8-8UNx4660L</t>
  </si>
  <si>
    <t>H0000030136</t>
  </si>
  <si>
    <t>スタッドボルト_SNB7_仕上無し_1-5/8-8UNx4700Lx4700S</t>
  </si>
  <si>
    <t>MBOM396</t>
  </si>
  <si>
    <t>H0000030033</t>
  </si>
  <si>
    <t>締付ボルト_SNB7_グリスアップ_1-5/8-8UNx4760L</t>
  </si>
  <si>
    <t>H0000030137</t>
  </si>
  <si>
    <t>スタッドボルト_SNB7_仕上無し_1-5/8-8UNx4800Lx4800S</t>
  </si>
  <si>
    <t>MBOM398</t>
  </si>
  <si>
    <t>H0000030034</t>
  </si>
  <si>
    <t>締付ボルト_SNB7_グリスアップ_1-5/8-8UNx4860L</t>
  </si>
  <si>
    <t>H0000030138</t>
  </si>
  <si>
    <t>スタッドボルト_SNB7_仕上無し_1-5/8-8UNx4900Lx4900S</t>
  </si>
  <si>
    <t>MBOM400</t>
  </si>
  <si>
    <t>H0000030035</t>
  </si>
  <si>
    <t>締付ボルト_SNB7_グリスアップ_1-5/8-8UNx4960L</t>
  </si>
  <si>
    <t>H0000030139</t>
  </si>
  <si>
    <t>スタッドボルト_SNB7_仕上無し_1-5/8-8UNx5000Lx5000S</t>
  </si>
  <si>
    <t>MBOM402</t>
  </si>
  <si>
    <t>H0000030036</t>
  </si>
  <si>
    <t>締付ボルト_SNB7_グリスアップ_1-5/8-8UNx5060L</t>
  </si>
  <si>
    <t>H0000030140</t>
  </si>
  <si>
    <t>スタッドボルト_SNB7_仕上無し_1-5/8-8UNx5100Lx5100S</t>
  </si>
  <si>
    <t>MBOM404</t>
  </si>
  <si>
    <t>H0000030037</t>
  </si>
  <si>
    <t>締付ボルト_SNB7_グリスアップ_1-5/8-8UNx5160L</t>
  </si>
  <si>
    <t>H0000030141</t>
  </si>
  <si>
    <t>スタッドボルト_SNB7_仕上無し_1-5/8-8UNx5200Lx5200S</t>
  </si>
  <si>
    <t>MBOM406</t>
  </si>
  <si>
    <t>H0000030038</t>
  </si>
  <si>
    <t>締付ボルト_SNB7_グリスアップ_1-5/8-8UNx5260L</t>
  </si>
  <si>
    <t>H0000030142</t>
  </si>
  <si>
    <t>スタッドボルト_SNB7_仕上無し_1-5/8-8UNx5300Lx5300S</t>
  </si>
  <si>
    <t>MBOM408</t>
  </si>
  <si>
    <t>H0000030039</t>
  </si>
  <si>
    <t>締付ボルト_SNB7_グリスアップ_1-5/8-8UNx5360L</t>
  </si>
  <si>
    <t>H0000030143</t>
  </si>
  <si>
    <t>スタッドボルト_SNB7_仕上無し_1-5/8-8UNx5400Lx5400S</t>
  </si>
  <si>
    <t>MBOM410</t>
  </si>
  <si>
    <t>H0000030040</t>
  </si>
  <si>
    <t>締付ボルト_SNB7_グリスアップ_1-5/8-8UNx5460L</t>
  </si>
  <si>
    <t>H0000030144</t>
  </si>
  <si>
    <t>スタッドボルト_SNB7_仕上無し_1-5/8-8UNx5500Lx5500S</t>
  </si>
  <si>
    <t>MBOM412</t>
  </si>
  <si>
    <t>H0000030041</t>
  </si>
  <si>
    <t>締付ボルト_SNB7_グリスアップ_1-5/8-8UNx5560L</t>
  </si>
  <si>
    <t>H0000030145</t>
  </si>
  <si>
    <t>スタッドボルト_SNB7_仕上無し_1-5/8-8UNx5600Lx5600S</t>
  </si>
  <si>
    <t>MBOM414</t>
  </si>
  <si>
    <t>H0000030146</t>
  </si>
  <si>
    <t>締付ボルト_SNB7_グリスアップ_2-8UNx750L</t>
  </si>
  <si>
    <t>H0000029752</t>
  </si>
  <si>
    <t>かしめナット_HeavyHex._S45C_2-8UN</t>
  </si>
  <si>
    <t>H0000030238</t>
  </si>
  <si>
    <t>スタッドボルト_SNB7_仕上無し_2-8UNx800Lx800S</t>
  </si>
  <si>
    <t>MBOM416</t>
  </si>
  <si>
    <t>H0000030147</t>
  </si>
  <si>
    <t>締付ボルト_SNB7_グリスアップ_2-8UNx850L</t>
  </si>
  <si>
    <t>H0000030239</t>
  </si>
  <si>
    <t>スタッドボルト_SNB7_仕上無し_2-8UNx900Lx900S</t>
  </si>
  <si>
    <t>MBOM418</t>
  </si>
  <si>
    <t>H0000030148</t>
  </si>
  <si>
    <t>締付ボルト_SNB7_グリスアップ_2-8UNx950L</t>
  </si>
  <si>
    <t>H0000030240</t>
  </si>
  <si>
    <t>スタッドボルト_SNB7_仕上無し_2-8UNx1000Lx1000S</t>
  </si>
  <si>
    <t>MBOM420</t>
  </si>
  <si>
    <t>H0000030149</t>
  </si>
  <si>
    <t>締付ボルト_SNB7_グリスアップ_2-8UNx1050L</t>
  </si>
  <si>
    <t>H0000030241</t>
  </si>
  <si>
    <t>スタッドボルト_SNB7_仕上無し_2-8UNx1100Lx1100S</t>
  </si>
  <si>
    <t>MBOM422</t>
  </si>
  <si>
    <t>H0000030150</t>
  </si>
  <si>
    <t>締付ボルト_SNB7_グリスアップ_2-8UNx1150L</t>
  </si>
  <si>
    <t>H0000030242</t>
  </si>
  <si>
    <t>スタッドボルト_SNB7_仕上無し_2-8UNx1200Lx1200S</t>
  </si>
  <si>
    <t>MBOM424</t>
  </si>
  <si>
    <t>H0000030151</t>
  </si>
  <si>
    <t>締付ボルト_SNB7_グリスアップ_2-8UNx1250L</t>
  </si>
  <si>
    <t>H0000030243</t>
  </si>
  <si>
    <t>スタッドボルト_SNB7_仕上無し_2-8UNx1300Lx1300S</t>
  </si>
  <si>
    <t>MBOM426</t>
  </si>
  <si>
    <t>H0000030152</t>
  </si>
  <si>
    <t>締付ボルト_SNB7_グリスアップ_2-8UNx1350L</t>
  </si>
  <si>
    <t>H0000030244</t>
  </si>
  <si>
    <t>スタッドボルト_SNB7_仕上無し_2-8UNx1400Lx1400S</t>
  </si>
  <si>
    <t>MBOM428</t>
  </si>
  <si>
    <t>H0000030153</t>
  </si>
  <si>
    <t>締付ボルト_SNB7_グリスアップ_2-8UNx1450L</t>
  </si>
  <si>
    <t>H0000030245</t>
  </si>
  <si>
    <t>スタッドボルト_SNB7_仕上無し_2-8UNx1500Lx1500S</t>
  </si>
  <si>
    <t>MBOM430</t>
  </si>
  <si>
    <t>H0000030154</t>
  </si>
  <si>
    <t>締付ボルト_SNB7_グリスアップ_2-8UNx1550L</t>
  </si>
  <si>
    <t>H0000030246</t>
  </si>
  <si>
    <t>スタッドボルト_SNB7_仕上無し_2-8UNx1600Lx1600S</t>
  </si>
  <si>
    <t>MBOM432</t>
  </si>
  <si>
    <t>H0000030155</t>
  </si>
  <si>
    <t>締付ボルト_SNB7_グリスアップ_2-8UNx1650L</t>
  </si>
  <si>
    <t>H0000030247</t>
  </si>
  <si>
    <t>スタッドボルト_SNB7_仕上無し_2-8UNx1700Lx1700S</t>
  </si>
  <si>
    <t>MBOM434</t>
  </si>
  <si>
    <t>H0000030156</t>
  </si>
  <si>
    <t>締付ボルト_SNB7_グリスアップ_2-8UNx1750L</t>
  </si>
  <si>
    <t>H0000030248</t>
  </si>
  <si>
    <t>スタッドボルト_SNB7_仕上無し_2-8UNx1800Lx1800S</t>
  </si>
  <si>
    <t>MBOM436</t>
  </si>
  <si>
    <t>H0000030157</t>
  </si>
  <si>
    <t>締付ボルト_SNB7_グリスアップ_2-8UNx1850L</t>
  </si>
  <si>
    <t>H0000030249</t>
  </si>
  <si>
    <t>スタッドボルト_SNB7_仕上無し_2-8UNx1900Lx1900S</t>
  </si>
  <si>
    <t>MBOM438</t>
  </si>
  <si>
    <t>H0000030158</t>
  </si>
  <si>
    <t>締付ボルト_SNB7_グリスアップ_2-8UNx1950L</t>
  </si>
  <si>
    <t>H0000030250</t>
  </si>
  <si>
    <t>スタッドボルト_SNB7_仕上無し_2-8UNx2000Lx2000S</t>
  </si>
  <si>
    <t>MBOM440</t>
  </si>
  <si>
    <t>H0000030159</t>
  </si>
  <si>
    <t>締付ボルト_SNB7_グリスアップ_2-8UNx2050L</t>
  </si>
  <si>
    <t>H0000030251</t>
  </si>
  <si>
    <t>スタッドボルト_SNB7_仕上無し_2-8UNx2100Lx2100S</t>
  </si>
  <si>
    <t>MBOM442</t>
  </si>
  <si>
    <t>H0000030160</t>
  </si>
  <si>
    <t>締付ボルト_SNB7_グリスアップ_2-8UNx2150L</t>
  </si>
  <si>
    <t>H0000030252</t>
  </si>
  <si>
    <t>スタッドボルト_SNB7_仕上無し_2-8UNx2200Lx2200S</t>
  </si>
  <si>
    <t>MBOM444</t>
  </si>
  <si>
    <t>H0000030161</t>
  </si>
  <si>
    <t>締付ボルト_SNB7_グリスアップ_2-8UNx2250L</t>
  </si>
  <si>
    <t>MBOM445</t>
  </si>
  <si>
    <t>H0000030253</t>
  </si>
  <si>
    <t>スタッドボルト_SNB7_仕上無し_2-8UNx2300Lx2300S</t>
  </si>
  <si>
    <t>MBOM446</t>
  </si>
  <si>
    <t>H0000030162</t>
  </si>
  <si>
    <t>締付ボルト_SNB7_グリスアップ_2-8UNx2350L</t>
  </si>
  <si>
    <t>MBOM447</t>
  </si>
  <si>
    <t>H0000030254</t>
  </si>
  <si>
    <t>スタッドボルト_SNB7_仕上無し_2-8UNx2400Lx2400S</t>
  </si>
  <si>
    <t>MBOM448</t>
  </si>
  <si>
    <t>H0000030163</t>
  </si>
  <si>
    <t>締付ボルト_SNB7_グリスアップ_2-8UNx2450L</t>
  </si>
  <si>
    <t>MBOM449</t>
  </si>
  <si>
    <t>H0000030255</t>
  </si>
  <si>
    <t>スタッドボルト_SNB7_仕上無し_2-8UNx2500Lx2500S</t>
  </si>
  <si>
    <t>MBOM450</t>
  </si>
  <si>
    <t>H0000030164</t>
  </si>
  <si>
    <t>締付ボルト_SNB7_グリスアップ_2-8UNx2550L</t>
  </si>
  <si>
    <t>MBOM451</t>
  </si>
  <si>
    <t>H0000030256</t>
  </si>
  <si>
    <t>スタッドボルト_SNB7_仕上無し_2-8UNx2600Lx2600S</t>
  </si>
  <si>
    <t>MBOM452</t>
  </si>
  <si>
    <t>H0000030165</t>
  </si>
  <si>
    <t>締付ボルト_SNB7_グリスアップ_2-8UNx2650L</t>
  </si>
  <si>
    <t>MBOM453</t>
  </si>
  <si>
    <t>H0000030257</t>
  </si>
  <si>
    <t>スタッドボルト_SNB7_仕上無し_2-8UNx2700Lx2700S</t>
  </si>
  <si>
    <t>MBOM454</t>
  </si>
  <si>
    <t>H0000030166</t>
  </si>
  <si>
    <t>締付ボルト_SNB7_グリスアップ_2-8UNx2750L</t>
  </si>
  <si>
    <t>MBOM455</t>
  </si>
  <si>
    <t>H0000030258</t>
  </si>
  <si>
    <t>スタッドボルト_SNB7_仕上無し_2-8UNx2800Lx2800S</t>
  </si>
  <si>
    <t>MBOM456</t>
  </si>
  <si>
    <t>H0000030167</t>
  </si>
  <si>
    <t>締付ボルト_SNB7_グリスアップ_2-8UNx2850L</t>
  </si>
  <si>
    <t>MBOM457</t>
  </si>
  <si>
    <t>H0000030259</t>
  </si>
  <si>
    <t>スタッドボルト_SNB7_仕上無し_2-8UNx2900Lx2900S</t>
  </si>
  <si>
    <t>MBOM458</t>
  </si>
  <si>
    <t>H0000030168</t>
  </si>
  <si>
    <t>締付ボルト_SNB7_グリスアップ_2-8UNx2950L</t>
  </si>
  <si>
    <t>MBOM459</t>
  </si>
  <si>
    <t>H0000030260</t>
  </si>
  <si>
    <t>スタッドボルト_SNB7_仕上無し_2-8UNx3000Lx3000S</t>
  </si>
  <si>
    <t>MBOM460</t>
  </si>
  <si>
    <t>H0000030169</t>
  </si>
  <si>
    <t>締付ボルト_SNB7_グリスアップ_2-8UNx3050L</t>
  </si>
  <si>
    <t>MBOM461</t>
  </si>
  <si>
    <t>H0000030261</t>
  </si>
  <si>
    <t>スタッドボルト_SNB7_仕上無し_2-8UNx3100Lx3100S</t>
  </si>
  <si>
    <t>MBOM462</t>
  </si>
  <si>
    <t>H0000030170</t>
  </si>
  <si>
    <t>締付ボルト_SNB7_グリスアップ_2-8UNx3150L</t>
  </si>
  <si>
    <t>MBOM463</t>
  </si>
  <si>
    <t>H0000030262</t>
  </si>
  <si>
    <t>スタッドボルト_SNB7_仕上無し_2-8UNx3200Lx3200S</t>
  </si>
  <si>
    <t>MBOM464</t>
  </si>
  <si>
    <t>H0000030171</t>
  </si>
  <si>
    <t>締付ボルト_SNB7_グリスアップ_2-8UNx3250L</t>
  </si>
  <si>
    <t>MBOM465</t>
  </si>
  <si>
    <t>H0000030263</t>
  </si>
  <si>
    <t>スタッドボルト_SNB7_仕上無し_2-8UNx3300Lx3300S</t>
  </si>
  <si>
    <t>MBOM466</t>
  </si>
  <si>
    <t>H0000030172</t>
  </si>
  <si>
    <t>締付ボルト_SNB7_グリスアップ_2-8UNx3350L</t>
  </si>
  <si>
    <t>MBOM467</t>
  </si>
  <si>
    <t>H0000030264</t>
  </si>
  <si>
    <t>スタッドボルト_SNB7_仕上無し_2-8UNx3400Lx3400S</t>
  </si>
  <si>
    <t>MBOM468</t>
  </si>
  <si>
    <t>H0000030173</t>
  </si>
  <si>
    <t>締付ボルト_SNB7_グリスアップ_2-8UNx3450L</t>
  </si>
  <si>
    <t>MBOM469</t>
  </si>
  <si>
    <t>H0000030265</t>
  </si>
  <si>
    <t>スタッドボルト_SNB7_仕上無し_2-8UNx3500Lx3500S</t>
  </si>
  <si>
    <t>MBOM470</t>
  </si>
  <si>
    <t>H0000030174</t>
  </si>
  <si>
    <t>締付ボルト_SNB7_グリスアップ_2-8UNx3550L</t>
  </si>
  <si>
    <t>MBOM471</t>
  </si>
  <si>
    <t>H0000030266</t>
  </si>
  <si>
    <t>スタッドボルト_SNB7_仕上無し_2-8UNx3600Lx3600S</t>
  </si>
  <si>
    <t>MBOM472</t>
  </si>
  <si>
    <t>H0000030175</t>
  </si>
  <si>
    <t>締付ボルト_SNB7_グリスアップ_2-8UNx3650L</t>
  </si>
  <si>
    <t>MBOM473</t>
  </si>
  <si>
    <t>H0000030267</t>
  </si>
  <si>
    <t>スタッドボルト_SNB7_仕上無し_2-8UNx3700Lx3700S</t>
  </si>
  <si>
    <t>MBOM474</t>
  </si>
  <si>
    <t>H0000030176</t>
  </si>
  <si>
    <t>締付ボルト_SNB7_グリスアップ_2-8UNx3750L</t>
  </si>
  <si>
    <t>MBOM475</t>
  </si>
  <si>
    <t>H0000030268</t>
  </si>
  <si>
    <t>スタッドボルト_SNB7_仕上無し_2-8UNx3800Lx3800S</t>
  </si>
  <si>
    <t>MBOM476</t>
  </si>
  <si>
    <t>H0000030177</t>
  </si>
  <si>
    <t>締付ボルト_SNB7_グリスアップ_2-8UNx3850L</t>
  </si>
  <si>
    <t>MBOM477</t>
  </si>
  <si>
    <t>H0000030269</t>
  </si>
  <si>
    <t>スタッドボルト_SNB7_仕上無し_2-8UNx3900Lx3900S</t>
  </si>
  <si>
    <t>MBOM478</t>
  </si>
  <si>
    <t>H0000030178</t>
  </si>
  <si>
    <t>締付ボルト_SNB7_グリスアップ_2-8UNx3950L</t>
  </si>
  <si>
    <t>MBOM479</t>
  </si>
  <si>
    <t>H0000030270</t>
  </si>
  <si>
    <t>スタッドボルト_SNB7_仕上無し_2-8UNx4000Lx4000S</t>
  </si>
  <si>
    <t>MBOM480</t>
  </si>
  <si>
    <t>H0000030179</t>
  </si>
  <si>
    <t>締付ボルト_SNB7_グリスアップ_2-8UNx4050L</t>
  </si>
  <si>
    <t>MBOM481</t>
  </si>
  <si>
    <t>H0000030271</t>
  </si>
  <si>
    <t>スタッドボルト_SNB7_仕上無し_2-8UNx4100Lx4100S</t>
  </si>
  <si>
    <t>MBOM482</t>
  </si>
  <si>
    <t>H0000030180</t>
  </si>
  <si>
    <t>締付ボルト_SNB7_グリスアップ_2-8UNx4150L</t>
  </si>
  <si>
    <t>MBOM483</t>
  </si>
  <si>
    <t>H0000030272</t>
  </si>
  <si>
    <t>スタッドボルト_SNB7_仕上無し_2-8UNx4200Lx4200S</t>
  </si>
  <si>
    <t>MBOM484</t>
  </si>
  <si>
    <t>H0000030181</t>
  </si>
  <si>
    <t>締付ボルト_SNB7_グリスアップ_2-8UNx4250L</t>
  </si>
  <si>
    <t>MBOM485</t>
  </si>
  <si>
    <t>H0000030273</t>
  </si>
  <si>
    <t>スタッドボルト_SNB7_仕上無し_2-8UNx4300Lx4300S</t>
  </si>
  <si>
    <t>MBOM486</t>
  </si>
  <si>
    <t>H0000030182</t>
  </si>
  <si>
    <t>締付ボルト_SNB7_グリスアップ_2-8UNx4350L</t>
  </si>
  <si>
    <t>MBOM487</t>
  </si>
  <si>
    <t>H0000030274</t>
  </si>
  <si>
    <t>スタッドボルト_SNB7_仕上無し_2-8UNx4400Lx4400S</t>
  </si>
  <si>
    <t>MBOM488</t>
  </si>
  <si>
    <t>H0000030183</t>
  </si>
  <si>
    <t>締付ボルト_SNB7_グリスアップ_2-8UNx4450L</t>
  </si>
  <si>
    <t>MBOM489</t>
  </si>
  <si>
    <t>H0000030275</t>
  </si>
  <si>
    <t>スタッドボルト_SNB7_仕上無し_2-8UNx4500Lx4500S</t>
  </si>
  <si>
    <t>MBOM490</t>
  </si>
  <si>
    <t>H0000030184</t>
  </si>
  <si>
    <t>締付ボルト_SNB7_グリスアップ_2-8UNx4550L</t>
  </si>
  <si>
    <t>MBOM491</t>
  </si>
  <si>
    <t>H0000030276</t>
  </si>
  <si>
    <t>スタッドボルト_SNB7_仕上無し_2-8UNx4600Lx4600S</t>
  </si>
  <si>
    <t>MBOM492</t>
  </si>
  <si>
    <t>H0000030185</t>
  </si>
  <si>
    <t>締付ボルト_SNB7_グリスアップ_2-8UNx4650L</t>
  </si>
  <si>
    <t>MBOM493</t>
  </si>
  <si>
    <t>H0000030277</t>
  </si>
  <si>
    <t>スタッドボルト_SNB7_仕上無し_2-8UNx4700Lx4700S</t>
  </si>
  <si>
    <t>MBOM494</t>
  </si>
  <si>
    <t>H0000030186</t>
  </si>
  <si>
    <t>締付ボルト_SNB7_グリスアップ_2-8UNx4750L</t>
  </si>
  <si>
    <t>MBOM495</t>
  </si>
  <si>
    <t>H0000030278</t>
  </si>
  <si>
    <t>スタッドボルト_SNB7_仕上無し_2-8UNx4800Lx4800S</t>
  </si>
  <si>
    <t>MBOM496</t>
  </si>
  <si>
    <t>H0000030187</t>
  </si>
  <si>
    <t>締付ボルト_SNB7_グリスアップ_2-8UNx4850L</t>
  </si>
  <si>
    <t>MBOM497</t>
  </si>
  <si>
    <t>H0000030279</t>
  </si>
  <si>
    <t>スタッドボルト_SNB7_仕上無し_2-8UNx4900Lx4900S</t>
  </si>
  <si>
    <t>MBOM498</t>
  </si>
  <si>
    <t>H0000030188</t>
  </si>
  <si>
    <t>締付ボルト_SNB7_グリスアップ_2-8UNx4950L</t>
  </si>
  <si>
    <t>MBOM499</t>
  </si>
  <si>
    <t>H0000030280</t>
  </si>
  <si>
    <t>スタッドボルト_SNB7_仕上無し_2-8UNx5000Lx5000S</t>
  </si>
  <si>
    <t>MBOM500</t>
  </si>
  <si>
    <t>H0000030189</t>
  </si>
  <si>
    <t>締付ボルト_SNB7_グリスアップ_2-8UNx5050L</t>
  </si>
  <si>
    <t>MBOM501</t>
  </si>
  <si>
    <t>H0000030281</t>
  </si>
  <si>
    <t>スタッドボルト_SNB7_仕上無し_2-8UNx5100Lx5100S</t>
  </si>
  <si>
    <t>MBOM502</t>
  </si>
  <si>
    <t>H0000030190</t>
  </si>
  <si>
    <t>締付ボルト_SNB7_グリスアップ_2-8UNx5150L</t>
  </si>
  <si>
    <t>MBOM503</t>
  </si>
  <si>
    <t>H0000030282</t>
  </si>
  <si>
    <t>スタッドボルト_SNB7_仕上無し_2-8UNx5200Lx5200S</t>
  </si>
  <si>
    <t>MBOM504</t>
  </si>
  <si>
    <t>H0000030191</t>
  </si>
  <si>
    <t>締付ボルト_SNB7_グリスアップ_2-8UNx5250L</t>
  </si>
  <si>
    <t>MBOM505</t>
  </si>
  <si>
    <t>H0000030283</t>
  </si>
  <si>
    <t>スタッドボルト_SNB7_仕上無し_2-8UNx5300Lx5300S</t>
  </si>
  <si>
    <t>MBOM506</t>
  </si>
  <si>
    <t>H0000029693</t>
  </si>
  <si>
    <t>スタッドボルト_SS400_仕上無し_M30x300Lx300S</t>
  </si>
  <si>
    <t>MBOM507</t>
  </si>
  <si>
    <t>H0000029744</t>
  </si>
  <si>
    <t>かしめナット_1種_SS400_M30</t>
  </si>
  <si>
    <t>MBOM508</t>
  </si>
  <si>
    <t>H0000029694</t>
  </si>
  <si>
    <t>スタッドボルト_SS400_仕上無し_M30x400Lx400S</t>
  </si>
  <si>
    <t>MBOM509</t>
  </si>
  <si>
    <t>MBOM510</t>
  </si>
  <si>
    <t>H0000029695</t>
  </si>
  <si>
    <t>スタッドボルト_SS400_仕上無し_M30x500Lx500S</t>
  </si>
  <si>
    <t>MBOM511</t>
  </si>
  <si>
    <t>MBOM512</t>
  </si>
  <si>
    <t>H0000029696</t>
  </si>
  <si>
    <t>スタッドボルト_SS400_仕上無し_M30x600Lx600S</t>
  </si>
  <si>
    <t>MBOM513</t>
  </si>
  <si>
    <t>MBOM514</t>
  </si>
  <si>
    <t>H0000029697</t>
  </si>
  <si>
    <t>スタッドボルト_SS400_仕上無し_M30x700Lx700S</t>
  </si>
  <si>
    <t>MBOM515</t>
  </si>
  <si>
    <t>MBOM516</t>
  </si>
  <si>
    <t>H0000029698</t>
  </si>
  <si>
    <t>スタッドボルト_SS400_仕上無し_M30x800Lx800S</t>
  </si>
  <si>
    <t>MBOM517</t>
  </si>
  <si>
    <t>MBOM518</t>
  </si>
  <si>
    <t>H0000029699</t>
  </si>
  <si>
    <t>スタッドボルト_SS400_仕上無し_M30x900Lx900S</t>
  </si>
  <si>
    <t>MBOM519</t>
  </si>
  <si>
    <t>MBOM520</t>
  </si>
  <si>
    <t>H0000029700</t>
  </si>
  <si>
    <t>スタッドボルト_SS400_仕上無し_M30x1000Lx1000S</t>
  </si>
  <si>
    <t>MBOM521</t>
  </si>
  <si>
    <t>MBOM522</t>
  </si>
  <si>
    <t>H0000029701</t>
  </si>
  <si>
    <t>スタッドボルト_SS400_仕上無し_M30x1100Lx1100S</t>
  </si>
  <si>
    <t>MBOM523</t>
  </si>
  <si>
    <t>MBOM524</t>
  </si>
  <si>
    <t>H0000029702</t>
  </si>
  <si>
    <t>スタッドボルト_SS400_仕上無し_M30x1200Lx1200S</t>
  </si>
  <si>
    <t>MBOM525</t>
  </si>
  <si>
    <t>MBOM526</t>
  </si>
  <si>
    <t>H0000029703</t>
  </si>
  <si>
    <t>スタッドボルト_SS400_仕上無し_M30x1300Lx1300S</t>
  </si>
  <si>
    <t>MBOM527</t>
  </si>
  <si>
    <t>MBOM528</t>
  </si>
  <si>
    <t>H0000029704</t>
  </si>
  <si>
    <t>スタッドボルト_SNB7_仕上無し_M30x300Lx300S</t>
  </si>
  <si>
    <t>MBOM529</t>
  </si>
  <si>
    <t>H0000029745</t>
  </si>
  <si>
    <t>かしめナット_1種_S45C_M30</t>
  </si>
  <si>
    <t>MBOM530</t>
  </si>
  <si>
    <t>H0000029705</t>
  </si>
  <si>
    <t>スタッドボルト_SNB7_仕上無し_M30x400Lx400S</t>
  </si>
  <si>
    <t>MBOM531</t>
  </si>
  <si>
    <t>MBOM532</t>
  </si>
  <si>
    <t>H0000029706</t>
  </si>
  <si>
    <t>スタッドボルト_SNB7_仕上無し_M30x500Lx500S</t>
  </si>
  <si>
    <t>MBOM533</t>
  </si>
  <si>
    <t>MBOM534</t>
  </si>
  <si>
    <t>H0000029707</t>
  </si>
  <si>
    <t>スタッドボルト_SNB7_仕上無し_M30x600Lx600S</t>
  </si>
  <si>
    <t>MBOM535</t>
  </si>
  <si>
    <t>MBOM536</t>
  </si>
  <si>
    <t>H0000029708</t>
  </si>
  <si>
    <t>スタッドボルト_SNB7_仕上無し_M30x700Lx700S</t>
  </si>
  <si>
    <t>MBOM537</t>
  </si>
  <si>
    <t>MBOM538</t>
  </si>
  <si>
    <t>H0000029709</t>
  </si>
  <si>
    <t>スタッドボルト_SNB7_仕上無し_M30x800Lx800S</t>
  </si>
  <si>
    <t>MBOM539</t>
  </si>
  <si>
    <t>MBOM540</t>
  </si>
  <si>
    <t>H0000029710</t>
  </si>
  <si>
    <t>スタッドボルト_SNB7_仕上無し_M30x900Lx900S</t>
  </si>
  <si>
    <t>MBOM541</t>
  </si>
  <si>
    <t>MBOM542</t>
  </si>
  <si>
    <t>H0000029711</t>
  </si>
  <si>
    <t>スタッドボルト_SNB7_仕上無し_M30x1000Lx1000S</t>
  </si>
  <si>
    <t>MBOM543</t>
  </si>
  <si>
    <t>MBOM544</t>
  </si>
  <si>
    <t>H0000029712</t>
  </si>
  <si>
    <t>スタッドボルト_SNB7_仕上無し_M30x1100Lx1100S</t>
  </si>
  <si>
    <t>MBOM545</t>
  </si>
  <si>
    <t>MBOM546</t>
  </si>
  <si>
    <t>H0000029713</t>
  </si>
  <si>
    <t>スタッドボルト_SNB7_仕上無し_M30x1200Lx1200S</t>
  </si>
  <si>
    <t>MBOM547</t>
  </si>
  <si>
    <t>MBOM548</t>
  </si>
  <si>
    <t>H0000029714</t>
  </si>
  <si>
    <t>スタッドボルト_SNB7_仕上無し_M30x1300Lx1300S</t>
  </si>
  <si>
    <t>MBOM549</t>
  </si>
  <si>
    <t>MBOM550</t>
  </si>
  <si>
    <t>H0000029726</t>
  </si>
  <si>
    <t>スタッドボルト_SS400_仕上無し_M24x300Lx300S</t>
  </si>
  <si>
    <t>MBOM551</t>
  </si>
  <si>
    <t>H0000029747</t>
  </si>
  <si>
    <t>かしめナット_1種_SS400_M24</t>
  </si>
  <si>
    <t>MBOM552</t>
  </si>
  <si>
    <t>H0000029727</t>
  </si>
  <si>
    <t>スタッドボルト_SS400_仕上無し_M24x400Lx400S</t>
  </si>
  <si>
    <t>MBOM553</t>
  </si>
  <si>
    <t>MBOM554</t>
  </si>
  <si>
    <t>H0000029728</t>
  </si>
  <si>
    <t>スタッドボルト_SS400_仕上無し_M24x500Lx500S</t>
  </si>
  <si>
    <t>MBOM555</t>
  </si>
  <si>
    <t>MBOM556</t>
  </si>
  <si>
    <t>H0000029729</t>
  </si>
  <si>
    <t>スタッドボルト_SS400_仕上無し_M24x600Lx600S</t>
  </si>
  <si>
    <t>MBOM557</t>
  </si>
  <si>
    <t>MBOM558</t>
  </si>
  <si>
    <t>H0000029730</t>
  </si>
  <si>
    <t>スタッドボルト_SS400_仕上無し_M24x700Lx700S</t>
  </si>
  <si>
    <t>MBOM559</t>
  </si>
  <si>
    <t>MBOM560</t>
  </si>
  <si>
    <t>H0000029731</t>
  </si>
  <si>
    <t>スタッドボルト_SS400_仕上無し_M24x800Lx800S</t>
  </si>
  <si>
    <t>MBOM561</t>
  </si>
  <si>
    <t>MBOM562</t>
  </si>
  <si>
    <t>H0000029732</t>
  </si>
  <si>
    <t>スタッドボルト_SS400_仕上無し_M24x900Lx900S</t>
  </si>
  <si>
    <t>MBOM563</t>
  </si>
  <si>
    <t>MBOM564</t>
  </si>
  <si>
    <t>H0000029733</t>
  </si>
  <si>
    <t>スタッドボルト_SS400_仕上無し_M24x1000Lx1000S</t>
  </si>
  <si>
    <t>MBOM565</t>
  </si>
  <si>
    <t>MBOM566</t>
  </si>
  <si>
    <t>H0000029734</t>
  </si>
  <si>
    <t>スタッドボルト_SS400_仕上無し_M24x1100Lx1100S</t>
  </si>
  <si>
    <t>MBOM567</t>
  </si>
  <si>
    <t>MBOM568</t>
  </si>
  <si>
    <t>MBOM569</t>
  </si>
  <si>
    <t>MBOM570</t>
  </si>
  <si>
    <t>MBOM571</t>
  </si>
  <si>
    <t>MBOM572</t>
  </si>
  <si>
    <t>MBOM573</t>
  </si>
  <si>
    <t>MBOM574</t>
  </si>
  <si>
    <t>MBOM575</t>
  </si>
  <si>
    <t>MBOM576</t>
  </si>
  <si>
    <t>MBOM577</t>
  </si>
  <si>
    <t>MBOM578</t>
  </si>
  <si>
    <t>MBOM579</t>
  </si>
  <si>
    <t>MBOM580</t>
  </si>
  <si>
    <t>MBOM581</t>
  </si>
  <si>
    <t>MBOM582</t>
  </si>
  <si>
    <t>MBOM583</t>
  </si>
  <si>
    <t>MBOM584</t>
  </si>
  <si>
    <t>MBOM585</t>
  </si>
  <si>
    <t>MBOM586</t>
  </si>
  <si>
    <t>MBOM587</t>
  </si>
  <si>
    <t>MBOM588</t>
  </si>
  <si>
    <t>MBOM589</t>
  </si>
  <si>
    <t>MBOM590</t>
  </si>
  <si>
    <t>MBOM591</t>
  </si>
  <si>
    <t>MBOM592</t>
  </si>
  <si>
    <t>MBOM593</t>
  </si>
  <si>
    <t>MBOM594</t>
  </si>
  <si>
    <t>MBOM595</t>
  </si>
  <si>
    <t>MBOM596</t>
  </si>
  <si>
    <t>MBOM597</t>
  </si>
  <si>
    <t>MBOM598</t>
  </si>
  <si>
    <t>MBOM599</t>
  </si>
  <si>
    <t>MBOM600</t>
  </si>
  <si>
    <t>MBOM601</t>
  </si>
  <si>
    <t>MBOM602</t>
  </si>
  <si>
    <t>MBOM603</t>
  </si>
  <si>
    <t>MBOM604</t>
  </si>
  <si>
    <t>MBOM605</t>
  </si>
  <si>
    <t>MBOM606</t>
  </si>
  <si>
    <t>MBOM607</t>
  </si>
  <si>
    <t>MBOM608</t>
  </si>
  <si>
    <t>MBOM609</t>
  </si>
  <si>
    <t>MBOM610</t>
  </si>
  <si>
    <t>MBOM611</t>
  </si>
  <si>
    <t>MBOM612</t>
  </si>
  <si>
    <t>MBOM613</t>
  </si>
  <si>
    <t>MBOM614</t>
  </si>
  <si>
    <t>MBOM615</t>
  </si>
  <si>
    <t>MBOM616</t>
  </si>
  <si>
    <t>MBOM617</t>
  </si>
  <si>
    <t>MBOM618</t>
  </si>
  <si>
    <t>MBOM619</t>
  </si>
  <si>
    <t>MBOM620</t>
  </si>
  <si>
    <t>MBOM621</t>
  </si>
  <si>
    <t>MBOM622</t>
  </si>
  <si>
    <t>MBOM623</t>
  </si>
  <si>
    <t>MBOM624</t>
  </si>
  <si>
    <t>MBOM625</t>
  </si>
  <si>
    <t>MBOM626</t>
  </si>
  <si>
    <t>MBOM627</t>
  </si>
  <si>
    <t>MBOM628</t>
  </si>
  <si>
    <t>MBOM629</t>
  </si>
  <si>
    <t>MBOM630</t>
  </si>
  <si>
    <t>MBOM631</t>
  </si>
  <si>
    <t>MBOM632</t>
  </si>
  <si>
    <t>MBOM633</t>
  </si>
  <si>
    <t>MBOM634</t>
  </si>
  <si>
    <t>MBOM635</t>
  </si>
  <si>
    <t>MBOM636</t>
  </si>
  <si>
    <t>MBOM637</t>
  </si>
  <si>
    <t>MBOM638</t>
  </si>
  <si>
    <t>MBOM639</t>
  </si>
  <si>
    <t>MBOM640</t>
  </si>
  <si>
    <t>MBOM641</t>
  </si>
  <si>
    <t>MBOM642</t>
  </si>
  <si>
    <t>MBOM643</t>
  </si>
  <si>
    <t>MBOM644</t>
  </si>
  <si>
    <t>MBOM645</t>
  </si>
  <si>
    <t>MBOM646</t>
  </si>
  <si>
    <t>MBOM647</t>
  </si>
  <si>
    <t>MBOM648</t>
  </si>
  <si>
    <t>MBOM649</t>
  </si>
  <si>
    <t>MBOM650</t>
  </si>
  <si>
    <t>MBOM651</t>
  </si>
  <si>
    <t>MBOM652</t>
  </si>
  <si>
    <t>MBOM653</t>
  </si>
  <si>
    <t>MBOM654</t>
  </si>
  <si>
    <t>MBOM655</t>
  </si>
  <si>
    <t>MBOM656</t>
  </si>
  <si>
    <t>MBOM657</t>
  </si>
  <si>
    <t>MBOM658</t>
  </si>
  <si>
    <t>MBOM659</t>
  </si>
  <si>
    <t>MBOM660</t>
  </si>
  <si>
    <t>MBOM661</t>
  </si>
  <si>
    <t>MBOM662</t>
  </si>
  <si>
    <t>MBOM663</t>
  </si>
  <si>
    <t>MBOM664</t>
  </si>
  <si>
    <t>MBOM665</t>
  </si>
  <si>
    <t>MBOM666</t>
  </si>
  <si>
    <t>MBOM667</t>
  </si>
  <si>
    <t>MBOM668</t>
  </si>
  <si>
    <t>MBOM669</t>
  </si>
  <si>
    <t>MBOM670</t>
  </si>
  <si>
    <t>MBOM671</t>
  </si>
  <si>
    <t>MBOM672</t>
  </si>
  <si>
    <t>MBOM673</t>
  </si>
  <si>
    <t>MBOM674</t>
  </si>
  <si>
    <t>MBOM675</t>
  </si>
  <si>
    <t>MBOM676</t>
  </si>
  <si>
    <t>MBOM677</t>
  </si>
  <si>
    <t>MBOM678</t>
  </si>
  <si>
    <t>MBOM679</t>
  </si>
  <si>
    <t>MBOM680</t>
  </si>
  <si>
    <t>MBOM681</t>
  </si>
  <si>
    <t>MBOM682</t>
  </si>
  <si>
    <t>MBOM683</t>
  </si>
  <si>
    <t>MBOM684</t>
  </si>
  <si>
    <t>MBOM685</t>
  </si>
  <si>
    <t>MBOM686</t>
  </si>
  <si>
    <t>MBOM687</t>
  </si>
  <si>
    <t>MBOM688</t>
  </si>
  <si>
    <t>MBOM689</t>
  </si>
  <si>
    <t>MBOM690</t>
  </si>
  <si>
    <t>MBOM691</t>
  </si>
  <si>
    <t>MBOM692</t>
  </si>
  <si>
    <t>MBOM693</t>
  </si>
  <si>
    <t>MBOM694</t>
  </si>
  <si>
    <t>MBOM695</t>
  </si>
  <si>
    <t>MBOM696</t>
  </si>
  <si>
    <t>MBOM697</t>
  </si>
  <si>
    <t>MBOM698</t>
  </si>
  <si>
    <t>MBOM699</t>
  </si>
  <si>
    <t>MBOM700</t>
  </si>
  <si>
    <t>MBOM701</t>
  </si>
  <si>
    <t>MBOM702</t>
  </si>
  <si>
    <t>MBOM703</t>
  </si>
  <si>
    <t>MBOM704</t>
  </si>
  <si>
    <t>MBOM705</t>
  </si>
  <si>
    <t>MBOM706</t>
  </si>
  <si>
    <t>MBOM707</t>
  </si>
  <si>
    <t>MBOM708</t>
  </si>
  <si>
    <t>MBOM709</t>
  </si>
  <si>
    <t>MBOM710</t>
  </si>
  <si>
    <t>MBOM711</t>
  </si>
  <si>
    <t>MBOM712</t>
  </si>
  <si>
    <t>MBOM713</t>
  </si>
  <si>
    <t>MBOM714</t>
  </si>
  <si>
    <t>MBOM715</t>
  </si>
  <si>
    <t>MBOM716</t>
  </si>
  <si>
    <t>MBOM717</t>
  </si>
  <si>
    <t>MBOM718</t>
  </si>
  <si>
    <t>MBOM719</t>
  </si>
  <si>
    <t>MBOM720</t>
  </si>
  <si>
    <t>MBOM721</t>
  </si>
  <si>
    <t>MBOM722</t>
  </si>
  <si>
    <t>MBOM723</t>
  </si>
  <si>
    <t>MBOM724</t>
  </si>
  <si>
    <t>MBOM725</t>
  </si>
  <si>
    <t>MBOM726</t>
  </si>
  <si>
    <t>MBOM727</t>
  </si>
  <si>
    <t>MBOM728</t>
  </si>
  <si>
    <t>MBOM729</t>
  </si>
  <si>
    <t>MBOM730</t>
  </si>
  <si>
    <t>MBOM731</t>
  </si>
  <si>
    <t>MBOM732</t>
  </si>
  <si>
    <t>MBOM733</t>
  </si>
  <si>
    <t>MBOM734</t>
  </si>
  <si>
    <t>MBOM735</t>
  </si>
  <si>
    <t>MBOM736</t>
  </si>
  <si>
    <t>MBOM737</t>
  </si>
  <si>
    <t>MBOM738</t>
  </si>
  <si>
    <t>MBOM739</t>
  </si>
  <si>
    <t>MBOM740</t>
  </si>
  <si>
    <t>MBOM741</t>
  </si>
  <si>
    <t>MBOM742</t>
  </si>
  <si>
    <t>MBOM743</t>
  </si>
  <si>
    <t>MBOM744</t>
  </si>
  <si>
    <t>MBOM745</t>
  </si>
  <si>
    <t>MBOM746</t>
  </si>
  <si>
    <t>MBOM747</t>
  </si>
  <si>
    <t>MBOM748</t>
  </si>
  <si>
    <t>MBOM749</t>
  </si>
  <si>
    <t>MBOM750</t>
  </si>
  <si>
    <t>MBOM751</t>
  </si>
  <si>
    <t>MBOM752</t>
  </si>
  <si>
    <t>MBOM753</t>
  </si>
  <si>
    <t>MBOM754</t>
  </si>
  <si>
    <t>MBOM755</t>
  </si>
  <si>
    <t>MBOM756</t>
  </si>
  <si>
    <t>MBOM757</t>
  </si>
  <si>
    <t>MBOM758</t>
  </si>
  <si>
    <t>MBOM759</t>
  </si>
  <si>
    <t>MBOM760</t>
  </si>
  <si>
    <t>MBOM761</t>
  </si>
  <si>
    <t>MBOM762</t>
  </si>
  <si>
    <t>MBOM763</t>
  </si>
  <si>
    <t>MBOM764</t>
  </si>
  <si>
    <t>MBOM765</t>
  </si>
  <si>
    <t>MBOM766</t>
  </si>
  <si>
    <t>MBOM767</t>
  </si>
  <si>
    <t>MBOM768</t>
  </si>
  <si>
    <t>MBOM769</t>
  </si>
  <si>
    <t>MBOM770</t>
  </si>
  <si>
    <t>MBOM771</t>
  </si>
  <si>
    <t>MBOM772</t>
  </si>
  <si>
    <t>MBOM773</t>
  </si>
  <si>
    <t>MBOM774</t>
  </si>
  <si>
    <t>MBOM775</t>
  </si>
  <si>
    <t>MBOM776</t>
  </si>
  <si>
    <t>MBOM777</t>
  </si>
  <si>
    <t>MBOM778</t>
  </si>
  <si>
    <t>MBOM779</t>
  </si>
  <si>
    <t>MBOM780</t>
  </si>
  <si>
    <t>MBOM781</t>
  </si>
  <si>
    <t>MBOM782</t>
  </si>
  <si>
    <t>MBOM783</t>
  </si>
  <si>
    <t>MBOM784</t>
  </si>
  <si>
    <t>MBOM785</t>
  </si>
  <si>
    <t>MBOM786</t>
  </si>
  <si>
    <t>MBOM787</t>
  </si>
  <si>
    <t>MBOM788</t>
  </si>
  <si>
    <t>MBOM789</t>
  </si>
  <si>
    <t>MBOM790</t>
  </si>
  <si>
    <t>MBOM791</t>
  </si>
  <si>
    <t>MBOM792</t>
  </si>
  <si>
    <t>MBOM793</t>
  </si>
  <si>
    <t>MBOM794</t>
  </si>
  <si>
    <t>MBOM795</t>
  </si>
  <si>
    <t>MBOM796</t>
  </si>
  <si>
    <t>MBOM797</t>
  </si>
  <si>
    <t>MBOM798</t>
  </si>
  <si>
    <t>MBOM799</t>
  </si>
  <si>
    <t>MBOM800</t>
  </si>
  <si>
    <t>MBOM801</t>
  </si>
  <si>
    <t>MBOM802</t>
  </si>
  <si>
    <t>MBOM803</t>
  </si>
  <si>
    <t>MBOM804</t>
  </si>
  <si>
    <t>MBOM805</t>
  </si>
  <si>
    <t>MBOM806</t>
  </si>
  <si>
    <t>MBOM807</t>
  </si>
  <si>
    <t>MBOM808</t>
  </si>
  <si>
    <t>MBOM809</t>
  </si>
  <si>
    <t>MBOM810</t>
  </si>
  <si>
    <t>MBOM811</t>
  </si>
  <si>
    <t>MBOM812</t>
  </si>
  <si>
    <t>MBOM813</t>
  </si>
  <si>
    <t>MBOM814</t>
  </si>
  <si>
    <t>MBOM815</t>
  </si>
  <si>
    <t>MBOM816</t>
  </si>
  <si>
    <t>MBOM817</t>
  </si>
  <si>
    <t>MBOM818</t>
  </si>
  <si>
    <t>MBOM819</t>
  </si>
  <si>
    <t>MBOM820</t>
  </si>
  <si>
    <t>MBOM821</t>
  </si>
  <si>
    <t>MBOM822</t>
  </si>
  <si>
    <t>MBOM823</t>
  </si>
  <si>
    <t>MBOM824</t>
  </si>
  <si>
    <t>MBOM825</t>
  </si>
  <si>
    <t>MBOM826</t>
  </si>
  <si>
    <t>MBOM827</t>
  </si>
  <si>
    <t>MBOM828</t>
  </si>
  <si>
    <t>MBOM829</t>
  </si>
  <si>
    <t>H0000268330</t>
  </si>
  <si>
    <t>スタッドボルト_切断前_SNB7_仕上無し_M30x6000Lｘ6000Ｓ</t>
  </si>
  <si>
    <t>MBOM831</t>
  </si>
  <si>
    <t>H0000268332</t>
  </si>
  <si>
    <t>スタッドボルト_切断前_SNB7_仕上無し_M36x6000Lｘ6000Ｓ</t>
  </si>
  <si>
    <t>MBOM833</t>
  </si>
  <si>
    <t>MBOM835</t>
  </si>
  <si>
    <t>MBOM837</t>
  </si>
  <si>
    <t>MBOM839</t>
  </si>
  <si>
    <t>MBOM841</t>
  </si>
  <si>
    <t>MBOM843</t>
  </si>
  <si>
    <t>MBOM845</t>
  </si>
  <si>
    <t>MBOM847</t>
  </si>
  <si>
    <t>MBOM849</t>
  </si>
  <si>
    <t>MBOM851</t>
  </si>
  <si>
    <t>MBOM853</t>
  </si>
  <si>
    <t>MBOM855</t>
  </si>
  <si>
    <t>MBOM857</t>
  </si>
  <si>
    <t>MBOM859</t>
  </si>
  <si>
    <t>MBOM861</t>
  </si>
  <si>
    <t>MBOM863</t>
  </si>
  <si>
    <t>MBOM865</t>
  </si>
  <si>
    <t>MBOM867</t>
  </si>
  <si>
    <t>MBOM869</t>
  </si>
  <si>
    <t>MBOM871</t>
  </si>
  <si>
    <t>MBOM873</t>
  </si>
  <si>
    <t>MBOM875</t>
  </si>
  <si>
    <t>MBOM877</t>
  </si>
  <si>
    <t>MBOM879</t>
  </si>
  <si>
    <t>MBOM881</t>
  </si>
  <si>
    <t>MBOM883</t>
  </si>
  <si>
    <t>MBOM885</t>
  </si>
  <si>
    <t>MBOM887</t>
  </si>
  <si>
    <t>MBOM889</t>
  </si>
  <si>
    <t>MBOM891</t>
  </si>
  <si>
    <t>MBOM893</t>
  </si>
  <si>
    <t>MBOM895</t>
  </si>
  <si>
    <t>H0000268328</t>
  </si>
  <si>
    <t>スタッドボルト_切断前_SS400_仕上無し_M24x6000Lｘ6000Ｓ</t>
  </si>
  <si>
    <t>MBOM897</t>
  </si>
  <si>
    <t>H0000268329</t>
  </si>
  <si>
    <t>スタッドボルト_切断前_SS400_仕上無し_M30x6000Lｘ6000Ｓ</t>
  </si>
  <si>
    <t>MBOM899</t>
  </si>
  <si>
    <t>MBOM901</t>
  </si>
  <si>
    <t>MBOM903</t>
  </si>
  <si>
    <t>MBOM905</t>
  </si>
  <si>
    <t>MBOM907</t>
  </si>
  <si>
    <t>MBOM909</t>
  </si>
  <si>
    <t>MBOM911</t>
  </si>
  <si>
    <t>MBOM913</t>
  </si>
  <si>
    <t>MBOM915</t>
  </si>
  <si>
    <t>MBOM917</t>
  </si>
  <si>
    <t>MBOM918</t>
  </si>
  <si>
    <t>MBOM920</t>
  </si>
  <si>
    <t>MBOM922</t>
  </si>
  <si>
    <t>MBOM924</t>
  </si>
  <si>
    <t>MBOM926</t>
  </si>
  <si>
    <t>MBOM928</t>
  </si>
  <si>
    <t>MBOM930</t>
  </si>
  <si>
    <t>MBOM932</t>
  </si>
  <si>
    <t>MBOM934</t>
  </si>
  <si>
    <t>MBOM936</t>
  </si>
  <si>
    <t>MBOM938</t>
  </si>
  <si>
    <t>MBOM940</t>
  </si>
  <si>
    <t>MBOM941</t>
  </si>
  <si>
    <t>MBOM942</t>
  </si>
  <si>
    <t>MBOM943</t>
  </si>
  <si>
    <t>MBOM944</t>
  </si>
  <si>
    <t>MBOM945</t>
  </si>
  <si>
    <t>MBOM946</t>
  </si>
  <si>
    <t>MBOM947</t>
  </si>
  <si>
    <t>MBOM948</t>
  </si>
  <si>
    <t>MBOM949</t>
  </si>
  <si>
    <t>H0000030478</t>
  </si>
  <si>
    <t>丸棒_転造前_SNB7_仕上無し_φ27.60(M30)x6000L</t>
  </si>
  <si>
    <t>H0000030480</t>
  </si>
  <si>
    <t>丸棒_転造前_SNB7_仕上無し_φ33.30(M36)x6000L</t>
  </si>
  <si>
    <t>MBOM952</t>
  </si>
  <si>
    <t>MBOM953</t>
  </si>
  <si>
    <t>H0000030476</t>
  </si>
  <si>
    <t>丸棒_転造前_SS400_仕上無し_φ21.95(M24)x6000L</t>
  </si>
  <si>
    <t>H0000030477</t>
  </si>
  <si>
    <t>MBOM957</t>
  </si>
  <si>
    <t>MBOM958</t>
  </si>
  <si>
    <t>MBOM959</t>
  </si>
  <si>
    <t>MBOM960</t>
  </si>
  <si>
    <t>MBOM961</t>
  </si>
  <si>
    <t>MBOM962</t>
  </si>
  <si>
    <t>MBOM963</t>
  </si>
  <si>
    <t>MBOM964</t>
  </si>
  <si>
    <t>MBOM965</t>
  </si>
  <si>
    <t>MBOM966</t>
  </si>
  <si>
    <t>MBOM967</t>
  </si>
  <si>
    <t>MBOM968</t>
  </si>
  <si>
    <t>MBOM969</t>
  </si>
  <si>
    <t>MBOM970</t>
  </si>
  <si>
    <t>MBOM971</t>
  </si>
  <si>
    <t>MBOM972</t>
  </si>
  <si>
    <t>MBOM973</t>
  </si>
  <si>
    <t>MBOM974</t>
  </si>
  <si>
    <t>MBOM975</t>
  </si>
  <si>
    <t>MBOM976</t>
  </si>
  <si>
    <t>MBOM977</t>
  </si>
  <si>
    <t>MBOM978</t>
  </si>
  <si>
    <t>MBOM979</t>
  </si>
  <si>
    <t>MBOM980</t>
  </si>
  <si>
    <t>MBOM981</t>
  </si>
  <si>
    <t>MBOM982</t>
  </si>
  <si>
    <t>MBOM983</t>
  </si>
  <si>
    <t>MBOM984</t>
  </si>
  <si>
    <t>MBOM985</t>
  </si>
  <si>
    <t>MBOM986</t>
  </si>
  <si>
    <t>MBOM987</t>
  </si>
  <si>
    <t>MBOM988</t>
  </si>
  <si>
    <t>MBOM989</t>
  </si>
  <si>
    <t>MBOM990</t>
  </si>
  <si>
    <t>MBOM991</t>
  </si>
  <si>
    <t>MBOM992</t>
  </si>
  <si>
    <t>MBOM993</t>
  </si>
  <si>
    <t>MBOM994</t>
  </si>
  <si>
    <t>MBOM995</t>
  </si>
  <si>
    <t>MBOM996</t>
  </si>
  <si>
    <t>MBOM997</t>
  </si>
  <si>
    <t>MBOM998</t>
  </si>
  <si>
    <t>MBOM999</t>
  </si>
  <si>
    <t>MBOM1000</t>
  </si>
  <si>
    <t>MBOM1001</t>
  </si>
  <si>
    <t>MBOM1002</t>
  </si>
  <si>
    <t>MBOM1003</t>
  </si>
  <si>
    <t>MBOM1004</t>
  </si>
  <si>
    <t>MBOM1005</t>
  </si>
  <si>
    <t>MBOM1006</t>
  </si>
  <si>
    <t>MBOM1007</t>
  </si>
  <si>
    <t>MBOM1008</t>
  </si>
  <si>
    <t>MBOM1009</t>
  </si>
  <si>
    <t>MBOM1010</t>
  </si>
  <si>
    <t>MBOM1011</t>
  </si>
  <si>
    <t>MBOM1012</t>
  </si>
  <si>
    <t>MBOM1013</t>
  </si>
  <si>
    <t>MBOM1014</t>
  </si>
  <si>
    <t>MBOM1015</t>
  </si>
  <si>
    <t>MBOM1016</t>
  </si>
  <si>
    <t>MBOM1017</t>
  </si>
  <si>
    <t>MBOM1018</t>
  </si>
  <si>
    <t>MBOM1019</t>
  </si>
  <si>
    <t>MBOM1020</t>
  </si>
  <si>
    <t>MBOM1021</t>
  </si>
  <si>
    <t>MBOM1022</t>
  </si>
  <si>
    <t>MBOM1023</t>
  </si>
  <si>
    <t>MBOM1024</t>
  </si>
  <si>
    <t>MBOM1025</t>
  </si>
  <si>
    <t>MBOM1026</t>
  </si>
  <si>
    <t>MBOM1027</t>
  </si>
  <si>
    <t>MBOM1028</t>
  </si>
  <si>
    <t>MBOM1029</t>
  </si>
  <si>
    <t>MBOM1030</t>
  </si>
  <si>
    <t>MBOM1031</t>
  </si>
  <si>
    <t>MBOM1032</t>
  </si>
  <si>
    <t>MBOM1033</t>
  </si>
  <si>
    <t>MBOM1034</t>
  </si>
  <si>
    <t>MBOM1035</t>
  </si>
  <si>
    <t>MBOM1036</t>
  </si>
  <si>
    <t>MBOM1037</t>
  </si>
  <si>
    <t>MBOM1038</t>
  </si>
  <si>
    <t>MBOM1039</t>
  </si>
  <si>
    <t>MBOM1040</t>
  </si>
  <si>
    <t>MBOM1041</t>
  </si>
  <si>
    <t>MBOM1042</t>
  </si>
  <si>
    <t>MBOM1043</t>
  </si>
  <si>
    <t>MBOM1044</t>
  </si>
  <si>
    <t>MBOM1045</t>
  </si>
  <si>
    <t>MBOM1046</t>
  </si>
  <si>
    <t>MBOM1047</t>
  </si>
  <si>
    <t>MBOM1048</t>
  </si>
  <si>
    <t>MBOM1049</t>
  </si>
  <si>
    <t>MBOM1050</t>
  </si>
  <si>
    <t>MBOM1051</t>
  </si>
  <si>
    <t>MBOM1052</t>
  </si>
  <si>
    <t>MBOM1053</t>
  </si>
  <si>
    <t>MBOM1054</t>
  </si>
  <si>
    <t>MBOM1055</t>
  </si>
  <si>
    <t>MBOM1056</t>
  </si>
  <si>
    <t>MBOM1057</t>
  </si>
  <si>
    <t>MBOM1058</t>
  </si>
  <si>
    <t>MBOM1059</t>
  </si>
  <si>
    <t>MBOM1060</t>
  </si>
  <si>
    <t>MBOM1061</t>
  </si>
  <si>
    <t>MBOM1062</t>
  </si>
  <si>
    <t>MBOM1063</t>
  </si>
  <si>
    <t>MBOM1064</t>
  </si>
  <si>
    <t>MBOM1065</t>
  </si>
  <si>
    <t>MBOM1066</t>
  </si>
  <si>
    <t>MBOM1067</t>
  </si>
  <si>
    <t>MBOM1068</t>
  </si>
  <si>
    <t>MBOM1069</t>
  </si>
  <si>
    <t>MBOM1070</t>
  </si>
  <si>
    <t>MBOM1071</t>
  </si>
  <si>
    <t>MBOM1072</t>
  </si>
  <si>
    <t>MBOM1073</t>
  </si>
  <si>
    <t>MBOM1074</t>
  </si>
  <si>
    <t>MBOM1075</t>
  </si>
  <si>
    <t>MBOM1076</t>
  </si>
  <si>
    <t>MBOM1077</t>
  </si>
  <si>
    <t>MBOM1078</t>
  </si>
  <si>
    <t>MBOM1079</t>
  </si>
  <si>
    <t>MBOM1080</t>
  </si>
  <si>
    <t>MBOM1081</t>
  </si>
  <si>
    <t>MBOM1082</t>
  </si>
  <si>
    <t>MBOM1083</t>
  </si>
  <si>
    <t>MBOM1084</t>
  </si>
  <si>
    <t>MBOM1085</t>
  </si>
  <si>
    <t>MBOM1086</t>
  </si>
  <si>
    <t>MBOM1087</t>
  </si>
  <si>
    <t>MBOM1088</t>
  </si>
  <si>
    <t>MBOM1089</t>
  </si>
  <si>
    <t>MBOM1090</t>
  </si>
  <si>
    <t>MBOM1091</t>
  </si>
  <si>
    <t>MBOM1092</t>
  </si>
  <si>
    <t>MBOM1093</t>
  </si>
  <si>
    <t>MBOM1094</t>
  </si>
  <si>
    <t>MBOM1095</t>
  </si>
  <si>
    <t>MBOM1096</t>
  </si>
  <si>
    <t>MBOM1097</t>
  </si>
  <si>
    <t>MBOM1098</t>
  </si>
  <si>
    <t>MBOM1099</t>
  </si>
  <si>
    <t>MBOM1100</t>
  </si>
  <si>
    <t>MBOM1101</t>
  </si>
  <si>
    <t>MBOM1102</t>
  </si>
  <si>
    <t>MBOM1103</t>
  </si>
  <si>
    <t>MBOM1104</t>
  </si>
  <si>
    <t>MBOM1105</t>
  </si>
  <si>
    <t>MBOM1106</t>
  </si>
  <si>
    <t>MBOM1107</t>
  </si>
  <si>
    <t>MBOM1108</t>
  </si>
  <si>
    <t>MBOM1109</t>
  </si>
  <si>
    <t>MBOM1110</t>
  </si>
  <si>
    <t>MBOM1111</t>
  </si>
  <si>
    <t>MBOM1112</t>
  </si>
  <si>
    <t>MBOM1113</t>
  </si>
  <si>
    <t>MBOM1114</t>
  </si>
  <si>
    <t>MBOM1115</t>
  </si>
  <si>
    <t>MBOM1116</t>
  </si>
  <si>
    <t>MBOM1117</t>
  </si>
  <si>
    <t>MBOM1118</t>
  </si>
  <si>
    <t>MBOM1119</t>
  </si>
  <si>
    <t>MBOM1120</t>
  </si>
  <si>
    <t>MBOM1121</t>
  </si>
  <si>
    <t>MBOM1122</t>
  </si>
  <si>
    <t>MBOM1123</t>
  </si>
  <si>
    <t>MBOM1124</t>
  </si>
  <si>
    <t>MBOM1125</t>
  </si>
  <si>
    <t>MBOM1126</t>
  </si>
  <si>
    <t>MBOM1127</t>
  </si>
  <si>
    <t>MBOM1128</t>
  </si>
  <si>
    <t>MBOM1129</t>
  </si>
  <si>
    <t>MBOM1130</t>
  </si>
  <si>
    <t>MBOM1131</t>
  </si>
  <si>
    <t>MBOM1132</t>
  </si>
  <si>
    <t>MBOM1133</t>
  </si>
  <si>
    <t>MBOM1134</t>
  </si>
  <si>
    <t>MBOM1135</t>
  </si>
  <si>
    <t>MBOM1136</t>
  </si>
  <si>
    <t>MBOM1137</t>
  </si>
  <si>
    <t>MBOM1138</t>
  </si>
  <si>
    <t>MBOM1139</t>
  </si>
  <si>
    <t>MBOM1140</t>
  </si>
  <si>
    <t>MBOM1141</t>
  </si>
  <si>
    <t>MBOM1142</t>
  </si>
  <si>
    <t>MBOM1143</t>
  </si>
  <si>
    <t>MBOM1144</t>
  </si>
  <si>
    <t>MBOM1145</t>
  </si>
  <si>
    <t>MBOM1159</t>
  </si>
  <si>
    <t>MBOM1160</t>
  </si>
  <si>
    <t>MBOM1161</t>
  </si>
  <si>
    <t>MBOM1162</t>
  </si>
  <si>
    <t>MBOM1163</t>
  </si>
  <si>
    <t>MBOM1164</t>
  </si>
  <si>
    <t>MBOM1165</t>
  </si>
  <si>
    <t>MBOM1166</t>
  </si>
  <si>
    <t>MBOM1167</t>
  </si>
  <si>
    <t>MBOM1168</t>
  </si>
  <si>
    <t>MBOM1169</t>
  </si>
  <si>
    <t>MBOM1170</t>
  </si>
  <si>
    <t>MBOM1171</t>
  </si>
  <si>
    <t>MBOM1172</t>
  </si>
  <si>
    <t>MBOM1173</t>
  </si>
  <si>
    <t>MBOM1174</t>
  </si>
  <si>
    <t>MBOM1175</t>
  </si>
  <si>
    <t>MBOM1176</t>
  </si>
  <si>
    <t>MBOM1177</t>
  </si>
  <si>
    <t>MBOM1178</t>
  </si>
  <si>
    <t>MBOM1179</t>
  </si>
  <si>
    <t>MBOM1180</t>
  </si>
  <si>
    <t>MBOM1181</t>
  </si>
  <si>
    <t>MBOM1182</t>
  </si>
  <si>
    <t>MBOM1183</t>
  </si>
  <si>
    <t>MBOM1184</t>
  </si>
  <si>
    <t>MBOM1185</t>
  </si>
  <si>
    <t>MBOM1186</t>
  </si>
  <si>
    <t>MBOM1187</t>
  </si>
  <si>
    <t>MBOM1188</t>
  </si>
  <si>
    <t>MBOM1189</t>
  </si>
  <si>
    <t>MBOM1190</t>
  </si>
  <si>
    <t>MBOM1191</t>
  </si>
  <si>
    <t>MBOM1192</t>
  </si>
  <si>
    <t>MBOM1193</t>
  </si>
  <si>
    <t>MBOM1194</t>
  </si>
  <si>
    <t>MBOM1195</t>
  </si>
  <si>
    <t>MBOM1196</t>
  </si>
  <si>
    <t>MBOM1197</t>
  </si>
  <si>
    <t>MBOM1198</t>
  </si>
  <si>
    <t>MBOM1199</t>
  </si>
  <si>
    <t>MBOM1200</t>
  </si>
  <si>
    <t>MBOM1201</t>
  </si>
  <si>
    <t>MBOM1202</t>
  </si>
  <si>
    <t>MBOM1203</t>
  </si>
  <si>
    <t>MBOM1204</t>
  </si>
  <si>
    <t>MBOM1205</t>
  </si>
  <si>
    <t>MBOM1206</t>
  </si>
  <si>
    <t>MBOM1207</t>
  </si>
  <si>
    <t>MBOM1208</t>
  </si>
  <si>
    <t>MBOM1209</t>
  </si>
  <si>
    <t>MBOM1210</t>
  </si>
  <si>
    <t>MBOM1211</t>
  </si>
  <si>
    <t>MBOM1212</t>
  </si>
  <si>
    <t>MBOM1213</t>
  </si>
  <si>
    <t>MBOM1214</t>
  </si>
  <si>
    <t>MBOM1215</t>
  </si>
  <si>
    <t>MBOM1216</t>
  </si>
  <si>
    <t>MBOM1217</t>
  </si>
  <si>
    <t>MBOM1218</t>
  </si>
  <si>
    <t>MBOM1219</t>
  </si>
  <si>
    <t>MBOM1220</t>
  </si>
  <si>
    <t>MBOM1221</t>
  </si>
  <si>
    <t>MBOM1222</t>
  </si>
  <si>
    <t>MBOM1223</t>
  </si>
  <si>
    <t>MBOM1224</t>
  </si>
  <si>
    <t>MBOM1225</t>
  </si>
  <si>
    <t>MBOM1226</t>
  </si>
  <si>
    <t>MBOM1227</t>
  </si>
  <si>
    <t>MBOM1228</t>
  </si>
  <si>
    <t>MBOM1229</t>
  </si>
  <si>
    <t>MBOM1230</t>
  </si>
  <si>
    <t>MBOM1231</t>
  </si>
  <si>
    <t>MBOM1232</t>
  </si>
  <si>
    <t>MBOM1233</t>
  </si>
  <si>
    <t>MBOM1234</t>
  </si>
  <si>
    <t>MBOM1235</t>
  </si>
  <si>
    <t>MBOM1236</t>
  </si>
  <si>
    <t>MBOM1237</t>
  </si>
  <si>
    <t>MBOM1238</t>
  </si>
  <si>
    <t>MBOM1239</t>
  </si>
  <si>
    <t>MBOM1240</t>
  </si>
  <si>
    <t>MBOM1241</t>
  </si>
  <si>
    <t>MBOM1242</t>
  </si>
  <si>
    <t>MBOM1243</t>
  </si>
  <si>
    <t>MBOM1244</t>
  </si>
  <si>
    <t>MBOM1245</t>
  </si>
  <si>
    <t>MBOM1246</t>
  </si>
  <si>
    <t>MBOM1247</t>
  </si>
  <si>
    <t>MBOM1248</t>
  </si>
  <si>
    <t>MBOM1249</t>
  </si>
  <si>
    <t>MBOM1250</t>
  </si>
  <si>
    <t>MBOM1251</t>
  </si>
  <si>
    <t>MBOM1252</t>
  </si>
  <si>
    <t>MBOM1253</t>
  </si>
  <si>
    <t>MBOM1254</t>
  </si>
  <si>
    <t>MBOM1255</t>
  </si>
  <si>
    <t>MBOM1256</t>
  </si>
  <si>
    <t>MBOM1257</t>
  </si>
  <si>
    <t>MBOM1258</t>
  </si>
  <si>
    <t>MBOM1259</t>
  </si>
  <si>
    <t>MBOM1260</t>
  </si>
  <si>
    <t>MBOM1261</t>
  </si>
  <si>
    <t>MBOM1262</t>
  </si>
  <si>
    <t>MBOM1263</t>
  </si>
  <si>
    <t>MBOM1264</t>
  </si>
  <si>
    <t>MBOM1265</t>
  </si>
  <si>
    <t>MBOM1266</t>
  </si>
  <si>
    <t>MBOM1267</t>
  </si>
  <si>
    <t>MBOM1268</t>
  </si>
  <si>
    <t>MBOM1269</t>
  </si>
  <si>
    <t>MBOM1270</t>
  </si>
  <si>
    <t>MBOM1271</t>
  </si>
  <si>
    <t>MBOM1272</t>
  </si>
  <si>
    <t>MBOM1273</t>
  </si>
  <si>
    <t>MBOM1274</t>
  </si>
  <si>
    <t>MBOM1275</t>
  </si>
  <si>
    <t>MBOM1276</t>
  </si>
  <si>
    <t>MBOM1277</t>
  </si>
  <si>
    <t>MBOM1278</t>
  </si>
  <si>
    <t>MBOM1279</t>
  </si>
  <si>
    <t>MBOM1280</t>
  </si>
  <si>
    <t>MBOM1281</t>
  </si>
  <si>
    <t>MBOM1282</t>
  </si>
  <si>
    <t>MBOM1283</t>
  </si>
  <si>
    <t>MBOM1284</t>
  </si>
  <si>
    <t>MBOM1285</t>
  </si>
  <si>
    <t>MBOM1286</t>
  </si>
  <si>
    <t>MBOM1287</t>
  </si>
  <si>
    <t>MBOM1288</t>
  </si>
  <si>
    <t>MBOM1289</t>
  </si>
  <si>
    <t>MBOM1290</t>
  </si>
  <si>
    <t>MBOM1291</t>
  </si>
  <si>
    <t>MBOM1292</t>
  </si>
  <si>
    <t>MBOM1293</t>
  </si>
  <si>
    <t>MBOM1294</t>
  </si>
  <si>
    <t>MBOM1295</t>
  </si>
  <si>
    <t>MBOM1296</t>
  </si>
  <si>
    <t>MBOM1297</t>
  </si>
  <si>
    <t>MBOM1298</t>
  </si>
  <si>
    <t>MBOM1299</t>
  </si>
  <si>
    <t>MBOM1300</t>
  </si>
  <si>
    <t>MBOM1301</t>
  </si>
  <si>
    <t>MBOM1302</t>
  </si>
  <si>
    <t>MBOM1303</t>
  </si>
  <si>
    <t>Dummy000013_2</t>
  </si>
  <si>
    <t>H0000378702</t>
  </si>
  <si>
    <t>締付ボルト_SS400_三価クロメート_M36x470L</t>
  </si>
  <si>
    <t>H0000378624</t>
  </si>
  <si>
    <t>締付ボルト_SS400_仕上無し_M36x470L</t>
  </si>
  <si>
    <t>H0000378703</t>
  </si>
  <si>
    <t>締付ボルト_SS400_三価クロメート_M36x570L</t>
  </si>
  <si>
    <t>H0000378625</t>
  </si>
  <si>
    <t>締付ボルト_SS400_仕上無し_M36x570L</t>
  </si>
  <si>
    <t>H0000378704</t>
  </si>
  <si>
    <t>締付ボルト_SS400_三価クロメート_M36x670L</t>
  </si>
  <si>
    <t>H0000378626</t>
  </si>
  <si>
    <t>締付ボルト_SS400_仕上無し_M36x670L</t>
  </si>
  <si>
    <t>H0000378705</t>
  </si>
  <si>
    <t>締付ボルト_SS400_三価クロメート_M36x770L</t>
  </si>
  <si>
    <t>H0000378627</t>
  </si>
  <si>
    <t>締付ボルト_SS400_仕上無し_M36x770L</t>
  </si>
  <si>
    <t>H0000378706</t>
  </si>
  <si>
    <t>締付ボルト_SS400_三価クロメート_M36x870L</t>
  </si>
  <si>
    <t>H0000378628</t>
  </si>
  <si>
    <t>締付ボルト_SS400_仕上無し_M36x870L</t>
  </si>
  <si>
    <t>H0000378707</t>
  </si>
  <si>
    <t>締付ボルト_SS400_三価クロメート_M36x970L</t>
  </si>
  <si>
    <t>H0000378629</t>
  </si>
  <si>
    <t>締付ボルト_SS400_仕上無し_M36x970L</t>
  </si>
  <si>
    <t>H0000378708</t>
  </si>
  <si>
    <t>締付ボルト_SS400_三価クロメート_M36x1070L</t>
  </si>
  <si>
    <t>H0000378630</t>
  </si>
  <si>
    <t>締付ボルト_SS400_仕上無し_M36x1070L</t>
  </si>
  <si>
    <t>H0000378709</t>
  </si>
  <si>
    <t>締付ボルト_SS400_三価クロメート_M36x1170L</t>
  </si>
  <si>
    <t>H0000378631</t>
  </si>
  <si>
    <t>締付ボルト_SS400_仕上無し_M36x1170L</t>
  </si>
  <si>
    <t>H0000378710</t>
  </si>
  <si>
    <t>締付ボルト_SS400_三価クロメート_M36x1270L</t>
  </si>
  <si>
    <t>H0000378632</t>
  </si>
  <si>
    <t>締付ボルト_SS400_仕上無し_M36x1270L</t>
  </si>
  <si>
    <t>H0000378711</t>
  </si>
  <si>
    <t>締付ボルト_SS400_三価クロメート_M36x1370L</t>
  </si>
  <si>
    <t>H0000378633</t>
  </si>
  <si>
    <t>締付ボルト_SS400_仕上無し_M36x1370L</t>
  </si>
  <si>
    <t>H0000378712</t>
  </si>
  <si>
    <t>締付ボルト_SS400_三価クロメート_M36x1470L</t>
  </si>
  <si>
    <t>H0000378634</t>
  </si>
  <si>
    <t>締付ボルト_SS400_仕上無し_M36x1470L</t>
  </si>
  <si>
    <t>H0000378713</t>
  </si>
  <si>
    <t>締付ボルト_SS400_三価クロメート_M36x1570L</t>
  </si>
  <si>
    <t>H0000378635</t>
  </si>
  <si>
    <t>締付ボルト_SS400_仕上無し_M36x1570L</t>
  </si>
  <si>
    <t>H0000378714</t>
  </si>
  <si>
    <t>締付ボルト_SS400_三価クロメート_M36x1670L</t>
  </si>
  <si>
    <t>H0000378636</t>
  </si>
  <si>
    <t>締付ボルト_SS400_仕上無し_M36x1670L</t>
  </si>
  <si>
    <t>H0000378715</t>
  </si>
  <si>
    <t>締付ボルト_SS400_三価クロメート_M36x1770L</t>
  </si>
  <si>
    <t>H0000378637</t>
  </si>
  <si>
    <t>締付ボルト_SS400_仕上無し_M36x1770L</t>
  </si>
  <si>
    <t>H0000378716</t>
  </si>
  <si>
    <t>締付ボルト_SS400_三価クロメート_M36x1870L</t>
  </si>
  <si>
    <t>H0000378638</t>
  </si>
  <si>
    <t>締付ボルト_SS400_仕上無し_M36x1870L</t>
  </si>
  <si>
    <t>H0000378717</t>
  </si>
  <si>
    <t>締付ボルト_SS400_三価クロメート_M36x1970L</t>
  </si>
  <si>
    <t>H0000378639</t>
  </si>
  <si>
    <t>締付ボルト_SS400_仕上無し_M36x1970L</t>
  </si>
  <si>
    <t>H0000378718</t>
  </si>
  <si>
    <t>締付ボルト_SS400_三価クロメート_M36x2070L</t>
  </si>
  <si>
    <t>H0000378640</t>
  </si>
  <si>
    <t>締付ボルト_SS400_仕上無し_M36x2070L</t>
  </si>
  <si>
    <t>H0000378719</t>
  </si>
  <si>
    <t>締付ボルト_SS400_三価クロメート_M36x2170L</t>
  </si>
  <si>
    <t>H0000378641</t>
  </si>
  <si>
    <t>締付ボルト_SS400_仕上無し_M36x2170L</t>
  </si>
  <si>
    <t>H0000378720</t>
  </si>
  <si>
    <t>締付ボルト_SS400_三価クロメート_M36x2270L</t>
  </si>
  <si>
    <t>H0000378642</t>
  </si>
  <si>
    <t>締付ボルト_SS400_仕上無し_M36x2270L</t>
  </si>
  <si>
    <t>H0000378721</t>
  </si>
  <si>
    <t>締付ボルト_SS400_三価クロメート_M36x2370L</t>
  </si>
  <si>
    <t>H0000378643</t>
  </si>
  <si>
    <t>締付ボルト_SS400_仕上無し_M36x2370L</t>
  </si>
  <si>
    <t>H0000378722</t>
  </si>
  <si>
    <t>締付ボルト_SS400_三価クロメート_M36x2470L</t>
  </si>
  <si>
    <t>H0000378644</t>
  </si>
  <si>
    <t>締付ボルト_SS400_仕上無し_M36x2470L</t>
  </si>
  <si>
    <t>H0000378723</t>
  </si>
  <si>
    <t>締付ボルト_SS400_三価クロメート_M36x2570L</t>
  </si>
  <si>
    <t>H0000378645</t>
  </si>
  <si>
    <t>締付ボルト_SS400_仕上無し_M36x2570L</t>
  </si>
  <si>
    <t>H0000378724</t>
  </si>
  <si>
    <t>締付ボルト_SS400_三価クロメート_M36x2670L</t>
  </si>
  <si>
    <t>H0000378646</t>
  </si>
  <si>
    <t>締付ボルト_SS400_仕上無し_M36x2670L</t>
  </si>
  <si>
    <t>H0000378725</t>
  </si>
  <si>
    <t>締付ボルト_SS400_三価クロメート_M36x2770L</t>
  </si>
  <si>
    <t>H0000378647</t>
  </si>
  <si>
    <t>締付ボルト_SS400_仕上無し_M36x2770L</t>
  </si>
  <si>
    <t>H0000378726</t>
  </si>
  <si>
    <t>締付ボルト_SS400_三価クロメート_M36x2870L</t>
  </si>
  <si>
    <t>H0000378648</t>
  </si>
  <si>
    <t>締付ボルト_SS400_仕上無し_M36x2870L</t>
  </si>
  <si>
    <t>H0000378727</t>
  </si>
  <si>
    <t>締付ボルト_SS400_三価クロメート_M36x2970L</t>
  </si>
  <si>
    <t>H0000378649</t>
  </si>
  <si>
    <t>締付ボルト_SS400_仕上無し_M36x2970L</t>
  </si>
  <si>
    <t>H0000378728</t>
  </si>
  <si>
    <t>締付ボルト_SS400_三価クロメート_M36x3070L</t>
  </si>
  <si>
    <t>H0000378650</t>
  </si>
  <si>
    <t>締付ボルト_SS400_仕上無し_M36x3070L</t>
  </si>
  <si>
    <t>H0000378729</t>
  </si>
  <si>
    <t>締付ボルト_SS400_三価クロメート_M36x3170L</t>
  </si>
  <si>
    <t>H0000378651</t>
  </si>
  <si>
    <t>締付ボルト_SS400_仕上無し_M36x3170L</t>
  </si>
  <si>
    <t>H0000378730</t>
  </si>
  <si>
    <t>締付ボルト_SS400_三価クロメート_M36x3270L</t>
  </si>
  <si>
    <t>H0000378652</t>
  </si>
  <si>
    <t>締付ボルト_SS400_仕上無し_M36x3270L</t>
  </si>
  <si>
    <t>H0000378731</t>
  </si>
  <si>
    <t>締付ボルト_SS400_三価クロメート_M36x3370L</t>
  </si>
  <si>
    <t>H0000378653</t>
  </si>
  <si>
    <t>締付ボルト_SS400_仕上無し_M36x3370L</t>
  </si>
  <si>
    <t>H0000378732</t>
  </si>
  <si>
    <t>締付ボルト_SS400_三価クロメート_M36x3470L</t>
  </si>
  <si>
    <t>H0000378654</t>
  </si>
  <si>
    <t>締付ボルト_SS400_仕上無し_M36x3470L</t>
  </si>
  <si>
    <t>H0000378733</t>
  </si>
  <si>
    <t>締付ボルト_SS400_三価クロメート_M36x3570L</t>
  </si>
  <si>
    <t>H0000378655</t>
  </si>
  <si>
    <t>締付ボルト_SS400_仕上無し_M36x3570L</t>
  </si>
  <si>
    <t>H0000378734</t>
  </si>
  <si>
    <t>締付ボルト_SS400_三価クロメート_M36x3670L</t>
  </si>
  <si>
    <t>H0000378656</t>
  </si>
  <si>
    <t>締付ボルト_SS400_仕上無し_M36x3670L</t>
  </si>
  <si>
    <t>H0000378735</t>
  </si>
  <si>
    <t>締付ボルト_SS400_三価クロメート_M36x3770L</t>
  </si>
  <si>
    <t>H0000378657</t>
  </si>
  <si>
    <t>締付ボルト_SS400_仕上無し_M36x3770L</t>
  </si>
  <si>
    <t>H0000378736</t>
  </si>
  <si>
    <t>締付ボルト_SS400_三価クロメート_M36x3870L</t>
  </si>
  <si>
    <t>H0000378658</t>
  </si>
  <si>
    <t>締付ボルト_SS400_仕上無し_M36x3870L</t>
  </si>
  <si>
    <t>H0000378737</t>
  </si>
  <si>
    <t>締付ボルト_SS400_三価クロメート_M36x3970L</t>
  </si>
  <si>
    <t>H0000378659</t>
  </si>
  <si>
    <t>締付ボルト_SS400_仕上無し_M36x3970L</t>
  </si>
  <si>
    <t>H0000378738</t>
  </si>
  <si>
    <t>締付ボルト_SS400_三価クロメート_M36x4070L</t>
  </si>
  <si>
    <t>H0000378660</t>
  </si>
  <si>
    <t>締付ボルト_SS400_仕上無し_M36x4070L</t>
  </si>
  <si>
    <t>H0000378739</t>
  </si>
  <si>
    <t>締付ボルト_SS400_三価クロメート_M36x4170L</t>
  </si>
  <si>
    <t>H0000378661</t>
  </si>
  <si>
    <t>締付ボルト_SS400_仕上無し_M36x4170L</t>
  </si>
  <si>
    <t>H0000378740</t>
  </si>
  <si>
    <t>締付ボルト_SS400_三価クロメート_M36x4270L</t>
  </si>
  <si>
    <t>H0000378662</t>
  </si>
  <si>
    <t>締付ボルト_SS400_仕上無し_M36x4270L</t>
  </si>
  <si>
    <t>H0000378849</t>
  </si>
  <si>
    <t>締付ボルト_SNB7_三価クロメート_M36x3770L</t>
  </si>
  <si>
    <t>H0000378805</t>
  </si>
  <si>
    <t>締付ボルト_SNB7_仕上無し_M36x3770L</t>
  </si>
  <si>
    <t>H0000378850</t>
  </si>
  <si>
    <t>締付ボルト_SNB7_三価クロメート_M36x3870L</t>
  </si>
  <si>
    <t>H0000378806</t>
  </si>
  <si>
    <t>締付ボルト_SNB7_仕上無し_M36x3870L</t>
  </si>
  <si>
    <t>H0000378851</t>
  </si>
  <si>
    <t>締付ボルト_SNB7_三価クロメート_M36x3970L</t>
  </si>
  <si>
    <t>H0000378807</t>
  </si>
  <si>
    <t>締付ボルト_SNB7_仕上無し_M36x3970L</t>
  </si>
  <si>
    <t>H0000378852</t>
  </si>
  <si>
    <t>締付ボルト_SNB7_三価クロメート_M36x4070L</t>
  </si>
  <si>
    <t>H0000378808</t>
  </si>
  <si>
    <t>締付ボルト_SNB7_仕上無し_M36x4070L</t>
  </si>
  <si>
    <t>H0000378853</t>
  </si>
  <si>
    <t>締付ボルト_SNB7_三価クロメート_M36x4170L</t>
  </si>
  <si>
    <t>H0000378809</t>
  </si>
  <si>
    <t>締付ボルト_SNB7_仕上無し_M36x4170L</t>
  </si>
  <si>
    <t>H0000378854</t>
  </si>
  <si>
    <t>締付ボルト_SNB7_三価クロメート_M36x4270L</t>
  </si>
  <si>
    <t>H0000378810</t>
  </si>
  <si>
    <t>締付ボルト_SNB7_仕上無し_M36x4270L</t>
  </si>
  <si>
    <t>H0000378855</t>
  </si>
  <si>
    <t>締付ボルト_SNB7_三価クロメート_M36x4370L</t>
  </si>
  <si>
    <t>H0000378811</t>
  </si>
  <si>
    <t>締付ボルト_SNB7_仕上無し_M36x4370L</t>
  </si>
  <si>
    <t>H0000378856</t>
  </si>
  <si>
    <t>締付ボルト_SNB7_三価クロメート_M36x4470L</t>
  </si>
  <si>
    <t>H0000378812</t>
  </si>
  <si>
    <t>締付ボルト_SNB7_仕上無し_M36x4470L</t>
  </si>
  <si>
    <t>H0000378857</t>
  </si>
  <si>
    <t>締付ボルト_SNB7_三価クロメート_M36x4570L</t>
  </si>
  <si>
    <t>H0000378813</t>
  </si>
  <si>
    <t>締付ボルト_SNB7_仕上無し_M36x4570L</t>
  </si>
  <si>
    <t>H0000378858</t>
  </si>
  <si>
    <t>締付ボルト_SNB7_三価クロメート_M36x4670L</t>
  </si>
  <si>
    <t>H0000378814</t>
  </si>
  <si>
    <t>締付ボルト_SNB7_仕上無し_M36x4670L</t>
  </si>
  <si>
    <t>H0000378859</t>
  </si>
  <si>
    <t>締付ボルト_SNB7_三価クロメート_M36x4770L</t>
  </si>
  <si>
    <t>H0000378815</t>
  </si>
  <si>
    <t>締付ボルト_SNB7_仕上無し_M36x4770L</t>
  </si>
  <si>
    <t>H0000378860</t>
  </si>
  <si>
    <t>締付ボルト_SNB7_三価クロメート_M36x4870L</t>
  </si>
  <si>
    <t>H0000378816</t>
  </si>
  <si>
    <t>締付ボルト_SNB7_仕上無し_M36x4870L</t>
  </si>
  <si>
    <t>H0000378861</t>
  </si>
  <si>
    <t>締付ボルト_SNB7_三価クロメート_M36x4970L</t>
  </si>
  <si>
    <t>H0000378817</t>
  </si>
  <si>
    <t>締付ボルト_SNB7_仕上無し_M36x4970L</t>
  </si>
  <si>
    <t>H0000378862</t>
  </si>
  <si>
    <t>締付ボルト_SNB7_三価クロメート_M36x5070L</t>
  </si>
  <si>
    <t>H0000378818</t>
  </si>
  <si>
    <t>締付ボルト_SNB7_仕上無し_M36x5070L</t>
  </si>
  <si>
    <t>H0000378863</t>
  </si>
  <si>
    <t>締付ボルト_SNB7_三価クロメート_M36x5170L</t>
  </si>
  <si>
    <t>H0000378819</t>
  </si>
  <si>
    <t>締付ボルト_SNB7_仕上無し_M36x5170L</t>
  </si>
  <si>
    <t>H0000378864</t>
  </si>
  <si>
    <t>締付ボルト_SNB7_三価クロメート_M36x5270L</t>
  </si>
  <si>
    <t>H0000378820</t>
  </si>
  <si>
    <t>締付ボルト_SNB7_仕上無し_M36x5270L</t>
  </si>
  <si>
    <t>H0000378865</t>
  </si>
  <si>
    <t>締付ボルト_SNB7_三価クロメート_M36x5370L</t>
  </si>
  <si>
    <t>H0000378821</t>
  </si>
  <si>
    <t>締付ボルト_SNB7_仕上無し_M36x5370L</t>
  </si>
  <si>
    <t>H0000378866</t>
  </si>
  <si>
    <t>締付ボルト_SNB7_三価クロメート_M36x5470L</t>
  </si>
  <si>
    <t>H0000378822</t>
  </si>
  <si>
    <t>締付ボルト_SNB7_仕上無し_M36x5470L</t>
  </si>
  <si>
    <t>H0000378867</t>
  </si>
  <si>
    <t>締付ボルト_SNB7_三価クロメート_M36x5570L</t>
  </si>
  <si>
    <t>H0000378823</t>
  </si>
  <si>
    <t>締付ボルト_SNB7_仕上無し_M36x5570L</t>
  </si>
  <si>
    <t>H0000378868</t>
  </si>
  <si>
    <t>締付ボルト_SNB7_三価クロメート_M36x5670L</t>
  </si>
  <si>
    <t>H0000378824</t>
  </si>
  <si>
    <t>締付ボルト_SNB7_仕上無し_M36x5670L</t>
  </si>
  <si>
    <t>H0000378869</t>
  </si>
  <si>
    <t>締付ボルト_SNB7_三価クロメート_M36x5770L</t>
  </si>
  <si>
    <t>H0000378825</t>
  </si>
  <si>
    <t>締付ボルト_SNB7_仕上無し_M36x5770L</t>
  </si>
  <si>
    <t>H0000378870</t>
  </si>
  <si>
    <t>締付ボルト_SNB7_三価クロメート_M36x5870L</t>
  </si>
  <si>
    <t>H0000378826</t>
  </si>
  <si>
    <t>締付ボルト_SNB7_仕上無し_M36x5870L</t>
  </si>
  <si>
    <t>H0000376880</t>
  </si>
  <si>
    <t>締付ボルト_SS400_グリスアップ_M30x275L</t>
  </si>
  <si>
    <t>H0000376881</t>
  </si>
  <si>
    <t>締付ボルト_SS400_グリスアップ_M30x375L</t>
  </si>
  <si>
    <t>H0000376882</t>
  </si>
  <si>
    <t>締付ボルト_SS400_グリスアップ_M30x475L</t>
  </si>
  <si>
    <t>H0000376883</t>
  </si>
  <si>
    <t>締付ボルト_SS400_グリスアップ_M30x575L</t>
  </si>
  <si>
    <t>H0000376884</t>
  </si>
  <si>
    <t>締付ボルト_SS400_グリスアップ_M30x675L</t>
  </si>
  <si>
    <t>H0000376885</t>
  </si>
  <si>
    <t>締付ボルト_SS400_グリスアップ_M30x775L</t>
  </si>
  <si>
    <t>H0000376886</t>
  </si>
  <si>
    <t>締付ボルト_SS400_グリスアップ_M30x875L</t>
  </si>
  <si>
    <t>H0000376887</t>
  </si>
  <si>
    <t>締付ボルト_SS400_グリスアップ_M30x975L</t>
  </si>
  <si>
    <t>H0000376888</t>
  </si>
  <si>
    <t>締付ボルト_SS400_グリスアップ_M30x1075L</t>
  </si>
  <si>
    <t>H0000376889</t>
  </si>
  <si>
    <t>締付ボルト_SS400_グリスアップ_M30x1175L</t>
  </si>
  <si>
    <t>H0000376890</t>
  </si>
  <si>
    <t>締付ボルト_SS400_グリスアップ_M30x1275L</t>
  </si>
  <si>
    <t>H0000376891</t>
  </si>
  <si>
    <t>締付ボルト_SNB7_グリスアップ_M30x275L</t>
  </si>
  <si>
    <t>H0000376892</t>
  </si>
  <si>
    <t>締付ボルト_SNB7_グリスアップ_M30x375L</t>
  </si>
  <si>
    <t>H0000376893</t>
  </si>
  <si>
    <t>締付ボルト_SNB7_グリスアップ_M30x475L</t>
  </si>
  <si>
    <t>H0000376894</t>
  </si>
  <si>
    <t>締付ボルト_SNB7_グリスアップ_M30x575L</t>
  </si>
  <si>
    <t>H0000376895</t>
  </si>
  <si>
    <t>締付ボルト_SNB7_グリスアップ_M30x675L</t>
  </si>
  <si>
    <t>H0000376896</t>
  </si>
  <si>
    <t>締付ボルト_SNB7_グリスアップ_M30x775L</t>
  </si>
  <si>
    <t>H0000376897</t>
  </si>
  <si>
    <t>締付ボルト_SNB7_グリスアップ_M30x875L</t>
  </si>
  <si>
    <t>H0000376898</t>
  </si>
  <si>
    <t>締付ボルト_SNB7_グリスアップ_M30x975L</t>
  </si>
  <si>
    <t>H0000376899</t>
  </si>
  <si>
    <t>締付ボルト_SNB7_グリスアップ_M30x1075L</t>
  </si>
  <si>
    <t>H0000376900</t>
  </si>
  <si>
    <t>締付ボルト_SNB7_グリスアップ_M30x1175L</t>
  </si>
  <si>
    <t>H0000376901</t>
  </si>
  <si>
    <t>締付ボルト_SNB7_グリスアップ_M30x1275L</t>
  </si>
  <si>
    <t>H0000378663</t>
  </si>
  <si>
    <t>締付ボルト_SS400_グリスアップ_M36x470L</t>
  </si>
  <si>
    <t>H0000378664</t>
  </si>
  <si>
    <t>締付ボルト_SS400_グリスアップ_M36x570L</t>
  </si>
  <si>
    <t>H0000378665</t>
  </si>
  <si>
    <t>締付ボルト_SS400_グリスアップ_M36x670L</t>
  </si>
  <si>
    <t>H0000378666</t>
  </si>
  <si>
    <t>締付ボルト_SS400_グリスアップ_M36x770L</t>
  </si>
  <si>
    <t>H0000378667</t>
  </si>
  <si>
    <t>締付ボルト_SS400_グリスアップ_M36x870L</t>
  </si>
  <si>
    <t>H0000378668</t>
  </si>
  <si>
    <t>締付ボルト_SS400_グリスアップ_M36x970L</t>
  </si>
  <si>
    <t>H0000378669</t>
  </si>
  <si>
    <t>締付ボルト_SS400_グリスアップ_M36x1070L</t>
  </si>
  <si>
    <t>H0000378670</t>
  </si>
  <si>
    <t>締付ボルト_SS400_グリスアップ_M36x1170L</t>
  </si>
  <si>
    <t>H0000378671</t>
  </si>
  <si>
    <t>締付ボルト_SS400_グリスアップ_M36x1270L</t>
  </si>
  <si>
    <t>H0000378672</t>
  </si>
  <si>
    <t>締付ボルト_SS400_グリスアップ_M36x1370L</t>
  </si>
  <si>
    <t>H0000378673</t>
  </si>
  <si>
    <t>締付ボルト_SS400_グリスアップ_M36x1470L</t>
  </si>
  <si>
    <t>H0000378674</t>
  </si>
  <si>
    <t>締付ボルト_SS400_グリスアップ_M36x1570L</t>
  </si>
  <si>
    <t>H0000378675</t>
  </si>
  <si>
    <t>締付ボルト_SS400_グリスアップ_M36x1670L</t>
  </si>
  <si>
    <t>H0000378676</t>
  </si>
  <si>
    <t>締付ボルト_SS400_グリスアップ_M36x1770L</t>
  </si>
  <si>
    <t>H0000378677</t>
  </si>
  <si>
    <t>締付ボルト_SS400_グリスアップ_M36x1870L</t>
  </si>
  <si>
    <t>H0000378678</t>
  </si>
  <si>
    <t>締付ボルト_SS400_グリスアップ_M36x1970L</t>
  </si>
  <si>
    <t>H0000378679</t>
  </si>
  <si>
    <t>締付ボルト_SS400_グリスアップ_M36x2070L</t>
  </si>
  <si>
    <t>H0000378680</t>
  </si>
  <si>
    <t>締付ボルト_SS400_グリスアップ_M36x2170L</t>
  </si>
  <si>
    <t>H0000378681</t>
  </si>
  <si>
    <t>締付ボルト_SS400_グリスアップ_M36x2270L</t>
  </si>
  <si>
    <t>H0000378682</t>
  </si>
  <si>
    <t>締付ボルト_SS400_グリスアップ_M36x2370L</t>
  </si>
  <si>
    <t>H0000378683</t>
  </si>
  <si>
    <t>締付ボルト_SS400_グリスアップ_M36x2470L</t>
  </si>
  <si>
    <t>H0000378684</t>
  </si>
  <si>
    <t>締付ボルト_SS400_グリスアップ_M36x2570L</t>
  </si>
  <si>
    <t>H0000378685</t>
  </si>
  <si>
    <t>締付ボルト_SS400_グリスアップ_M36x2670L</t>
  </si>
  <si>
    <t>H0000378686</t>
  </si>
  <si>
    <t>締付ボルト_SS400_グリスアップ_M36x2770L</t>
  </si>
  <si>
    <t>H0000378687</t>
  </si>
  <si>
    <t>締付ボルト_SS400_グリスアップ_M36x2870L</t>
  </si>
  <si>
    <t>H0000378688</t>
  </si>
  <si>
    <t>締付ボルト_SS400_グリスアップ_M36x2970L</t>
  </si>
  <si>
    <t>H0000378689</t>
  </si>
  <si>
    <t>締付ボルト_SS400_グリスアップ_M36x3070L</t>
  </si>
  <si>
    <t>H0000378690</t>
  </si>
  <si>
    <t>締付ボルト_SS400_グリスアップ_M36x3170L</t>
  </si>
  <si>
    <t>H0000378691</t>
  </si>
  <si>
    <t>締付ボルト_SS400_グリスアップ_M36x3270L</t>
  </si>
  <si>
    <t>H0000378692</t>
  </si>
  <si>
    <t>締付ボルト_SS400_グリスアップ_M36x3370L</t>
  </si>
  <si>
    <t>H0000378693</t>
  </si>
  <si>
    <t>締付ボルト_SS400_グリスアップ_M36x3470L</t>
  </si>
  <si>
    <t>H0000378694</t>
  </si>
  <si>
    <t>締付ボルト_SS400_グリスアップ_M36x3570L</t>
  </si>
  <si>
    <t>H0000378695</t>
  </si>
  <si>
    <t>締付ボルト_SS400_グリスアップ_M36x3670L</t>
  </si>
  <si>
    <t>H0000378696</t>
  </si>
  <si>
    <t>締付ボルト_SS400_グリスアップ_M36x3770L</t>
  </si>
  <si>
    <t>H0000378697</t>
  </si>
  <si>
    <t>締付ボルト_SS400_グリスアップ_M36x3870L</t>
  </si>
  <si>
    <t>H0000378698</t>
  </si>
  <si>
    <t>締付ボルト_SS400_グリスアップ_M36x3970L</t>
  </si>
  <si>
    <t>H0000378699</t>
  </si>
  <si>
    <t>締付ボルト_SS400_グリスアップ_M36x4070L</t>
  </si>
  <si>
    <t>H0000378700</t>
  </si>
  <si>
    <t>締付ボルト_SS400_グリスアップ_M36x4170L</t>
  </si>
  <si>
    <t>H0000378701</t>
  </si>
  <si>
    <t>締付ボルト_SS400_グリスアップ_M36x4270L</t>
  </si>
  <si>
    <t>H0000378827</t>
  </si>
  <si>
    <t>締付ボルト_SNB7_グリスアップ_M36x3770L</t>
  </si>
  <si>
    <t>H0000378828</t>
  </si>
  <si>
    <t>締付ボルト_SNB7_グリスアップ_M36x3870L</t>
  </si>
  <si>
    <t>H0000378829</t>
  </si>
  <si>
    <t>締付ボルト_SNB7_グリスアップ_M36x3970L</t>
  </si>
  <si>
    <t>H0000378830</t>
  </si>
  <si>
    <t>締付ボルト_SNB7_グリスアップ_M36x4070L</t>
  </si>
  <si>
    <t>H0000378831</t>
  </si>
  <si>
    <t>締付ボルト_SNB7_グリスアップ_M36x4170L</t>
  </si>
  <si>
    <t>H0000378832</t>
  </si>
  <si>
    <t>締付ボルト_SNB7_グリスアップ_M36x4270L</t>
  </si>
  <si>
    <t>H0000378833</t>
  </si>
  <si>
    <t>締付ボルト_SNB7_グリスアップ_M36x4370L</t>
  </si>
  <si>
    <t>H0000378834</t>
  </si>
  <si>
    <t>締付ボルト_SNB7_グリスアップ_M36x4470L</t>
  </si>
  <si>
    <t>H0000378835</t>
  </si>
  <si>
    <t>締付ボルト_SNB7_グリスアップ_M36x4570L</t>
  </si>
  <si>
    <t>H0000378836</t>
  </si>
  <si>
    <t>締付ボルト_SNB7_グリスアップ_M36x4670L</t>
  </si>
  <si>
    <t>H0000378837</t>
  </si>
  <si>
    <t>締付ボルト_SNB7_グリスアップ_M36x4770L</t>
  </si>
  <si>
    <t>H0000378838</t>
  </si>
  <si>
    <t>締付ボルト_SNB7_グリスアップ_M36x4870L</t>
  </si>
  <si>
    <t>H0000378839</t>
  </si>
  <si>
    <t>締付ボルト_SNB7_グリスアップ_M36x4970L</t>
  </si>
  <si>
    <t>H0000378840</t>
  </si>
  <si>
    <t>締付ボルト_SNB7_グリスアップ_M36x5070L</t>
  </si>
  <si>
    <t>H0000378841</t>
  </si>
  <si>
    <t>締付ボルト_SNB7_グリスアップ_M36x5170L</t>
  </si>
  <si>
    <t>H0000378842</t>
  </si>
  <si>
    <t>締付ボルト_SNB7_グリスアップ_M36x5270L</t>
  </si>
  <si>
    <t>H0000378843</t>
  </si>
  <si>
    <t>締付ボルト_SNB7_グリスアップ_M36x5370L</t>
  </si>
  <si>
    <t>H0000378844</t>
  </si>
  <si>
    <t>締付ボルト_SNB7_グリスアップ_M36x5470L</t>
  </si>
  <si>
    <t>H0000378845</t>
  </si>
  <si>
    <t>締付ボルト_SNB7_グリスアップ_M36x5570L</t>
  </si>
  <si>
    <t>H0000378846</t>
  </si>
  <si>
    <t>締付ボルト_SNB7_グリスアップ_M36x5670L</t>
  </si>
  <si>
    <t>H0000378847</t>
  </si>
  <si>
    <t>締付ボルト_SNB7_グリスアップ_M36x5770L</t>
  </si>
  <si>
    <t>H0000378848</t>
  </si>
  <si>
    <t>締付ボルト_SNB7_グリスアップ_M36x5870L</t>
  </si>
  <si>
    <t>H0000378743</t>
  </si>
  <si>
    <t>かしめナット_1種_SS400_M36</t>
  </si>
  <si>
    <t>H0000378744</t>
  </si>
  <si>
    <t>スタッドボルト_SS400_仕上無し_M36x500Lx500S</t>
  </si>
  <si>
    <t>H0000378745</t>
  </si>
  <si>
    <t>スタッドボルト_SS400_仕上無し_M36x600Lx600S</t>
  </si>
  <si>
    <t>H0000378746</t>
  </si>
  <si>
    <t>スタッドボルト_SS400_仕上無し_M36x700Lx700S</t>
  </si>
  <si>
    <t>H0000378747</t>
  </si>
  <si>
    <t>スタッドボルト_SS400_仕上無し_M36x800Lx800S</t>
  </si>
  <si>
    <t>H0000378748</t>
  </si>
  <si>
    <t>スタッドボルト_SS400_仕上無し_M36x900Lx900S</t>
  </si>
  <si>
    <t>H0000378749</t>
  </si>
  <si>
    <t>スタッドボルト_SS400_仕上無し_M36x1000Lx1000S</t>
  </si>
  <si>
    <t>H0000378750</t>
  </si>
  <si>
    <t>スタッドボルト_SS400_仕上無し_M36x1100Lx1100S</t>
  </si>
  <si>
    <t>H0000378751</t>
  </si>
  <si>
    <t>スタッドボルト_SS400_仕上無し_M36x1200Lx1200S</t>
  </si>
  <si>
    <t>H0000378752</t>
  </si>
  <si>
    <t>スタッドボルト_SS400_仕上無し_M36x1300Lx1300S</t>
  </si>
  <si>
    <t>H0000378753</t>
  </si>
  <si>
    <t>スタッドボルト_SS400_仕上無し_M36x1400Lx1400S</t>
  </si>
  <si>
    <t>H0000378754</t>
  </si>
  <si>
    <t>スタッドボルト_SS400_仕上無し_M36x1500Lx1500S</t>
  </si>
  <si>
    <t>H0000378755</t>
  </si>
  <si>
    <t>スタッドボルト_SS400_仕上無し_M36x1600Lx1600S</t>
  </si>
  <si>
    <t>H0000378756</t>
  </si>
  <si>
    <t>スタッドボルト_SS400_仕上無し_M36x1700Lx1700S</t>
  </si>
  <si>
    <t>H0000378757</t>
  </si>
  <si>
    <t>スタッドボルト_SS400_仕上無し_M36x1800Lx1800S</t>
  </si>
  <si>
    <t>H0000378758</t>
  </si>
  <si>
    <t>スタッドボルト_SS400_仕上無し_M36x1900Lx1900S</t>
  </si>
  <si>
    <t>H0000378759</t>
  </si>
  <si>
    <t>スタッドボルト_SS400_仕上無し_M36x2000Lx2000S</t>
  </si>
  <si>
    <t>H0000378760</t>
  </si>
  <si>
    <t>スタッドボルト_SS400_仕上無し_M36x2100Lx2100S</t>
  </si>
  <si>
    <t>H0000378761</t>
  </si>
  <si>
    <t>スタッドボルト_SS400_仕上無し_M36x2200Lx2200S</t>
  </si>
  <si>
    <t>H0000378762</t>
  </si>
  <si>
    <t>スタッドボルト_SS400_仕上無し_M36x2300Lx2300S</t>
  </si>
  <si>
    <t>H0000378763</t>
  </si>
  <si>
    <t>スタッドボルト_SS400_仕上無し_M36x2400Lx2400S</t>
  </si>
  <si>
    <t>H0000378764</t>
  </si>
  <si>
    <t>スタッドボルト_SS400_仕上無し_M36x2500Lx2500S</t>
  </si>
  <si>
    <t>H0000378765</t>
  </si>
  <si>
    <t>スタッドボルト_SS400_仕上無し_M36x2600Lx2600S</t>
  </si>
  <si>
    <t>H0000378766</t>
  </si>
  <si>
    <t>スタッドボルト_SS400_仕上無し_M36x2700Lx2700S</t>
  </si>
  <si>
    <t>H0000378767</t>
  </si>
  <si>
    <t>スタッドボルト_SS400_仕上無し_M36x2800Lx2800S</t>
  </si>
  <si>
    <t>H0000378768</t>
  </si>
  <si>
    <t>スタッドボルト_SS400_仕上無し_M36x2900Lx2900S</t>
  </si>
  <si>
    <t>H0000378769</t>
  </si>
  <si>
    <t>スタッドボルト_SS400_仕上無し_M36x3000Lx3000S</t>
  </si>
  <si>
    <t>H0000378770</t>
  </si>
  <si>
    <t>スタッドボルト_SS400_仕上無し_M36x3100Lx3100S</t>
  </si>
  <si>
    <t>H0000378771</t>
  </si>
  <si>
    <t>スタッドボルト_SS400_仕上無し_M36x3200Lx3200S</t>
  </si>
  <si>
    <t>H0000378772</t>
  </si>
  <si>
    <t>スタッドボルト_SS400_仕上無し_M36x3300Lx3300S</t>
  </si>
  <si>
    <t>H0000378773</t>
  </si>
  <si>
    <t>スタッドボルト_SS400_仕上無し_M36x3400Lx3400S</t>
  </si>
  <si>
    <t>H0000378774</t>
  </si>
  <si>
    <t>スタッドボルト_SS400_仕上無し_M36x3500Lx3500S</t>
  </si>
  <si>
    <t>H0000378775</t>
  </si>
  <si>
    <t>スタッドボルト_SS400_仕上無し_M36x3600Lx3600S</t>
  </si>
  <si>
    <t>H0000378776</t>
  </si>
  <si>
    <t>スタッドボルト_SS400_仕上無し_M36x3700Lx3700S</t>
  </si>
  <si>
    <t>H0000378777</t>
  </si>
  <si>
    <t>スタッドボルト_SS400_仕上無し_M36x3800Lx3800S</t>
  </si>
  <si>
    <t>H0000378778</t>
  </si>
  <si>
    <t>スタッドボルト_SS400_仕上無し_M36x3900Lx3900S</t>
  </si>
  <si>
    <t>H0000378779</t>
  </si>
  <si>
    <t>スタッドボルト_SS400_仕上無し_M36x4000Lx4000S</t>
  </si>
  <si>
    <t>H0000378780</t>
  </si>
  <si>
    <t>スタッドボルト_SS400_仕上無し_M36x4100Lx4100S</t>
  </si>
  <si>
    <t>H0000378781</t>
  </si>
  <si>
    <t>スタッドボルト_SS400_仕上無し_M36x4200Lx4200S</t>
  </si>
  <si>
    <t>H0000378782</t>
  </si>
  <si>
    <t>スタッドボルト_SS400_仕上無し_M36x4300Lx4300S</t>
  </si>
  <si>
    <t>H0000378783</t>
  </si>
  <si>
    <t>スタッドボルト_SNB7_仕上無し_M36x3800Lx3800S</t>
  </si>
  <si>
    <t>H0000378784</t>
  </si>
  <si>
    <t>スタッドボルト_SNB7_仕上無し_M36x3900Lx3900S</t>
  </si>
  <si>
    <t>H0000378785</t>
  </si>
  <si>
    <t>スタッドボルト_SNB7_仕上無し_M36x4000Lx4000S</t>
  </si>
  <si>
    <t>H0000378786</t>
  </si>
  <si>
    <t>スタッドボルト_SNB7_仕上無し_M36x4100Lx4100S</t>
  </si>
  <si>
    <t>H0000378787</t>
  </si>
  <si>
    <t>スタッドボルト_SNB7_仕上無し_M36x4200Lx4200S</t>
  </si>
  <si>
    <t>H0000378788</t>
  </si>
  <si>
    <t>スタッドボルト_SNB7_仕上無し_M36x4300Lx4300S</t>
  </si>
  <si>
    <t>H0000378789</t>
  </si>
  <si>
    <t>スタッドボルト_SNB7_仕上無し_M36x4400Lx4400S</t>
  </si>
  <si>
    <t>H0000378790</t>
  </si>
  <si>
    <t>スタッドボルト_SNB7_仕上無し_M36x4500Lx4500S</t>
  </si>
  <si>
    <t>H0000378791</t>
  </si>
  <si>
    <t>スタッドボルト_SNB7_仕上無し_M36x4600Lx4600S</t>
  </si>
  <si>
    <t>H0000378792</t>
  </si>
  <si>
    <t>スタッドボルト_SNB7_仕上無し_M36x4700Lx4700S</t>
  </si>
  <si>
    <t>H0000378793</t>
  </si>
  <si>
    <t>スタッドボルト_SNB7_仕上無し_M36x4800Lx4800S</t>
  </si>
  <si>
    <t>H0000378794</t>
  </si>
  <si>
    <t>スタッドボルト_SNB7_仕上無し_M36x4900Lx4900S</t>
  </si>
  <si>
    <t>H0000378795</t>
  </si>
  <si>
    <t>スタッドボルト_SNB7_仕上無し_M36x5000Lx5000S</t>
  </si>
  <si>
    <t>H0000378796</t>
  </si>
  <si>
    <t>スタッドボルト_SNB7_仕上無し_M36x5100Lx5100S</t>
  </si>
  <si>
    <t>H0000378797</t>
  </si>
  <si>
    <t>スタッドボルト_SNB7_仕上無し_M36x5200Lx5200S</t>
  </si>
  <si>
    <t>H0000378798</t>
  </si>
  <si>
    <t>スタッドボルト_SNB7_仕上無し_M36x5300Lx5300S</t>
  </si>
  <si>
    <t>H0000378799</t>
  </si>
  <si>
    <t>スタッドボルト_SNB7_仕上無し_M36x5400Lx5400S</t>
  </si>
  <si>
    <t>H0000378800</t>
  </si>
  <si>
    <t>スタッドボルト_SNB7_仕上無し_M36x5500Lx5500S</t>
  </si>
  <si>
    <t>H0000378801</t>
  </si>
  <si>
    <t>スタッドボルト_SNB7_仕上無し_M36x5600Lx5600S</t>
  </si>
  <si>
    <t>H0000378802</t>
  </si>
  <si>
    <t>スタッドボルト_SNB7_仕上無し_M36x5700Lx5700S</t>
  </si>
  <si>
    <t>H0000378803</t>
  </si>
  <si>
    <t>スタッドボルト_SNB7_仕上無し_M36x5800Lx5800S</t>
  </si>
  <si>
    <t>H0000378804</t>
  </si>
  <si>
    <t>スタッドボルト_SNB7_仕上無し_M36x5900Lx5900S</t>
  </si>
  <si>
    <t>Dummy000013_3</t>
  </si>
  <si>
    <t>H0000478788</t>
  </si>
  <si>
    <t>締付ボルト_SS400_三価クロメート_M33x275L</t>
  </si>
  <si>
    <t>H0000478764</t>
  </si>
  <si>
    <t>締付ボルト_SS400_仕上無し_M33x275L</t>
  </si>
  <si>
    <t>H0000478789</t>
  </si>
  <si>
    <t>締付ボルト_SS400_三価クロメート_M33x375L</t>
  </si>
  <si>
    <t>H0000478765</t>
  </si>
  <si>
    <t>締付ボルト_SS400_仕上無し_M33x375L</t>
  </si>
  <si>
    <t>H0000478790</t>
  </si>
  <si>
    <t>締付ボルト_SS400_三価クロメート_M33x475L</t>
  </si>
  <si>
    <t>H0000478766</t>
  </si>
  <si>
    <t>締付ボルト_SS400_仕上無し_M33x475L</t>
  </si>
  <si>
    <t>H0000478791</t>
  </si>
  <si>
    <t>締付ボルト_SS400_三価クロメート_M33x575L</t>
  </si>
  <si>
    <t>H0000478767</t>
  </si>
  <si>
    <t>締付ボルト_SS400_仕上無し_M33x575L</t>
  </si>
  <si>
    <t>H0000478792</t>
  </si>
  <si>
    <t>締付ボルト_SS400_三価クロメート_M33x675L</t>
  </si>
  <si>
    <t>H0000478768</t>
  </si>
  <si>
    <t>締付ボルト_SS400_仕上無し_M33x675L</t>
  </si>
  <si>
    <t>H0000478793</t>
  </si>
  <si>
    <t>締付ボルト_SS400_三価クロメート_M33x775L</t>
  </si>
  <si>
    <t>H0000478769</t>
  </si>
  <si>
    <t>締付ボルト_SS400_仕上無し_M33x775L</t>
  </si>
  <si>
    <t>H0000478794</t>
  </si>
  <si>
    <t>締付ボルト_SS400_三価クロメート_M33x875L</t>
  </si>
  <si>
    <t>H0000478770</t>
  </si>
  <si>
    <t>締付ボルト_SS400_仕上無し_M33x875L</t>
  </si>
  <si>
    <t>H0000478795</t>
  </si>
  <si>
    <t>締付ボルト_SS400_三価クロメート_M33x975L</t>
  </si>
  <si>
    <t>H0000478771</t>
  </si>
  <si>
    <t>締付ボルト_SS400_仕上無し_M33x975L</t>
  </si>
  <si>
    <t>H0000478796</t>
  </si>
  <si>
    <t>締付ボルト_SS400_三価クロメート_M33x1075L</t>
  </si>
  <si>
    <t>H0000478772</t>
  </si>
  <si>
    <t>締付ボルト_SS400_仕上無し_M33x1075L</t>
  </si>
  <si>
    <t>H0000478797</t>
  </si>
  <si>
    <t>締付ボルト_SS400_三価クロメート_M33x1175L</t>
  </si>
  <si>
    <t>H0000478773</t>
  </si>
  <si>
    <t>締付ボルト_SS400_仕上無し_M33x1175L</t>
  </si>
  <si>
    <t>H0000478798</t>
  </si>
  <si>
    <t>締付ボルト_SS400_三価クロメート_M33x1275L</t>
  </si>
  <si>
    <t>H0000478774</t>
  </si>
  <si>
    <t>締付ボルト_SS400_仕上無し_M33x1275L</t>
  </si>
  <si>
    <t>H0000478799</t>
  </si>
  <si>
    <t>締付ボルト_SS400_三価クロメート_M33x1375L</t>
  </si>
  <si>
    <t>H0000478775</t>
  </si>
  <si>
    <t>締付ボルト_SS400_仕上無し_M33x1375L</t>
  </si>
  <si>
    <t>H0000478800</t>
  </si>
  <si>
    <t>締付ボルト_SS400_三価クロメート_M33x1475L</t>
  </si>
  <si>
    <t>H0000478776</t>
  </si>
  <si>
    <t>締付ボルト_SS400_仕上無し_M33x1475L</t>
  </si>
  <si>
    <t>H0000478801</t>
  </si>
  <si>
    <t>締付ボルト_SS400_三価クロメート_M33x1575L</t>
  </si>
  <si>
    <t>H0000478777</t>
  </si>
  <si>
    <t>締付ボルト_SS400_仕上無し_M33x1575L</t>
  </si>
  <si>
    <t>H0000478802</t>
  </si>
  <si>
    <t>締付ボルト_SS400_三価クロメート_M33x1675L</t>
  </si>
  <si>
    <t>H0000478778</t>
  </si>
  <si>
    <t>締付ボルト_SS400_仕上無し_M33x1675L</t>
  </si>
  <si>
    <t>H0000478803</t>
  </si>
  <si>
    <t>締付ボルト_SS400_三価クロメート_M33x1775L</t>
  </si>
  <si>
    <t>H0000478779</t>
  </si>
  <si>
    <t>締付ボルト_SS400_仕上無し_M33x1775L</t>
  </si>
  <si>
    <t>H0000478804</t>
  </si>
  <si>
    <t>締付ボルト_SS400_三価クロメート_M33x1875L</t>
  </si>
  <si>
    <t>H0000478780</t>
  </si>
  <si>
    <t>締付ボルト_SS400_仕上無し_M33x1875L</t>
  </si>
  <si>
    <t>H0000478805</t>
  </si>
  <si>
    <t>締付ボルト_SS400_三価クロメート_M33x1975L</t>
  </si>
  <si>
    <t>H0000478781</t>
  </si>
  <si>
    <t>締付ボルト_SS400_仕上無し_M33x1975L</t>
  </si>
  <si>
    <t>H0000478806</t>
  </si>
  <si>
    <t>締付ボルト_SS400_三価クロメート_M33x2075L</t>
  </si>
  <si>
    <t>H0000478782</t>
  </si>
  <si>
    <t>締付ボルト_SS400_仕上無し_M33x2075L</t>
  </si>
  <si>
    <t>H0000478807</t>
  </si>
  <si>
    <t>締付ボルト_SS400_三価クロメート_M33x2175L</t>
  </si>
  <si>
    <t>H0000478783</t>
  </si>
  <si>
    <t>締付ボルト_SS400_仕上無し_M33x2175L</t>
  </si>
  <si>
    <t>H0000478808</t>
  </si>
  <si>
    <t>締付ボルト_SS400_三価クロメート_M33x2275L</t>
  </si>
  <si>
    <t>H0000478784</t>
  </si>
  <si>
    <t>締付ボルト_SS400_仕上無し_M33x2275L</t>
  </si>
  <si>
    <t>H0000478809</t>
  </si>
  <si>
    <t>締付ボルト_SS400_三価クロメート_M33x2375L</t>
  </si>
  <si>
    <t>H0000478785</t>
  </si>
  <si>
    <t>締付ボルト_SS400_仕上無し_M33x2375L</t>
  </si>
  <si>
    <t>H0000478810</t>
  </si>
  <si>
    <t>締付ボルト_SS400_三価クロメート_M33x2475L</t>
  </si>
  <si>
    <t>H0000478786</t>
  </si>
  <si>
    <t>締付ボルト_SS400_仕上無し_M33x2475L</t>
  </si>
  <si>
    <t>H0000478811</t>
  </si>
  <si>
    <t>締付ボルト_SS400_三価クロメート_M33x2575L</t>
  </si>
  <si>
    <t>H0000478787</t>
  </si>
  <si>
    <t>締付ボルト_SS400_仕上無し_M33x2575L</t>
  </si>
  <si>
    <t>H0000478887</t>
  </si>
  <si>
    <t>締付ボルト_SNB7_三価クロメート_M33x275L</t>
  </si>
  <si>
    <t>H0000478863</t>
  </si>
  <si>
    <t>締付ボルト_SNB7_仕上無し_M33x275L</t>
  </si>
  <si>
    <t>H0000478888</t>
  </si>
  <si>
    <t>締付ボルト_SNB7_三価クロメート_M33x375L</t>
  </si>
  <si>
    <t>H0000478864</t>
  </si>
  <si>
    <t>締付ボルト_SNB7_仕上無し_M33x375L</t>
  </si>
  <si>
    <t>H0000478889</t>
  </si>
  <si>
    <t>締付ボルト_SNB7_三価クロメート_M33x475L</t>
  </si>
  <si>
    <t>H0000478865</t>
  </si>
  <si>
    <t>締付ボルト_SNB7_仕上無し_M33x475L</t>
  </si>
  <si>
    <t>H0000478890</t>
  </si>
  <si>
    <t>締付ボルト_SNB7_三価クロメート_M33x575L</t>
  </si>
  <si>
    <t>H0000478866</t>
  </si>
  <si>
    <t>締付ボルト_SNB7_仕上無し_M33x575L</t>
  </si>
  <si>
    <t>H0000478891</t>
  </si>
  <si>
    <t>締付ボルト_SNB7_三価クロメート_M33x675L</t>
  </si>
  <si>
    <t>H0000478867</t>
  </si>
  <si>
    <t>締付ボルト_SNB7_仕上無し_M33x675L</t>
  </si>
  <si>
    <t>H0000478892</t>
  </si>
  <si>
    <t>締付ボルト_SNB7_三価クロメート_M33x775L</t>
  </si>
  <si>
    <t>H0000478868</t>
  </si>
  <si>
    <t>締付ボルト_SNB7_仕上無し_M33x775L</t>
  </si>
  <si>
    <t>H0000478893</t>
  </si>
  <si>
    <t>締付ボルト_SNB7_三価クロメート_M33x875L</t>
  </si>
  <si>
    <t>H0000478869</t>
  </si>
  <si>
    <t>締付ボルト_SNB7_仕上無し_M33x875L</t>
  </si>
  <si>
    <t>H0000478894</t>
  </si>
  <si>
    <t>締付ボルト_SNB7_三価クロメート_M33x975L</t>
  </si>
  <si>
    <t>H0000478870</t>
  </si>
  <si>
    <t>締付ボルト_SNB7_仕上無し_M33x975L</t>
  </si>
  <si>
    <t>H0000478895</t>
  </si>
  <si>
    <t>締付ボルト_SNB7_三価クロメート_M33x1075L</t>
  </si>
  <si>
    <t>H0000478871</t>
  </si>
  <si>
    <t>締付ボルト_SNB7_仕上無し_M33x1075L</t>
  </si>
  <si>
    <t>H0000478896</t>
  </si>
  <si>
    <t>締付ボルト_SNB7_三価クロメート_M33x1175L</t>
  </si>
  <si>
    <t>H0000478872</t>
  </si>
  <si>
    <t>締付ボルト_SNB7_仕上無し_M33x1175L</t>
  </si>
  <si>
    <t>H0000478897</t>
  </si>
  <si>
    <t>締付ボルト_SNB7_三価クロメート_M33x1275L</t>
  </si>
  <si>
    <t>H0000478873</t>
  </si>
  <si>
    <t>締付ボルト_SNB7_仕上無し_M33x1275L</t>
  </si>
  <si>
    <t>H0000478898</t>
  </si>
  <si>
    <t>締付ボルト_SNB7_三価クロメート_M33x1375L</t>
  </si>
  <si>
    <t>H0000478874</t>
  </si>
  <si>
    <t>締付ボルト_SNB7_仕上無し_M33x1375L</t>
  </si>
  <si>
    <t>H0000478899</t>
  </si>
  <si>
    <t>締付ボルト_SNB7_三価クロメート_M33x1475L</t>
  </si>
  <si>
    <t>H0000478875</t>
  </si>
  <si>
    <t>締付ボルト_SNB7_仕上無し_M33x1475L</t>
  </si>
  <si>
    <t>H0000478900</t>
  </si>
  <si>
    <t>締付ボルト_SNB7_三価クロメート_M33x1575L</t>
  </si>
  <si>
    <t>H0000478876</t>
  </si>
  <si>
    <t>締付ボルト_SNB7_仕上無し_M33x1575L</t>
  </si>
  <si>
    <t>H0000478901</t>
  </si>
  <si>
    <t>締付ボルト_SNB7_三価クロメート_M33x1675L</t>
  </si>
  <si>
    <t>H0000478877</t>
  </si>
  <si>
    <t>締付ボルト_SNB7_仕上無し_M33x1675L</t>
  </si>
  <si>
    <t>H0000478902</t>
  </si>
  <si>
    <t>締付ボルト_SNB7_三価クロメート_M33x1775L</t>
  </si>
  <si>
    <t>H0000478878</t>
  </si>
  <si>
    <t>締付ボルト_SNB7_仕上無し_M33x1775L</t>
  </si>
  <si>
    <t>H0000478903</t>
  </si>
  <si>
    <t>締付ボルト_SNB7_三価クロメート_M33x1875L</t>
  </si>
  <si>
    <t>H0000478879</t>
  </si>
  <si>
    <t>締付ボルト_SNB7_仕上無し_M33x1875L</t>
  </si>
  <si>
    <t>H0000478904</t>
  </si>
  <si>
    <t>締付ボルト_SNB7_三価クロメート_M33x1975L</t>
  </si>
  <si>
    <t>H0000478880</t>
  </si>
  <si>
    <t>締付ボルト_SNB7_仕上無し_M33x1975L</t>
  </si>
  <si>
    <t>H0000478905</t>
  </si>
  <si>
    <t>締付ボルト_SNB7_三価クロメート_M33x2075L</t>
  </si>
  <si>
    <t>H0000478881</t>
  </si>
  <si>
    <t>締付ボルト_SNB7_仕上無し_M33x2075L</t>
  </si>
  <si>
    <t>H0000478906</t>
  </si>
  <si>
    <t>締付ボルト_SNB7_三価クロメート_M33x2175L</t>
  </si>
  <si>
    <t>H0000478882</t>
  </si>
  <si>
    <t>締付ボルト_SNB7_仕上無し_M33x2175L</t>
  </si>
  <si>
    <t>H0000478907</t>
  </si>
  <si>
    <t>締付ボルト_SNB7_三価クロメート_M33x2275L</t>
  </si>
  <si>
    <t>H0000478883</t>
  </si>
  <si>
    <t>締付ボルト_SNB7_仕上無し_M33x2275L</t>
  </si>
  <si>
    <t>H0000478908</t>
  </si>
  <si>
    <t>締付ボルト_SNB7_三価クロメート_M33x2375L</t>
  </si>
  <si>
    <t>H0000478884</t>
  </si>
  <si>
    <t>締付ボルト_SNB7_仕上無し_M33x2375L</t>
  </si>
  <si>
    <t>H0000478909</t>
  </si>
  <si>
    <t>締付ボルト_SNB7_三価クロメート_M33x2475L</t>
  </si>
  <si>
    <t>H0000478885</t>
  </si>
  <si>
    <t>締付ボルト_SNB7_仕上無し_M33x2475L</t>
  </si>
  <si>
    <t>H0000478910</t>
  </si>
  <si>
    <t>締付ボルト_SNB7_三価クロメート_M33x2575L</t>
  </si>
  <si>
    <t>H0000478886</t>
  </si>
  <si>
    <t>締付ボルト_SNB7_仕上無し_M33x2575L</t>
  </si>
  <si>
    <t>H0000486987</t>
  </si>
  <si>
    <t>締付ボルト_SS400_三価クロメート_M30x1375L</t>
  </si>
  <si>
    <t>H0000486969</t>
  </si>
  <si>
    <t>締付ボルト_SS400_仕上無し_M30x1375L</t>
  </si>
  <si>
    <t>H0000486988</t>
  </si>
  <si>
    <t>締付ボルト_SS400_三価クロメート_M30x1475L</t>
  </si>
  <si>
    <t>H0000486970</t>
  </si>
  <si>
    <t>締付ボルト_SS400_仕上無し_M30x1475L</t>
  </si>
  <si>
    <t>H0000486989</t>
  </si>
  <si>
    <t>締付ボルト_SS400_三価クロメート_M30x1575L</t>
  </si>
  <si>
    <t>H0000486971</t>
  </si>
  <si>
    <t>締付ボルト_SS400_仕上無し_M30x1575L</t>
  </si>
  <si>
    <t>H0000486990</t>
  </si>
  <si>
    <t>締付ボルト_SS400_三価クロメート_M30x1675L</t>
  </si>
  <si>
    <t>H0000486972</t>
  </si>
  <si>
    <t>締付ボルト_SS400_仕上無し_M30x1675L</t>
  </si>
  <si>
    <t>H0000486991</t>
  </si>
  <si>
    <t>締付ボルト_SS400_三価クロメート_M30x1775L</t>
  </si>
  <si>
    <t>H0000486973</t>
  </si>
  <si>
    <t>締付ボルト_SS400_仕上無し_M30x1775L</t>
  </si>
  <si>
    <t>H0000486992</t>
  </si>
  <si>
    <t>締付ボルト_SS400_三価クロメート_M30x1875L</t>
  </si>
  <si>
    <t>H0000486974</t>
  </si>
  <si>
    <t>締付ボルト_SS400_仕上無し_M30x1875L</t>
  </si>
  <si>
    <t>H0000486993</t>
  </si>
  <si>
    <t>締付ボルト_SS400_三価クロメート_M30x1975L</t>
  </si>
  <si>
    <t>H0000486975</t>
  </si>
  <si>
    <t>締付ボルト_SS400_仕上無し_M30x1975L</t>
  </si>
  <si>
    <t>H0000486994</t>
  </si>
  <si>
    <t>締付ボルト_SS400_三価クロメート_M30x2075L</t>
  </si>
  <si>
    <t>H0000486976</t>
  </si>
  <si>
    <t>締付ボルト_SS400_仕上無し_M30x2075L</t>
  </si>
  <si>
    <t>H0000486995</t>
  </si>
  <si>
    <t>締付ボルト_SS400_三価クロメート_M30x2175L</t>
  </si>
  <si>
    <t>H0000486977</t>
  </si>
  <si>
    <t>締付ボルト_SS400_仕上無し_M30x2175L</t>
  </si>
  <si>
    <t>H0000486996</t>
  </si>
  <si>
    <t>締付ボルト_SS400_三価クロメート_M30x2275L</t>
  </si>
  <si>
    <t>H0000486978</t>
  </si>
  <si>
    <t>締付ボルト_SS400_仕上無し_M30x2275L</t>
  </si>
  <si>
    <t>H0000486997</t>
  </si>
  <si>
    <t>締付ボルト_SS400_三価クロメート_M30x2375L</t>
  </si>
  <si>
    <t>H0000486979</t>
  </si>
  <si>
    <t>締付ボルト_SS400_仕上無し_M30x2375L</t>
  </si>
  <si>
    <t>H0000486998</t>
  </si>
  <si>
    <t>締付ボルト_SS400_三価クロメート_M30x2475L</t>
  </si>
  <si>
    <t>H0000486980</t>
  </si>
  <si>
    <t>締付ボルト_SS400_仕上無し_M30x2475L</t>
  </si>
  <si>
    <t>H0000486999</t>
  </si>
  <si>
    <t>締付ボルト_SS400_三価クロメート_M30x2575L</t>
  </si>
  <si>
    <t>H0000486981</t>
  </si>
  <si>
    <t>締付ボルト_SS400_仕上無し_M30x2575L</t>
  </si>
  <si>
    <t>H0000487000</t>
  </si>
  <si>
    <t>締付ボルト_SS400_三価クロメート_M30x2675L</t>
  </si>
  <si>
    <t>H0000486982</t>
  </si>
  <si>
    <t>締付ボルト_SS400_仕上無し_M30x2675L</t>
  </si>
  <si>
    <t>H0000487001</t>
  </si>
  <si>
    <t>締付ボルト_SS400_三価クロメート_M30x2775L</t>
  </si>
  <si>
    <t>H0000486983</t>
  </si>
  <si>
    <t>締付ボルト_SS400_仕上無し_M30x2775L</t>
  </si>
  <si>
    <t>H0000487002</t>
  </si>
  <si>
    <t>締付ボルト_SS400_三価クロメート_M30x2875L</t>
  </si>
  <si>
    <t>H0000486984</t>
  </si>
  <si>
    <t>締付ボルト_SS400_仕上無し_M30x2875L</t>
  </si>
  <si>
    <t>H0000487003</t>
  </si>
  <si>
    <t>締付ボルト_SS400_三価クロメート_M30x2975L</t>
  </si>
  <si>
    <t>H0000486985</t>
  </si>
  <si>
    <t>締付ボルト_SS400_仕上無し_M30x2975L</t>
  </si>
  <si>
    <t>H0000487004</t>
  </si>
  <si>
    <t>締付ボルト_SS400_三価クロメート_M30x3075L</t>
  </si>
  <si>
    <t>H0000486986</t>
  </si>
  <si>
    <t>締付ボルト_SS400_仕上無し_M30x3075L</t>
  </si>
  <si>
    <t>H0000487059</t>
  </si>
  <si>
    <t>締付ボルト_SNB7_三価クロメート_M30x1375L</t>
  </si>
  <si>
    <t>H0000487041</t>
  </si>
  <si>
    <t>締付ボルト_SNB7_仕上無し_M30x1375L</t>
  </si>
  <si>
    <t>H0000487060</t>
  </si>
  <si>
    <t>締付ボルト_SNB7_三価クロメート_M30x1475L</t>
  </si>
  <si>
    <t>H0000487042</t>
  </si>
  <si>
    <t>締付ボルト_SNB7_仕上無し_M30x1475L</t>
  </si>
  <si>
    <t>H0000487061</t>
  </si>
  <si>
    <t>締付ボルト_SNB7_三価クロメート_M30x1575L</t>
  </si>
  <si>
    <t>H0000487043</t>
  </si>
  <si>
    <t>締付ボルト_SNB7_仕上無し_M30x1575L</t>
  </si>
  <si>
    <t>H0000487062</t>
  </si>
  <si>
    <t>締付ボルト_SNB7_三価クロメート_M30x1675L</t>
  </si>
  <si>
    <t>H0000487044</t>
  </si>
  <si>
    <t>締付ボルト_SNB7_仕上無し_M30x1675L</t>
  </si>
  <si>
    <t>H0000487063</t>
  </si>
  <si>
    <t>締付ボルト_SNB7_三価クロメート_M30x1775L</t>
  </si>
  <si>
    <t>H0000487045</t>
  </si>
  <si>
    <t>締付ボルト_SNB7_仕上無し_M30x1775L</t>
  </si>
  <si>
    <t>H0000487064</t>
  </si>
  <si>
    <t>締付ボルト_SNB7_三価クロメート_M30x1875L</t>
  </si>
  <si>
    <t>H0000487046</t>
  </si>
  <si>
    <t>締付ボルト_SNB7_仕上無し_M30x1875L</t>
  </si>
  <si>
    <t>H0000487065</t>
  </si>
  <si>
    <t>締付ボルト_SNB7_三価クロメート_M30x1975L</t>
  </si>
  <si>
    <t>H0000487047</t>
  </si>
  <si>
    <t>締付ボルト_SNB7_仕上無し_M30x1975L</t>
  </si>
  <si>
    <t>H0000487066</t>
  </si>
  <si>
    <t>締付ボルト_SNB7_三価クロメート_M30x2075L</t>
  </si>
  <si>
    <t>H0000487048</t>
  </si>
  <si>
    <t>締付ボルト_SNB7_仕上無し_M30x2075L</t>
  </si>
  <si>
    <t>H0000487067</t>
  </si>
  <si>
    <t>締付ボルト_SNB7_三価クロメート_M30x2175L</t>
  </si>
  <si>
    <t>H0000487049</t>
  </si>
  <si>
    <t>締付ボルト_SNB7_仕上無し_M30x2175L</t>
  </si>
  <si>
    <t>H0000487068</t>
  </si>
  <si>
    <t>締付ボルト_SNB7_三価クロメート_M30x2275L</t>
  </si>
  <si>
    <t>H0000487050</t>
  </si>
  <si>
    <t>締付ボルト_SNB7_仕上無し_M30x2275L</t>
  </si>
  <si>
    <t>H0000487069</t>
  </si>
  <si>
    <t>締付ボルト_SNB7_三価クロメート_M30x2375L</t>
  </si>
  <si>
    <t>H0000487051</t>
  </si>
  <si>
    <t>締付ボルト_SNB7_仕上無し_M30x2375L</t>
  </si>
  <si>
    <t>H0000487070</t>
  </si>
  <si>
    <t>締付ボルト_SNB7_三価クロメート_M30x2475L</t>
  </si>
  <si>
    <t>H0000487052</t>
  </si>
  <si>
    <t>締付ボルト_SNB7_仕上無し_M30x2475L</t>
  </si>
  <si>
    <t>H0000487071</t>
  </si>
  <si>
    <t>締付ボルト_SNB7_三価クロメート_M30x2575L</t>
  </si>
  <si>
    <t>H0000487053</t>
  </si>
  <si>
    <t>締付ボルト_SNB7_仕上無し_M30x2575L</t>
  </si>
  <si>
    <t>H0000487072</t>
  </si>
  <si>
    <t>締付ボルト_SNB7_三価クロメート_M30x2675L</t>
  </si>
  <si>
    <t>H0000487054</t>
  </si>
  <si>
    <t>締付ボルト_SNB7_仕上無し_M30x2675L</t>
  </si>
  <si>
    <t>H0000487073</t>
  </si>
  <si>
    <t>締付ボルト_SNB7_三価クロメート_M30x2775L</t>
  </si>
  <si>
    <t>H0000487055</t>
  </si>
  <si>
    <t>締付ボルト_SNB7_仕上無し_M30x2775L</t>
  </si>
  <si>
    <t>H0000487074</t>
  </si>
  <si>
    <t>締付ボルト_SNB7_三価クロメート_M30x2875L</t>
  </si>
  <si>
    <t>H0000487056</t>
  </si>
  <si>
    <t>締付ボルト_SNB7_仕上無し_M30x2875L</t>
  </si>
  <si>
    <t>H0000487075</t>
  </si>
  <si>
    <t>締付ボルト_SNB7_三価クロメート_M30x2975L</t>
  </si>
  <si>
    <t>H0000487057</t>
  </si>
  <si>
    <t>締付ボルト_SNB7_仕上無し_M30x2975L</t>
  </si>
  <si>
    <t>H0000487076</t>
  </si>
  <si>
    <t>締付ボルト_SNB7_三価クロメート_M30x3075L</t>
  </si>
  <si>
    <t>H0000487058</t>
  </si>
  <si>
    <t>締付ボルト_SNB7_仕上無し_M30x3075L</t>
  </si>
  <si>
    <t>H0000478812</t>
  </si>
  <si>
    <t>締付ボルト_SS400_グリスアップ_M33x275L</t>
  </si>
  <si>
    <t>H0000478813</t>
  </si>
  <si>
    <t>締付ボルト_SS400_グリスアップ_M33x375L</t>
  </si>
  <si>
    <t>H0000478814</t>
  </si>
  <si>
    <t>締付ボルト_SS400_グリスアップ_M33x475L</t>
  </si>
  <si>
    <t>H0000478815</t>
  </si>
  <si>
    <t>締付ボルト_SS400_グリスアップ_M33x575L</t>
  </si>
  <si>
    <t>H0000478816</t>
  </si>
  <si>
    <t>締付ボルト_SS400_グリスアップ_M33x675L</t>
  </si>
  <si>
    <t>H0000478817</t>
  </si>
  <si>
    <t>締付ボルト_SS400_グリスアップ_M33x775L</t>
  </si>
  <si>
    <t>H0000478818</t>
  </si>
  <si>
    <t>締付ボルト_SS400_グリスアップ_M33x875L</t>
  </si>
  <si>
    <t>H0000478819</t>
  </si>
  <si>
    <t>締付ボルト_SS400_グリスアップ_M33x975L</t>
  </si>
  <si>
    <t>H0000478820</t>
  </si>
  <si>
    <t>締付ボルト_SS400_グリスアップ_M33x1075L</t>
  </si>
  <si>
    <t>H0000478821</t>
  </si>
  <si>
    <t>締付ボルト_SS400_グリスアップ_M33x1175L</t>
  </si>
  <si>
    <t>H0000478822</t>
  </si>
  <si>
    <t>締付ボルト_SS400_グリスアップ_M33x1275L</t>
  </si>
  <si>
    <t>H0000478823</t>
  </si>
  <si>
    <t>締付ボルト_SS400_グリスアップ_M33x1375L</t>
  </si>
  <si>
    <t>H0000478824</t>
  </si>
  <si>
    <t>締付ボルト_SS400_グリスアップ_M33x1475L</t>
  </si>
  <si>
    <t>H0000478825</t>
  </si>
  <si>
    <t>締付ボルト_SS400_グリスアップ_M33x1575L</t>
  </si>
  <si>
    <t>H0000478826</t>
  </si>
  <si>
    <t>締付ボルト_SS400_グリスアップ_M33x1675L</t>
  </si>
  <si>
    <t>H0000478827</t>
  </si>
  <si>
    <t>締付ボルト_SS400_グリスアップ_M33x1775L</t>
  </si>
  <si>
    <t>H0000478828</t>
  </si>
  <si>
    <t>締付ボルト_SS400_グリスアップ_M33x1875L</t>
  </si>
  <si>
    <t>H0000478829</t>
  </si>
  <si>
    <t>締付ボルト_SS400_グリスアップ_M33x1975L</t>
  </si>
  <si>
    <t>H0000478830</t>
  </si>
  <si>
    <t>締付ボルト_SS400_グリスアップ_M33x2075L</t>
  </si>
  <si>
    <t>H0000478831</t>
  </si>
  <si>
    <t>締付ボルト_SS400_グリスアップ_M33x2175L</t>
  </si>
  <si>
    <t>H0000478832</t>
  </si>
  <si>
    <t>締付ボルト_SS400_グリスアップ_M33x2275L</t>
  </si>
  <si>
    <t>H0000478833</t>
  </si>
  <si>
    <t>締付ボルト_SS400_グリスアップ_M33x2375L</t>
  </si>
  <si>
    <t>H0000478834</t>
  </si>
  <si>
    <t>締付ボルト_SS400_グリスアップ_M33x2475L</t>
  </si>
  <si>
    <t>H0000478835</t>
  </si>
  <si>
    <t>締付ボルト_SS400_グリスアップ_M33x2575L</t>
  </si>
  <si>
    <t>H0000478911</t>
  </si>
  <si>
    <t>締付ボルト_SNB7_グリスアップ_M33x275L</t>
  </si>
  <si>
    <t>H0000478912</t>
  </si>
  <si>
    <t>締付ボルト_SNB7_グリスアップ_M33x375L</t>
  </si>
  <si>
    <t>H0000478913</t>
  </si>
  <si>
    <t>締付ボルト_SNB7_グリスアップ_M33x475L</t>
  </si>
  <si>
    <t>H0000478914</t>
  </si>
  <si>
    <t>締付ボルト_SNB7_グリスアップ_M33x575L</t>
  </si>
  <si>
    <t>H0000478915</t>
  </si>
  <si>
    <t>締付ボルト_SNB7_グリスアップ_M33x675L</t>
  </si>
  <si>
    <t>H0000478916</t>
  </si>
  <si>
    <t>締付ボルト_SNB7_グリスアップ_M33x775L</t>
  </si>
  <si>
    <t>H0000478917</t>
  </si>
  <si>
    <t>締付ボルト_SNB7_グリスアップ_M33x875L</t>
  </si>
  <si>
    <t>H0000478918</t>
  </si>
  <si>
    <t>締付ボルト_SNB7_グリスアップ_M33x975L</t>
  </si>
  <si>
    <t>H0000478919</t>
  </si>
  <si>
    <t>締付ボルト_SNB7_グリスアップ_M33x1075L</t>
  </si>
  <si>
    <t>H0000478920</t>
  </si>
  <si>
    <t>締付ボルト_SNB7_グリスアップ_M33x1175L</t>
  </si>
  <si>
    <t>H0000478921</t>
  </si>
  <si>
    <t>締付ボルト_SNB7_グリスアップ_M33x1275L</t>
  </si>
  <si>
    <t>H0000478922</t>
  </si>
  <si>
    <t>締付ボルト_SNB7_グリスアップ_M33x1375L</t>
  </si>
  <si>
    <t>H0000478923</t>
  </si>
  <si>
    <t>締付ボルト_SNB7_グリスアップ_M33x1475L</t>
  </si>
  <si>
    <t>H0000478924</t>
  </si>
  <si>
    <t>締付ボルト_SNB7_グリスアップ_M33x1575L</t>
  </si>
  <si>
    <t>H0000478925</t>
  </si>
  <si>
    <t>締付ボルト_SNB7_グリスアップ_M33x1675L</t>
  </si>
  <si>
    <t>H0000478926</t>
  </si>
  <si>
    <t>締付ボルト_SNB7_グリスアップ_M33x1775L</t>
  </si>
  <si>
    <t>H0000478927</t>
  </si>
  <si>
    <t>締付ボルト_SNB7_グリスアップ_M33x1875L</t>
  </si>
  <si>
    <t>H0000478928</t>
  </si>
  <si>
    <t>締付ボルト_SNB7_グリスアップ_M33x1975L</t>
  </si>
  <si>
    <t>H0000478929</t>
  </si>
  <si>
    <t>締付ボルト_SNB7_グリスアップ_M33x2075L</t>
  </si>
  <si>
    <t>H0000478930</t>
  </si>
  <si>
    <t>締付ボルト_SNB7_グリスアップ_M33x2175L</t>
  </si>
  <si>
    <t>H0000478931</t>
  </si>
  <si>
    <t>締付ボルト_SNB7_グリスアップ_M33x2275L</t>
  </si>
  <si>
    <t>H0000478932</t>
  </si>
  <si>
    <t>締付ボルト_SNB7_グリスアップ_M33x2375L</t>
  </si>
  <si>
    <t>H0000478933</t>
  </si>
  <si>
    <t>締付ボルト_SNB7_グリスアップ_M33x2475L</t>
  </si>
  <si>
    <t>H0000478934</t>
  </si>
  <si>
    <t>締付ボルト_SNB7_グリスアップ_M33x2575L</t>
  </si>
  <si>
    <t>H0000487005</t>
  </si>
  <si>
    <t>締付ボルト_SS400_グリスアップ_M30x1375L</t>
  </si>
  <si>
    <t>H0000487006</t>
  </si>
  <si>
    <t>締付ボルト_SS400_グリスアップ_M30x1475L</t>
  </si>
  <si>
    <t>H0000487007</t>
  </si>
  <si>
    <t>締付ボルト_SS400_グリスアップ_M30x1575L</t>
  </si>
  <si>
    <t>H0000487008</t>
  </si>
  <si>
    <t>締付ボルト_SS400_グリスアップ_M30x1675L</t>
  </si>
  <si>
    <t>H0000487009</t>
  </si>
  <si>
    <t>締付ボルト_SS400_グリスアップ_M30x1775L</t>
  </si>
  <si>
    <t>H0000487010</t>
  </si>
  <si>
    <t>締付ボルト_SS400_グリスアップ_M30x1875L</t>
  </si>
  <si>
    <t>H0000487011</t>
  </si>
  <si>
    <t>締付ボルト_SS400_グリスアップ_M30x1975L</t>
  </si>
  <si>
    <t>H0000487012</t>
  </si>
  <si>
    <t>締付ボルト_SS400_グリスアップ_M30x2075L</t>
  </si>
  <si>
    <t>H0000487013</t>
  </si>
  <si>
    <t>締付ボルト_SS400_グリスアップ_M30x2175L</t>
  </si>
  <si>
    <t>H0000487014</t>
  </si>
  <si>
    <t>締付ボルト_SS400_グリスアップ_M30x2275L</t>
  </si>
  <si>
    <t>H0000487015</t>
  </si>
  <si>
    <t>締付ボルト_SS400_グリスアップ_M30x2375L</t>
  </si>
  <si>
    <t>H0000487016</t>
  </si>
  <si>
    <t>締付ボルト_SS400_グリスアップ_M30x2475L</t>
  </si>
  <si>
    <t>H0000487017</t>
  </si>
  <si>
    <t>締付ボルト_SS400_グリスアップ_M30x2575L</t>
  </si>
  <si>
    <t>H0000487018</t>
  </si>
  <si>
    <t>締付ボルト_SS400_グリスアップ_M30x2675L</t>
  </si>
  <si>
    <t>H0000487019</t>
  </si>
  <si>
    <t>締付ボルト_SS400_グリスアップ_M30x2775L</t>
  </si>
  <si>
    <t>H0000487020</t>
  </si>
  <si>
    <t>締付ボルト_SS400_グリスアップ_M30x2875L</t>
  </si>
  <si>
    <t>H0000487021</t>
  </si>
  <si>
    <t>締付ボルト_SS400_グリスアップ_M30x2975L</t>
  </si>
  <si>
    <t>H0000487022</t>
  </si>
  <si>
    <t>締付ボルト_SS400_グリスアップ_M30x3075L</t>
  </si>
  <si>
    <t>H0000487077</t>
  </si>
  <si>
    <t>締付ボルト_SNB7_グリスアップ_M30x1375L</t>
  </si>
  <si>
    <t>H0000487078</t>
  </si>
  <si>
    <t>締付ボルト_SNB7_グリスアップ_M30x1475L</t>
  </si>
  <si>
    <t>H0000487079</t>
  </si>
  <si>
    <t>締付ボルト_SNB7_グリスアップ_M30x1575L</t>
  </si>
  <si>
    <t>H0000487080</t>
  </si>
  <si>
    <t>締付ボルト_SNB7_グリスアップ_M30x1675L</t>
  </si>
  <si>
    <t>H0000487081</t>
  </si>
  <si>
    <t>締付ボルト_SNB7_グリスアップ_M30x1775L</t>
  </si>
  <si>
    <t>H0000487082</t>
  </si>
  <si>
    <t>締付ボルト_SNB7_グリスアップ_M30x1875L</t>
  </si>
  <si>
    <t>H0000487083</t>
  </si>
  <si>
    <t>締付ボルト_SNB7_グリスアップ_M30x1975L</t>
  </si>
  <si>
    <t>H0000487084</t>
  </si>
  <si>
    <t>締付ボルト_SNB7_グリスアップ_M30x2075L</t>
  </si>
  <si>
    <t>H0000487085</t>
  </si>
  <si>
    <t>締付ボルト_SNB7_グリスアップ_M30x2175L</t>
  </si>
  <si>
    <t>H0000487086</t>
  </si>
  <si>
    <t>締付ボルト_SNB7_グリスアップ_M30x2275L</t>
  </si>
  <si>
    <t>H0000487087</t>
  </si>
  <si>
    <t>締付ボルト_SNB7_グリスアップ_M30x2375L</t>
  </si>
  <si>
    <t>H0000487088</t>
  </si>
  <si>
    <t>締付ボルト_SNB7_グリスアップ_M30x2475L</t>
  </si>
  <si>
    <t>H0000487089</t>
  </si>
  <si>
    <t>締付ボルト_SNB7_グリスアップ_M30x2575L</t>
  </si>
  <si>
    <t>H0000487090</t>
  </si>
  <si>
    <t>締付ボルト_SNB7_グリスアップ_M30x2675L</t>
  </si>
  <si>
    <t>H0000487091</t>
  </si>
  <si>
    <t>締付ボルト_SNB7_グリスアップ_M30x2775L</t>
  </si>
  <si>
    <t>H0000487092</t>
  </si>
  <si>
    <t>締付ボルト_SNB7_グリスアップ_M30x2875L</t>
  </si>
  <si>
    <t>H0000487093</t>
  </si>
  <si>
    <t>締付ボルト_SNB7_グリスアップ_M30x2975L</t>
  </si>
  <si>
    <t>H0000487094</t>
  </si>
  <si>
    <t>締付ボルト_SNB7_グリスアップ_M30x3075L</t>
  </si>
  <si>
    <t>H0000486951</t>
  </si>
  <si>
    <t>スタッドボルト_SS400_仕上無し_M30x1400Lx1400S</t>
  </si>
  <si>
    <t>H0000486952</t>
  </si>
  <si>
    <t>スタッドボルト_SS400_仕上無し_M30x1500Lx1500S</t>
  </si>
  <si>
    <t>H0000486953</t>
  </si>
  <si>
    <t>スタッドボルト_SS400_仕上無し_M30x1600Lx1600S</t>
  </si>
  <si>
    <t>H0000486954</t>
  </si>
  <si>
    <t>スタッドボルト_SS400_仕上無し_M30x1700Lx1700S</t>
  </si>
  <si>
    <t>H0000486955</t>
  </si>
  <si>
    <t>スタッドボルト_SS400_仕上無し_M30x1800Lx1800S</t>
  </si>
  <si>
    <t>H0000486956</t>
  </si>
  <si>
    <t>スタッドボルト_SS400_仕上無し_M30x1900Lx1900S</t>
  </si>
  <si>
    <t>H0000486957</t>
  </si>
  <si>
    <t>スタッドボルト_SS400_仕上無し_M30x2000Lx2000S</t>
  </si>
  <si>
    <t>H0000486958</t>
  </si>
  <si>
    <t>スタッドボルト_SS400_仕上無し_M30x2100Lx2100S</t>
  </si>
  <si>
    <t>H0000486959</t>
  </si>
  <si>
    <t>スタッドボルト_SS400_仕上無し_M30x2200Lx2200S</t>
  </si>
  <si>
    <t>H0000486960</t>
  </si>
  <si>
    <t>スタッドボルト_SS400_仕上無し_M30x2300Lx2300S</t>
  </si>
  <si>
    <t>H0000486961</t>
  </si>
  <si>
    <t>スタッドボルト_SS400_仕上無し_M30x2400Lx2400S</t>
  </si>
  <si>
    <t>H0000486962</t>
  </si>
  <si>
    <t>スタッドボルト_SS400_仕上無し_M30x2500Lx2500S</t>
  </si>
  <si>
    <t>H0000486963</t>
  </si>
  <si>
    <t>スタッドボルト_SS400_仕上無し_M30x2600Lx2600S</t>
  </si>
  <si>
    <t>H0000486964</t>
  </si>
  <si>
    <t>スタッドボルト_SS400_仕上無し_M30x2700Lx2700S</t>
  </si>
  <si>
    <t>H0000486965</t>
  </si>
  <si>
    <t>スタッドボルト_SS400_仕上無し_M30x2800Lx2800S</t>
  </si>
  <si>
    <t>H0000486966</t>
  </si>
  <si>
    <t>スタッドボルト_SS400_仕上無し_M30x2900Lx2900S</t>
  </si>
  <si>
    <t>H0000486967</t>
  </si>
  <si>
    <t>スタッドボルト_SS400_仕上無し_M30x3000Lx3000S</t>
  </si>
  <si>
    <t>H0000486968</t>
  </si>
  <si>
    <t>スタッドボルト_SS400_仕上無し_M30x3100Lx3100S</t>
  </si>
  <si>
    <t>H0000487023</t>
  </si>
  <si>
    <t>スタッドボルト_SNB7_仕上無し_M30x1400Lx1400S</t>
  </si>
  <si>
    <t>H0000487024</t>
  </si>
  <si>
    <t>スタッドボルト_SNB7_仕上無し_M30x1500Lx1500S</t>
  </si>
  <si>
    <t>H0000487025</t>
  </si>
  <si>
    <t>スタッドボルト_SNB7_仕上無し_M30x1600Lx1600S</t>
  </si>
  <si>
    <t>H0000487026</t>
  </si>
  <si>
    <t>スタッドボルト_SNB7_仕上無し_M30x1700Lx1700S</t>
  </si>
  <si>
    <t>H0000487027</t>
  </si>
  <si>
    <t>スタッドボルト_SNB7_仕上無し_M30x1800Lx1800S</t>
  </si>
  <si>
    <t>H0000487028</t>
  </si>
  <si>
    <t>スタッドボルト_SNB7_仕上無し_M30x1900Lx1900S</t>
  </si>
  <si>
    <t>H0000487029</t>
  </si>
  <si>
    <t>スタッドボルト_SNB7_仕上無し_M30x2000Lx2000S</t>
  </si>
  <si>
    <t>H0000487030</t>
  </si>
  <si>
    <t>スタッドボルト_SNB7_仕上無し_M30x2100Lx2100S</t>
  </si>
  <si>
    <t>H0000487031</t>
  </si>
  <si>
    <t>スタッドボルト_SNB7_仕上無し_M30x2200Lx2200S</t>
  </si>
  <si>
    <t>H0000487032</t>
  </si>
  <si>
    <t>スタッドボルト_SNB7_仕上無し_M30x2300Lx2300S</t>
  </si>
  <si>
    <t>H0000487033</t>
  </si>
  <si>
    <t>スタッドボルト_SNB7_仕上無し_M30x2400Lx2400S</t>
  </si>
  <si>
    <t>H0000487034</t>
  </si>
  <si>
    <t>スタッドボルト_SNB7_仕上無し_M30x2500Lx2500S</t>
  </si>
  <si>
    <t>H0000487035</t>
  </si>
  <si>
    <t>スタッドボルト_SNB7_仕上無し_M30x2600Lx2600S</t>
  </si>
  <si>
    <t>H0000487036</t>
  </si>
  <si>
    <t>スタッドボルト_SNB7_仕上無し_M30x2700Lx2700S</t>
  </si>
  <si>
    <t>H0000487037</t>
  </si>
  <si>
    <t>スタッドボルト_SNB7_仕上無し_M30x2800Lx2800S</t>
  </si>
  <si>
    <t>H0000487038</t>
  </si>
  <si>
    <t>スタッドボルト_SNB7_仕上無し_M30x2900Lx2900S</t>
  </si>
  <si>
    <t>H0000487039</t>
  </si>
  <si>
    <t>スタッドボルト_SNB7_仕上無し_M30x3000Lx3000S</t>
  </si>
  <si>
    <t>H0000487040</t>
  </si>
  <si>
    <t>スタッドボルト_SNB7_仕上無し_M30x3100Lx3100S</t>
  </si>
  <si>
    <t>H0000268333</t>
  </si>
  <si>
    <t>スタッドボルト_切断前_SNB7_仕上無し_1-5/8x6000Lｘ6000Ｓ</t>
  </si>
  <si>
    <t>H0000268334</t>
  </si>
  <si>
    <t>スタッドボルト_切断前_SNB7_仕上無し_2-8UNx6000Lｘ6000Ｓ</t>
  </si>
  <si>
    <t>MBOM1304</t>
  </si>
  <si>
    <t>MBOM1305</t>
  </si>
  <si>
    <t>MBOM1306</t>
  </si>
  <si>
    <t>MBOM1307</t>
  </si>
  <si>
    <t>MBOM1308</t>
  </si>
  <si>
    <t>MBOM1309</t>
  </si>
  <si>
    <t>MBOM1310</t>
  </si>
  <si>
    <t>MBOM1311</t>
  </si>
  <si>
    <t>MBOM1312</t>
  </si>
  <si>
    <t>MBOM1313</t>
  </si>
  <si>
    <t>MBOM1314</t>
  </si>
  <si>
    <t>MBOM1319</t>
  </si>
  <si>
    <t>H0000030481</t>
  </si>
  <si>
    <t>丸棒_転造前_SNB7_仕上無し_φ38.82(1-5/8)x6000L</t>
  </si>
  <si>
    <t>MBOM1320</t>
  </si>
  <si>
    <t>H0000030482</t>
  </si>
  <si>
    <t>丸棒_転造前_SNB7_仕上無し_φ48.60(2)x6000L</t>
  </si>
  <si>
    <t>MBOM1571</t>
  </si>
  <si>
    <t>MBOM1572</t>
  </si>
  <si>
    <t>MBOM1573</t>
  </si>
  <si>
    <t>MBOM1574</t>
  </si>
  <si>
    <t>MBOM1575</t>
  </si>
  <si>
    <t>MBOM1576</t>
  </si>
  <si>
    <t>MBOM1577</t>
  </si>
  <si>
    <t>MBOM1578</t>
  </si>
  <si>
    <t>MBOM1579</t>
  </si>
  <si>
    <t>MBOM1580</t>
  </si>
  <si>
    <t>MBOM1581</t>
  </si>
  <si>
    <t>MBOM1582</t>
  </si>
  <si>
    <t>MBOM1583</t>
  </si>
  <si>
    <t>MBOM1584</t>
  </si>
  <si>
    <t>MBOM1585</t>
  </si>
  <si>
    <t>MBOM1586</t>
  </si>
  <si>
    <t>MBOM1587</t>
  </si>
  <si>
    <t>MBOM1588</t>
  </si>
  <si>
    <t>MBOM1589</t>
  </si>
  <si>
    <t>MBOM1590</t>
  </si>
  <si>
    <t>MBOM1591</t>
  </si>
  <si>
    <t>MBOM1592</t>
  </si>
  <si>
    <t>MBOM1593</t>
  </si>
  <si>
    <t>MBOM1594</t>
  </si>
  <si>
    <t>MBOM1595</t>
  </si>
  <si>
    <t>MBOM1596</t>
  </si>
  <si>
    <t>MBOM1597</t>
  </si>
  <si>
    <t>MBOM1598</t>
  </si>
  <si>
    <t>MBOM1599</t>
  </si>
  <si>
    <t>MBOM1600</t>
  </si>
  <si>
    <t>MBOM1601</t>
  </si>
  <si>
    <t>MBOM1602</t>
  </si>
  <si>
    <t>MBOM1603</t>
  </si>
  <si>
    <t>MBOM1604</t>
  </si>
  <si>
    <t>MBOM1605</t>
  </si>
  <si>
    <t>MBOM1606</t>
  </si>
  <si>
    <t>MBOM1607</t>
  </si>
  <si>
    <t>MBOM1608</t>
  </si>
  <si>
    <t>MBOM1609</t>
  </si>
  <si>
    <t>MBOM1610</t>
  </si>
  <si>
    <t>MBOM1611</t>
  </si>
  <si>
    <t>MBOM1612</t>
  </si>
  <si>
    <t>MBOM1613</t>
  </si>
  <si>
    <t>MBOM1614</t>
  </si>
  <si>
    <t>MBOM1615</t>
  </si>
  <si>
    <t>MBOM1616</t>
  </si>
  <si>
    <t>MBOM1617</t>
  </si>
  <si>
    <t>MBOM1618</t>
  </si>
  <si>
    <t>MBOM1619</t>
  </si>
  <si>
    <t>MBOM1620</t>
  </si>
  <si>
    <t>MBOM1621</t>
  </si>
  <si>
    <t>MBOM1622</t>
  </si>
  <si>
    <t>MBOM1623</t>
  </si>
  <si>
    <t>MBOM1624</t>
  </si>
  <si>
    <t>MBOM1625</t>
  </si>
  <si>
    <t>MBOM1626</t>
  </si>
  <si>
    <t>MBOM1627</t>
  </si>
  <si>
    <t>MBOM1628</t>
  </si>
  <si>
    <t>MBOM1629</t>
  </si>
  <si>
    <t>MBOM1630</t>
  </si>
  <si>
    <t>MBOM1631</t>
  </si>
  <si>
    <t>MBOM1632</t>
  </si>
  <si>
    <t>MBOM1633</t>
  </si>
  <si>
    <t>MBOM1634</t>
  </si>
  <si>
    <t>MBOM1635</t>
  </si>
  <si>
    <t>MBOM1636</t>
  </si>
  <si>
    <t>MBOM1637</t>
  </si>
  <si>
    <t>MBOM1638</t>
  </si>
  <si>
    <t>MBOM1639</t>
  </si>
  <si>
    <t>MBOM1640</t>
  </si>
  <si>
    <t>MBOM1641</t>
  </si>
  <si>
    <t>MBOM1642</t>
  </si>
  <si>
    <t>MBOM1643</t>
  </si>
  <si>
    <t>MBOM1644</t>
  </si>
  <si>
    <t>MBOM1645</t>
  </si>
  <si>
    <t>MBOM1646</t>
  </si>
  <si>
    <t>MBOM1647</t>
  </si>
  <si>
    <t>MBOM1648</t>
  </si>
  <si>
    <t>MBOM1649</t>
  </si>
  <si>
    <t>MBOM1650</t>
  </si>
  <si>
    <t>MBOM1651</t>
  </si>
  <si>
    <t>MBOM1652</t>
  </si>
  <si>
    <t>MBOM1653</t>
  </si>
  <si>
    <t>MBOM1654</t>
  </si>
  <si>
    <t>MBOM1655</t>
  </si>
  <si>
    <t>MBOM1656</t>
  </si>
  <si>
    <t>MBOM1657</t>
  </si>
  <si>
    <t>MBOM1658</t>
  </si>
  <si>
    <t>MBOM1659</t>
  </si>
  <si>
    <t>MBOM1660</t>
  </si>
  <si>
    <t>MBOM1661</t>
  </si>
  <si>
    <t>MBOM1662</t>
  </si>
  <si>
    <t>MBOM1663</t>
  </si>
  <si>
    <t>MBOM1664</t>
  </si>
  <si>
    <t>MBOM1665</t>
  </si>
  <si>
    <t>MBOM1666</t>
  </si>
  <si>
    <t>MBOM1667</t>
  </si>
  <si>
    <t>MBOM1668</t>
  </si>
  <si>
    <t>MBOM1669</t>
  </si>
  <si>
    <t>MBOM1670</t>
  </si>
  <si>
    <t>MBOM1671</t>
  </si>
  <si>
    <t>MBOM1824</t>
  </si>
  <si>
    <t>MBOM1825</t>
  </si>
  <si>
    <t>MBOM1826</t>
  </si>
  <si>
    <t>MBOM1827</t>
  </si>
  <si>
    <t>MBOM1828</t>
  </si>
  <si>
    <t>MBOM1829</t>
  </si>
  <si>
    <t>MBOM1830</t>
  </si>
  <si>
    <t>MBOM1831</t>
  </si>
  <si>
    <t>MBOM1832</t>
  </si>
  <si>
    <t>MBOM1833</t>
  </si>
  <si>
    <t>MBOM1834</t>
  </si>
  <si>
    <t>MBOM1896</t>
  </si>
  <si>
    <t>MBOM1897</t>
  </si>
  <si>
    <t>MBOM1898</t>
  </si>
  <si>
    <t>MBOM1899</t>
  </si>
  <si>
    <t>MBOM1900</t>
  </si>
  <si>
    <t>MBOM1901</t>
  </si>
  <si>
    <t>MBOM1902</t>
  </si>
  <si>
    <t>MBOM1903</t>
  </si>
  <si>
    <t>MBOM1904</t>
  </si>
  <si>
    <t>MBOM1905</t>
  </si>
  <si>
    <t>MBOM1906</t>
  </si>
  <si>
    <t>MBOM1907</t>
  </si>
  <si>
    <t>MBOM1908</t>
  </si>
  <si>
    <t>MBOM1909</t>
  </si>
  <si>
    <t>MBOM1910</t>
  </si>
  <si>
    <t>MBOM1911</t>
  </si>
  <si>
    <t>MBOM1912</t>
  </si>
  <si>
    <t>MBOM1913</t>
  </si>
  <si>
    <t>MBOM1914</t>
  </si>
  <si>
    <t>MBOM1915</t>
  </si>
  <si>
    <t>MBOM1916</t>
  </si>
  <si>
    <t>MBOM1917</t>
  </si>
  <si>
    <t>MBOM1918</t>
  </si>
  <si>
    <t>MBOM1919</t>
  </si>
  <si>
    <t>MBOM1920</t>
  </si>
  <si>
    <t>MBOM1921</t>
  </si>
  <si>
    <t>MBOM1922</t>
  </si>
  <si>
    <t>MBOM1923</t>
  </si>
  <si>
    <t>MBOM1924</t>
  </si>
  <si>
    <t>MBOM1925</t>
  </si>
  <si>
    <t>MBOM1926</t>
  </si>
  <si>
    <t>MBOM1927</t>
  </si>
  <si>
    <t>MBOM1928</t>
  </si>
  <si>
    <t>MBOM1929</t>
  </si>
  <si>
    <t>MBOM1930</t>
  </si>
  <si>
    <t>MBOM1931</t>
  </si>
  <si>
    <t>MBOM1932</t>
  </si>
  <si>
    <t>MBOM1933</t>
  </si>
  <si>
    <t>MBOM1934</t>
  </si>
  <si>
    <t>MBOM1935</t>
  </si>
  <si>
    <t>MBOM1936</t>
  </si>
  <si>
    <t>MBOM1937</t>
  </si>
  <si>
    <t>MBOM1938</t>
  </si>
  <si>
    <t>MBOM1939</t>
  </si>
  <si>
    <t>MBOM1940</t>
  </si>
  <si>
    <t>MBOM1941</t>
  </si>
  <si>
    <t>MBOM1942</t>
  </si>
  <si>
    <t>MBOM1943</t>
  </si>
  <si>
    <t>MBOM1944</t>
  </si>
  <si>
    <t>MBOM1945</t>
  </si>
  <si>
    <t>MBOM1946</t>
  </si>
  <si>
    <t>MBOM1947</t>
  </si>
  <si>
    <t>MBOM1948</t>
  </si>
  <si>
    <t>MBOM1949</t>
  </si>
  <si>
    <t>MBOM1950</t>
  </si>
  <si>
    <t>MBOM1951</t>
  </si>
  <si>
    <t>MBOM1952</t>
  </si>
  <si>
    <t>MBOM1953</t>
  </si>
  <si>
    <t>MBOM1954</t>
  </si>
  <si>
    <t>MBOM1955</t>
  </si>
  <si>
    <t>MBOM1956</t>
  </si>
  <si>
    <t>MBOM1957</t>
  </si>
  <si>
    <t>MBOM1958</t>
  </si>
  <si>
    <t>MBOM1959</t>
  </si>
  <si>
    <t>MBOM1960</t>
  </si>
  <si>
    <t>MBOM1961</t>
  </si>
  <si>
    <t>MBOM1962</t>
  </si>
  <si>
    <t>MBOM1963</t>
  </si>
  <si>
    <t>MBOM1964</t>
  </si>
  <si>
    <t>MBOM1965</t>
  </si>
  <si>
    <t>MBOM1966</t>
  </si>
  <si>
    <t>MBOM1967</t>
  </si>
  <si>
    <t>MBOM1968</t>
  </si>
  <si>
    <t>MBOM1969</t>
  </si>
  <si>
    <t>MBOM1970</t>
  </si>
  <si>
    <t>MBOM1971</t>
  </si>
  <si>
    <t>MBOM1972</t>
  </si>
  <si>
    <t>MBOM1973</t>
  </si>
  <si>
    <t>MBOM1974</t>
  </si>
  <si>
    <t>MBOM1975</t>
  </si>
  <si>
    <t>MBOM1976</t>
  </si>
  <si>
    <t>MBOM1977</t>
  </si>
  <si>
    <t>MBOM1978</t>
  </si>
  <si>
    <t>MBOM1979</t>
  </si>
  <si>
    <t>締付ボルト_SS400_三価クロメート_M30x275L</t>
    <phoneticPr fontId="18"/>
  </si>
  <si>
    <t>締付ボルト_SS400_仕上無し_M30x275L</t>
    <phoneticPr fontId="18"/>
  </si>
  <si>
    <t>締付ボルト_SNB7_仕上無し_M30x275L</t>
    <phoneticPr fontId="18"/>
  </si>
  <si>
    <t>締付ボルト_SS400_仕上無し_M24x280L</t>
    <phoneticPr fontId="18"/>
  </si>
  <si>
    <t>締付ボルト_SNB7_仕上無し_M36x470L</t>
    <phoneticPr fontId="18"/>
  </si>
  <si>
    <t>締付ボルト_SNB7_仕上無し_1-5/8-8UNx460L</t>
    <phoneticPr fontId="18"/>
  </si>
  <si>
    <t>締付ボルト_SNB7_仕上無し_2-8UNx750L</t>
    <phoneticPr fontId="18"/>
  </si>
  <si>
    <t>WP019</t>
    <phoneticPr fontId="18"/>
  </si>
  <si>
    <t>締付ボルト_SNB7_グリスアップ_M39x470L</t>
    <phoneticPr fontId="18"/>
  </si>
  <si>
    <t>WP007</t>
    <phoneticPr fontId="18"/>
  </si>
  <si>
    <t>スタッドボルト_切断前_SS400_仕上無し_M36x6000Lｘ6000Ｓ</t>
    <phoneticPr fontId="18"/>
  </si>
  <si>
    <t>H0000698915</t>
  </si>
  <si>
    <t>丸棒_転造前_SS400_仕上無し_φ33.30(M36)x6000L</t>
  </si>
  <si>
    <t>H0000698921</t>
  </si>
  <si>
    <t>スタッドボルト_切断前_SS400_仕上無し_M36x6000Lｘ6000Ｓ</t>
  </si>
  <si>
    <t>締付ボルト_SNB7_三価クロメート_2-8UNx2350L</t>
    <phoneticPr fontId="18"/>
  </si>
  <si>
    <t>H0000487173</t>
  </si>
  <si>
    <t>締付ボルト_SS400_三価クロメート_M24x1180L</t>
  </si>
  <si>
    <t>WP0019</t>
  </si>
  <si>
    <t>締付ボルト_SS400_仕上無し_M24x1180L</t>
  </si>
  <si>
    <t>締付ボルト_SS400_仕上無し_M24x1180L</t>
    <phoneticPr fontId="18"/>
  </si>
  <si>
    <t>H0000487167</t>
  </si>
  <si>
    <t>スタッドボルト_SS400_仕上無し_M24x1200Lx1200S</t>
  </si>
  <si>
    <t>H0000487174</t>
  </si>
  <si>
    <t>締付ボルト_SS400_三価クロメート_M24x1280L</t>
  </si>
  <si>
    <t>締付ボルト_SS400_仕上無し_M24x1280L</t>
  </si>
  <si>
    <t>締付ボルト_SS400_仕上無し_M24x1280L</t>
    <phoneticPr fontId="18"/>
  </si>
  <si>
    <t>H0000487168</t>
  </si>
  <si>
    <t>スタッドボルト_SS400_仕上無し_M24x1300Lx1300S</t>
  </si>
  <si>
    <t>H0000487175</t>
  </si>
  <si>
    <t>締付ボルト_SS400_三価クロメート_M24x1380L</t>
  </si>
  <si>
    <t>締付ボルト_SS400_仕上無し_M24x1380L</t>
  </si>
  <si>
    <t>締付ボルト_SS400_仕上無し_M24x1380L</t>
    <phoneticPr fontId="18"/>
  </si>
  <si>
    <t>H0000487169</t>
  </si>
  <si>
    <t>スタッドボルト_SS400_仕上無し_M24x1400Lx1400S</t>
  </si>
  <si>
    <t>H0000487176</t>
  </si>
  <si>
    <t>締付ボルト_SS400_三価クロメート_M24x1480L</t>
  </si>
  <si>
    <t>締付ボルト_SS400_仕上無し_M24x1480L</t>
  </si>
  <si>
    <t>締付ボルト_SS400_仕上無し_M24x1480L</t>
    <phoneticPr fontId="18"/>
  </si>
  <si>
    <t>H0000487170</t>
  </si>
  <si>
    <t>スタッドボルト_SS400_仕上無し_M24x1500Lx1500S</t>
  </si>
  <si>
    <t>H0000487177</t>
  </si>
  <si>
    <t>締付ボルト_SS400_三価クロメート_M24x1580L</t>
  </si>
  <si>
    <t>締付ボルト_SS400_仕上無し_M24x1580L</t>
  </si>
  <si>
    <t>締付ボルト_SS400_仕上無し_M24x1580L</t>
    <phoneticPr fontId="18"/>
  </si>
  <si>
    <t>H0000487171</t>
  </si>
  <si>
    <t>スタッドボルト_SS400_仕上無し_M24x1600Lx1600S</t>
  </si>
  <si>
    <t>H0000487178</t>
  </si>
  <si>
    <t>締付ボルト_SS400_三価クロメート_M24x1680L</t>
  </si>
  <si>
    <t>締付ボルト_SS400_仕上無し_M24x1680L</t>
  </si>
  <si>
    <t>締付ボルト_SS400_仕上無し_M24x1680L</t>
    <phoneticPr fontId="18"/>
  </si>
  <si>
    <t>H0000487172</t>
  </si>
  <si>
    <t>スタッドボルト_SS400_仕上無し_M24x1700Lx1700S</t>
  </si>
  <si>
    <t>H0000487152</t>
  </si>
  <si>
    <t>締付ボルト_SNB7_三価クロメート_M24x280L</t>
  </si>
  <si>
    <t>H0000688644</t>
  </si>
  <si>
    <t>締付ボルト_SNB7_仕上無し_M24x280L</t>
  </si>
  <si>
    <t>H0000688638</t>
  </si>
  <si>
    <t>H0000688639</t>
  </si>
  <si>
    <t>H0000688640</t>
  </si>
  <si>
    <t>H0000688641</t>
  </si>
  <si>
    <t>H0000688642</t>
  </si>
  <si>
    <t>H0000688643</t>
  </si>
  <si>
    <t>H0000487136</t>
  </si>
  <si>
    <t>かしめナット_1種_S45C_M24</t>
  </si>
  <si>
    <t>H0000487137</t>
  </si>
  <si>
    <t>スタッドボルト_SNB7_仕上無し_M24x300Lx300S</t>
  </si>
  <si>
    <t>H0000698920</t>
  </si>
  <si>
    <t>スタッドボルト_切断前_SNB7_仕上無し_M24x6000Lｘ6000Ｓ</t>
  </si>
  <si>
    <t>丸棒_転造前_SNB7_仕上無し_φ21.95(M24)x6000L</t>
  </si>
  <si>
    <t>H0000487153</t>
  </si>
  <si>
    <t>締付ボルト_SNB7_三価クロメート_M24x380L</t>
  </si>
  <si>
    <t>H0000688645</t>
  </si>
  <si>
    <t>締付ボルト_SNB7_仕上無し_M24x380L</t>
  </si>
  <si>
    <t>H0000487138</t>
  </si>
  <si>
    <t>スタッドボルト_SNB7_仕上無し_M24x400Lx400S</t>
  </si>
  <si>
    <t>H0000487154</t>
  </si>
  <si>
    <t>締付ボルト_SNB7_三価クロメート_M24x480L</t>
  </si>
  <si>
    <t>H0000688646</t>
  </si>
  <si>
    <t>締付ボルト_SNB7_仕上無し_M24x480L</t>
  </si>
  <si>
    <t>H0000487139</t>
  </si>
  <si>
    <t>スタッドボルト_SNB7_仕上無し_M24x500Lx500S</t>
  </si>
  <si>
    <t>H0000487155</t>
  </si>
  <si>
    <t>締付ボルト_SNB7_三価クロメート_M24x580L</t>
  </si>
  <si>
    <t>H0000688647</t>
  </si>
  <si>
    <t>締付ボルト_SNB7_仕上無し_M24x580L</t>
  </si>
  <si>
    <t>H0000487140</t>
  </si>
  <si>
    <t>スタッドボルト_SNB7_仕上無し_M24x600Lx600S</t>
  </si>
  <si>
    <t>H0000487156</t>
  </si>
  <si>
    <t>締付ボルト_SNB7_三価クロメート_M24x680L</t>
  </si>
  <si>
    <t>H0000688648</t>
  </si>
  <si>
    <t>締付ボルト_SNB7_仕上無し_M24x680L</t>
  </si>
  <si>
    <t>H0000487141</t>
  </si>
  <si>
    <t>スタッドボルト_SNB7_仕上無し_M24x700Lx700S</t>
  </si>
  <si>
    <t>H0000487157</t>
  </si>
  <si>
    <t>締付ボルト_SNB7_三価クロメート_M24x780L</t>
  </si>
  <si>
    <t>H0000688649</t>
  </si>
  <si>
    <t>締付ボルト_SNB7_仕上無し_M24x780L</t>
  </si>
  <si>
    <t>H0000487142</t>
  </si>
  <si>
    <t>スタッドボルト_SNB7_仕上無し_M24x800Lx800S</t>
  </si>
  <si>
    <t>H0000487158</t>
  </si>
  <si>
    <t>締付ボルト_SNB7_三価クロメート_M24x880L</t>
  </si>
  <si>
    <t>H0000688650</t>
  </si>
  <si>
    <t>締付ボルト_SNB7_仕上無し_M24x880L</t>
  </si>
  <si>
    <t>H0000487143</t>
  </si>
  <si>
    <t>スタッドボルト_SNB7_仕上無し_M24x900Lx900S</t>
  </si>
  <si>
    <t>H0000487159</t>
  </si>
  <si>
    <t>締付ボルト_SNB7_三価クロメート_M24x980L</t>
  </si>
  <si>
    <t>H0000688651</t>
  </si>
  <si>
    <t>締付ボルト_SNB7_仕上無し_M24x980L</t>
  </si>
  <si>
    <t>H0000487144</t>
  </si>
  <si>
    <t>スタッドボルト_SNB7_仕上無し_M24x1000Lx1000S</t>
  </si>
  <si>
    <t>H0000487160</t>
  </si>
  <si>
    <t>締付ボルト_SNB7_三価クロメート_M24x1080L</t>
  </si>
  <si>
    <t>H0000688652</t>
  </si>
  <si>
    <t>締付ボルト_SNB7_仕上無し_M24x1080L</t>
  </si>
  <si>
    <t>H0000487145</t>
  </si>
  <si>
    <t>スタッドボルト_SNB7_仕上無し_M24x1100Lx1100S</t>
  </si>
  <si>
    <t>H0000487161</t>
  </si>
  <si>
    <t>締付ボルト_SNB7_三価クロメート_M24x1180L</t>
  </si>
  <si>
    <t>H0000688653</t>
  </si>
  <si>
    <t>締付ボルト_SNB7_仕上無し_M24x1180L</t>
  </si>
  <si>
    <t>H0000487146</t>
  </si>
  <si>
    <t>スタッドボルト_SNB7_仕上無し_M24x1200Lx1200S</t>
  </si>
  <si>
    <t>H0000487162</t>
  </si>
  <si>
    <t>締付ボルト_SNB7_三価クロメート_M24x1280L</t>
  </si>
  <si>
    <t>H0000688654</t>
  </si>
  <si>
    <t>締付ボルト_SNB7_仕上無し_M24x1280L</t>
  </si>
  <si>
    <t>H0000487147</t>
  </si>
  <si>
    <t>スタッドボルト_SNB7_仕上無し_M24x1300Lx1300S</t>
  </si>
  <si>
    <t>H0000487163</t>
  </si>
  <si>
    <t>締付ボルト_SNB7_三価クロメート_M24x1380L</t>
  </si>
  <si>
    <t>H0000688655</t>
  </si>
  <si>
    <t>締付ボルト_SNB7_仕上無し_M24x1380L</t>
  </si>
  <si>
    <t>H0000487148</t>
  </si>
  <si>
    <t>スタッドボルト_SNB7_仕上無し_M24x1400Lx1400S</t>
  </si>
  <si>
    <t>H0000487164</t>
  </si>
  <si>
    <t>締付ボルト_SNB7_三価クロメート_M24x1480L</t>
  </si>
  <si>
    <t>H0000688656</t>
  </si>
  <si>
    <t>締付ボルト_SNB7_仕上無し_M24x1480L</t>
  </si>
  <si>
    <t>H0000487149</t>
  </si>
  <si>
    <t>スタッドボルト_SNB7_仕上無し_M24x1500Lx1500S</t>
  </si>
  <si>
    <t>H0000487165</t>
  </si>
  <si>
    <t>締付ボルト_SNB7_三価クロメート_M24x1580L</t>
  </si>
  <si>
    <t>H0000688657</t>
  </si>
  <si>
    <t>締付ボルト_SNB7_仕上無し_M24x1580L</t>
  </si>
  <si>
    <t>H0000487150</t>
  </si>
  <si>
    <t>スタッドボルト_SNB7_仕上無し_M24x1600Lx1600S</t>
  </si>
  <si>
    <t>H0000487166</t>
  </si>
  <si>
    <t>締付ボルト_SNB7_三価クロメート_M24x1680L</t>
  </si>
  <si>
    <t>H0000688658</t>
  </si>
  <si>
    <t>締付ボルト_SNB7_仕上無し_M24x1680L</t>
  </si>
  <si>
    <t>H0000487151</t>
  </si>
  <si>
    <t>スタッドボルト_SNB7_仕上無し_M24x1700Lx1700S</t>
  </si>
  <si>
    <t>H0000029664</t>
  </si>
  <si>
    <t>締付ボルト_SUS304_N/A_M30x275L</t>
  </si>
  <si>
    <t>H0000029746</t>
  </si>
  <si>
    <t>かしめナット_1種_SUS304_M30</t>
  </si>
  <si>
    <t>H0000029715</t>
  </si>
  <si>
    <t>スタッドボルト_SUS304_N/A_M30x300Lx300S</t>
  </si>
  <si>
    <t>H0000268331</t>
  </si>
  <si>
    <t>スタッドボルト_切断前_SUS304_仕上無し_M30x5000Lｘ5000Ｓ</t>
  </si>
  <si>
    <t>H0000030479</t>
  </si>
  <si>
    <t>丸棒_転造前_SUS304_仕上無し_φ27.60(M30)x5000L</t>
  </si>
  <si>
    <t>H0000029665</t>
  </si>
  <si>
    <t>締付ボルト_SUS304_N/A_M30x375L</t>
  </si>
  <si>
    <t>H0000029716</t>
  </si>
  <si>
    <t>スタッドボルト_SUS304_N/A_M30x400Lx400S</t>
  </si>
  <si>
    <t>H0000029666</t>
  </si>
  <si>
    <t>締付ボルト_SUS304_N/A_M30x475L</t>
  </si>
  <si>
    <t>H0000029717</t>
  </si>
  <si>
    <t>スタッドボルト_SUS304_N/A_M30x500Lx500S</t>
  </si>
  <si>
    <t>$D_PS_InHousePart</t>
    <phoneticPr fontId="18"/>
  </si>
  <si>
    <t>WP019</t>
    <phoneticPr fontId="18"/>
  </si>
  <si>
    <t>H0000029667</t>
  </si>
  <si>
    <t>締付ボルト_SUS304_N/A_M30x575L</t>
  </si>
  <si>
    <t>H0000029718</t>
  </si>
  <si>
    <t>スタッドボルト_SUS304_N/A_M30x600Lx600S</t>
  </si>
  <si>
    <t>H0000029668</t>
  </si>
  <si>
    <t>締付ボルト_SUS304_N/A_M30x675L</t>
  </si>
  <si>
    <t>H0000029719</t>
  </si>
  <si>
    <t>スタッドボルト_SUS304_N/A_M30x700Lx700S</t>
  </si>
  <si>
    <t>H0000029669</t>
  </si>
  <si>
    <t>締付ボルト_SUS304_N/A_M30x775L</t>
  </si>
  <si>
    <t>H0000029720</t>
  </si>
  <si>
    <t>スタッドボルト_SUS304_N/A_M30x800Lx800S</t>
  </si>
  <si>
    <t>H0000029670</t>
  </si>
  <si>
    <t>締付ボルト_SUS304_N/A_M30x875L</t>
  </si>
  <si>
    <t>H0000029721</t>
  </si>
  <si>
    <t>スタッドボルト_SUS304_N/A_M30x900Lx900S</t>
  </si>
  <si>
    <t>H0000029671</t>
  </si>
  <si>
    <t>締付ボルト_SUS304_N/A_M30x975L</t>
  </si>
  <si>
    <t>H0000029722</t>
  </si>
  <si>
    <t>スタッドボルト_SUS304_N/A_M30x1000Lx1000S</t>
  </si>
  <si>
    <t>H0000029672</t>
  </si>
  <si>
    <t>締付ボルト_SUS304_N/A_M30x1075L</t>
  </si>
  <si>
    <t>H0000029723</t>
  </si>
  <si>
    <t>スタッドボルト_SUS304_N/A_M30x1100Lx1100S</t>
  </si>
  <si>
    <t>H0000029673</t>
  </si>
  <si>
    <t>締付ボルト_SUS304_N/A_M30x1175L</t>
  </si>
  <si>
    <t>H0000029724</t>
  </si>
  <si>
    <t>スタッドボルト_SUS304_N/A_M30x1200Lx1200S</t>
  </si>
  <si>
    <t>H0000029674</t>
  </si>
  <si>
    <t>締付ボルト_SUS304_N/A_M30x1275L</t>
  </si>
  <si>
    <t>H0000029725</t>
  </si>
  <si>
    <t>スタッドボルト_SUS304_N/A_M30x1300Lx1300S</t>
  </si>
  <si>
    <t>H0000478154</t>
  </si>
  <si>
    <t>締付ボルト_SUS304_仕上無し_M36x470L</t>
  </si>
  <si>
    <t>H0000478153</t>
  </si>
  <si>
    <t>かしめナット_1種_SUS304_M36</t>
  </si>
  <si>
    <t>H0000478209</t>
  </si>
  <si>
    <t>スタッドボルト_SUS304_仕上無し_M36x500Lx500S</t>
  </si>
  <si>
    <t>H0000698922</t>
  </si>
  <si>
    <t>スタッドボルト_切断前_SUS304_仕上無し_M36x5000Lｘ5000Ｓ</t>
  </si>
  <si>
    <t>H0000698913</t>
  </si>
  <si>
    <t>丸棒_転造前_SUS304_仕上無し_φ33.30(M36)x5000L</t>
  </si>
  <si>
    <t>H0000478155</t>
  </si>
  <si>
    <t>締付ボルト_SUS304_仕上無し_M36x570L</t>
  </si>
  <si>
    <t>H0000478210</t>
  </si>
  <si>
    <t>スタッドボルト_SUS304_仕上無し_M36x600Lx600S</t>
  </si>
  <si>
    <t>H0000478156</t>
  </si>
  <si>
    <t>締付ボルト_SUS304_仕上無し_M36x670L</t>
  </si>
  <si>
    <t>H0000478211</t>
  </si>
  <si>
    <t>スタッドボルト_SUS304_仕上無し_M36x700Lx700S</t>
  </si>
  <si>
    <t>H0000478157</t>
  </si>
  <si>
    <t>締付ボルト_SUS304_仕上無し_M36x770L</t>
  </si>
  <si>
    <t>H0000478212</t>
  </si>
  <si>
    <t>スタッドボルト_SUS304_仕上無し_M36x800Lx800S</t>
  </si>
  <si>
    <t>H0000478158</t>
  </si>
  <si>
    <t>締付ボルト_SUS304_仕上無し_M36x870L</t>
  </si>
  <si>
    <t>H0000478213</t>
  </si>
  <si>
    <t>スタッドボルト_SUS304_仕上無し_M36x900Lx900S</t>
  </si>
  <si>
    <t>H0000478159</t>
  </si>
  <si>
    <t>締付ボルト_SUS304_仕上無し_M36x970L</t>
  </si>
  <si>
    <t>H0000478214</t>
  </si>
  <si>
    <t>スタッドボルト_SUS304_仕上無し_M36x1000Lx1000S</t>
  </si>
  <si>
    <t>H0000478160</t>
  </si>
  <si>
    <t>締付ボルト_SUS304_仕上無し_M36x1070L</t>
  </si>
  <si>
    <t>H0000478215</t>
  </si>
  <si>
    <t>スタッドボルト_SUS304_仕上無し_M36x1100Lx1100S</t>
  </si>
  <si>
    <t>H0000478161</t>
  </si>
  <si>
    <t>締付ボルト_SUS304_仕上無し_M36x1170L</t>
  </si>
  <si>
    <t>H0000478216</t>
  </si>
  <si>
    <t>スタッドボルト_SUS304_仕上無し_M36x1200Lx1200S</t>
  </si>
  <si>
    <t>H0000478162</t>
  </si>
  <si>
    <t>締付ボルト_SUS304_仕上無し_M36x1270L</t>
  </si>
  <si>
    <t>H0000478217</t>
  </si>
  <si>
    <t>スタッドボルト_SUS304_仕上無し_M36x1300Lx1300S</t>
  </si>
  <si>
    <t>H0000478163</t>
  </si>
  <si>
    <t>締付ボルト_SUS304_仕上無し_M36x1370L</t>
  </si>
  <si>
    <t>H0000478218</t>
  </si>
  <si>
    <t>スタッドボルト_SUS304_仕上無し_M36x1400Lx1400S</t>
  </si>
  <si>
    <t>H0000478164</t>
  </si>
  <si>
    <t>締付ボルト_SUS304_仕上無し_M36x1470L</t>
  </si>
  <si>
    <t>H0000478219</t>
  </si>
  <si>
    <t>スタッドボルト_SUS304_仕上無し_M36x1500Lx1500S</t>
  </si>
  <si>
    <t>H0000478165</t>
  </si>
  <si>
    <t>締付ボルト_SUS304_仕上無し_M36x1570L</t>
  </si>
  <si>
    <t>H0000478220</t>
  </si>
  <si>
    <t>スタッドボルト_SUS304_仕上無し_M36x1600Lx1600S</t>
  </si>
  <si>
    <t>H0000478166</t>
  </si>
  <si>
    <t>締付ボルト_SUS304_仕上無し_M36x1670L</t>
  </si>
  <si>
    <t>H0000478221</t>
  </si>
  <si>
    <t>スタッドボルト_SUS304_仕上無し_M36x1700Lx1700S</t>
  </si>
  <si>
    <t>H0000478167</t>
  </si>
  <si>
    <t>締付ボルト_SUS304_仕上無し_M36x1770L</t>
  </si>
  <si>
    <t>H0000478222</t>
  </si>
  <si>
    <t>スタッドボルト_SUS304_仕上無し_M36x1800Lx1800S</t>
  </si>
  <si>
    <t>H0000478168</t>
  </si>
  <si>
    <t>締付ボルト_SUS304_仕上無し_M36x1870L</t>
  </si>
  <si>
    <t>H0000478223</t>
  </si>
  <si>
    <t>スタッドボルト_SUS304_仕上無し_M36x1900Lx1900S</t>
  </si>
  <si>
    <t>H0000478169</t>
  </si>
  <si>
    <t>締付ボルト_SUS304_仕上無し_M36x1970L</t>
  </si>
  <si>
    <t>H0000478224</t>
  </si>
  <si>
    <t>スタッドボルト_SUS304_仕上無し_M36x2000Lx2000S</t>
  </si>
  <si>
    <t>H0000478170</t>
  </si>
  <si>
    <t>締付ボルト_SUS304_仕上無し_M36x2070L</t>
  </si>
  <si>
    <t>H0000478225</t>
  </si>
  <si>
    <t>スタッドボルト_SUS304_仕上無し_M36x2100Lx2100S</t>
  </si>
  <si>
    <t>H0000478171</t>
  </si>
  <si>
    <t>締付ボルト_SUS304_仕上無し_M36x2170L</t>
  </si>
  <si>
    <t>H0000478226</t>
  </si>
  <si>
    <t>スタッドボルト_SUS304_仕上無し_M36x2200Lx2200S</t>
  </si>
  <si>
    <t>H0000478172</t>
  </si>
  <si>
    <t>締付ボルト_SUS304_仕上無し_M36x2270L</t>
  </si>
  <si>
    <t>H0000478227</t>
  </si>
  <si>
    <t>スタッドボルト_SUS304_仕上無し_M36x2300Lx2300S</t>
  </si>
  <si>
    <t>H0000478173</t>
  </si>
  <si>
    <t>締付ボルト_SUS304_仕上無し_M36x2370L</t>
  </si>
  <si>
    <t>H0000478228</t>
  </si>
  <si>
    <t>スタッドボルト_SUS304_仕上無し_M36x2400Lx2400S</t>
  </si>
  <si>
    <t>H0000478174</t>
  </si>
  <si>
    <t>締付ボルト_SUS304_仕上無し_M36x2470L</t>
  </si>
  <si>
    <t>H0000478229</t>
  </si>
  <si>
    <t>スタッドボルト_SUS304_仕上無し_M36x2500Lx2500S</t>
  </si>
  <si>
    <t>H0000478175</t>
  </si>
  <si>
    <t>締付ボルト_SUS304_仕上無し_M36x2570L</t>
  </si>
  <si>
    <t>H0000478230</t>
  </si>
  <si>
    <t>スタッドボルト_SUS304_仕上無し_M36x2600Lx2600S</t>
  </si>
  <si>
    <t>H0000478176</t>
  </si>
  <si>
    <t>締付ボルト_SUS304_仕上無し_M36x2670L</t>
  </si>
  <si>
    <t>H0000478231</t>
  </si>
  <si>
    <t>スタッドボルト_SUS304_仕上無し_M36x2700Lx2700S</t>
  </si>
  <si>
    <t>H0000478177</t>
  </si>
  <si>
    <t>締付ボルト_SUS304_仕上無し_M36x2770L</t>
  </si>
  <si>
    <t>H0000478232</t>
  </si>
  <si>
    <t>スタッドボルト_SUS304_仕上無し_M36x2800Lx2800S</t>
  </si>
  <si>
    <t>H0000478178</t>
  </si>
  <si>
    <t>締付ボルト_SUS304_仕上無し_M36x2870L</t>
  </si>
  <si>
    <t>H0000478233</t>
  </si>
  <si>
    <t>スタッドボルト_SUS304_仕上無し_M36x2900Lx2900S</t>
  </si>
  <si>
    <t>H0000478179</t>
  </si>
  <si>
    <t>締付ボルト_SUS304_仕上無し_M36x2970L</t>
  </si>
  <si>
    <t>H0000478234</t>
  </si>
  <si>
    <t>スタッドボルト_SUS304_仕上無し_M36x3000Lx3000S</t>
  </si>
  <si>
    <t>H0000478180</t>
  </si>
  <si>
    <t>締付ボルト_SUS304_仕上無し_M36x3070L</t>
  </si>
  <si>
    <t>H0000478235</t>
  </si>
  <si>
    <t>スタッドボルト_SUS304_仕上無し_M36x3100Lx3100S</t>
  </si>
  <si>
    <t>H0000478181</t>
  </si>
  <si>
    <t>締付ボルト_SUS304_仕上無し_M36x3170L</t>
  </si>
  <si>
    <t>H0000478236</t>
  </si>
  <si>
    <t>スタッドボルト_SUS304_仕上無し_M36x3200Lx3200S</t>
  </si>
  <si>
    <t>H0000478182</t>
  </si>
  <si>
    <t>締付ボルト_SUS304_仕上無し_M36x3270L</t>
  </si>
  <si>
    <t>H0000478237</t>
  </si>
  <si>
    <t>スタッドボルト_SUS304_仕上無し_M36x3300Lx3300S</t>
  </si>
  <si>
    <t>H0000478183</t>
  </si>
  <si>
    <t>締付ボルト_SUS304_仕上無し_M36x3370L</t>
  </si>
  <si>
    <t>H0000478238</t>
  </si>
  <si>
    <t>スタッドボルト_SUS304_仕上無し_M36x3400Lx3400S</t>
  </si>
  <si>
    <t>H0000478184</t>
  </si>
  <si>
    <t>締付ボルト_SUS304_仕上無し_M36x3470L</t>
  </si>
  <si>
    <t>H0000478239</t>
  </si>
  <si>
    <t>スタッドボルト_SUS304_仕上無し_M36x3500Lx3500S</t>
  </si>
  <si>
    <t>H0000478185</t>
  </si>
  <si>
    <t>締付ボルト_SUS304_仕上無し_M36x3570L</t>
  </si>
  <si>
    <t>H0000478240</t>
  </si>
  <si>
    <t>スタッドボルト_SUS304_仕上無し_M36x3600Lx3600S</t>
  </si>
  <si>
    <t>H0000478186</t>
  </si>
  <si>
    <t>締付ボルト_SUS304_仕上無し_M36x3670L</t>
  </si>
  <si>
    <t>H0000478241</t>
  </si>
  <si>
    <t>スタッドボルト_SUS304_仕上無し_M36x3700Lx3700S</t>
  </si>
  <si>
    <t>H0000478187</t>
  </si>
  <si>
    <t>締付ボルト_SUS304_仕上無し_M36x3770L</t>
  </si>
  <si>
    <t>H0000478242</t>
  </si>
  <si>
    <t>スタッドボルト_SUS304_仕上無し_M36x3800Lx3800S</t>
  </si>
  <si>
    <t>H0000478188</t>
  </si>
  <si>
    <t>締付ボルト_SUS304_仕上無し_M36x3870L</t>
  </si>
  <si>
    <t>H0000478243</t>
  </si>
  <si>
    <t>スタッドボルト_SUS304_仕上無し_M36x3900Lx3900S</t>
  </si>
  <si>
    <t>H0000478189</t>
  </si>
  <si>
    <t>締付ボルト_SUS304_仕上無し_M36x3970L</t>
  </si>
  <si>
    <t>H0000478244</t>
  </si>
  <si>
    <t>スタッドボルト_SUS304_仕上無し_M36x4000Lx4000S</t>
  </si>
  <si>
    <t>H0000478190</t>
  </si>
  <si>
    <t>締付ボルト_SUS304_仕上無し_M36x4070L</t>
  </si>
  <si>
    <t>H0000478245</t>
  </si>
  <si>
    <t>スタッドボルト_SUS304_仕上無し_M36x4100Lx4100S</t>
  </si>
  <si>
    <t>H0000478191</t>
  </si>
  <si>
    <t>締付ボルト_SUS304_仕上無し_M36x4170L</t>
  </si>
  <si>
    <t>H0000478246</t>
  </si>
  <si>
    <t>スタッドボルト_SUS304_仕上無し_M36x4200Lx4200S</t>
  </si>
  <si>
    <t>H0000478192</t>
  </si>
  <si>
    <t>締付ボルト_SUS304_仕上無し_M36x4270L</t>
  </si>
  <si>
    <t>H0000478247</t>
  </si>
  <si>
    <t>スタッドボルト_SUS304_仕上無し_M36x4300Lx4300S</t>
  </si>
  <si>
    <t>H0000478193</t>
  </si>
  <si>
    <t>締付ボルト_SUS304_仕上無し_M36x4370L</t>
  </si>
  <si>
    <t>H0000478248</t>
  </si>
  <si>
    <t>スタッドボルト_SUS304_仕上無し_M36x4400Lx4400S</t>
  </si>
  <si>
    <t>H0000478194</t>
  </si>
  <si>
    <t>締付ボルト_SUS304_仕上無し_M36x4470L</t>
  </si>
  <si>
    <t>H0000478249</t>
  </si>
  <si>
    <t>スタッドボルト_SUS304_仕上無し_M36x4500Lx4500S</t>
  </si>
  <si>
    <t>H0000478195</t>
  </si>
  <si>
    <t>締付ボルト_SUS304_仕上無し_M36x4570L</t>
  </si>
  <si>
    <t>H0000478250</t>
  </si>
  <si>
    <t>スタッドボルト_SUS304_仕上無し_M36x4600Lx4600S</t>
  </si>
  <si>
    <t>H0000478196</t>
  </si>
  <si>
    <t>締付ボルト_SUS304_仕上無し_M36x4670L</t>
  </si>
  <si>
    <t>H0000478251</t>
  </si>
  <si>
    <t>スタッドボルト_SUS304_仕上無し_M36x4700Lx4700S</t>
  </si>
  <si>
    <t>H0000478197</t>
  </si>
  <si>
    <t>締付ボルト_SUS304_仕上無し_M36x4770L</t>
  </si>
  <si>
    <t>H0000478252</t>
  </si>
  <si>
    <t>スタッドボルト_SUS304_仕上無し_M36x4800Lx4800S</t>
  </si>
  <si>
    <t>H0000478198</t>
  </si>
  <si>
    <t>締付ボルト_SUS304_仕上無し_M36x4870L</t>
  </si>
  <si>
    <t>H0000478253</t>
  </si>
  <si>
    <t>スタッドボルト_SUS304_仕上無し_M36x4900Lx4900S</t>
  </si>
  <si>
    <t>H0000487114</t>
  </si>
  <si>
    <t>締付ボルト_SUS304_仕上無し_M30x1375L</t>
  </si>
  <si>
    <t>H0000487096</t>
  </si>
  <si>
    <t>スタッドボルト_SUS304_仕上無し_M30x1400Lx1400S</t>
  </si>
  <si>
    <t>H0000487115</t>
  </si>
  <si>
    <t>締付ボルト_SUS304_仕上無し_M30x1475L</t>
  </si>
  <si>
    <t>H0000487097</t>
  </si>
  <si>
    <t>スタッドボルト_SUS304_仕上無し_M30x1500Lx1500S</t>
  </si>
  <si>
    <t>H0000487116</t>
  </si>
  <si>
    <t>締付ボルト_SUS304_仕上無し_M30x1575L</t>
  </si>
  <si>
    <t>H0000487098</t>
  </si>
  <si>
    <t>スタッドボルト_SUS304_仕上無し_M30x1600Lx1600S</t>
  </si>
  <si>
    <t>H0000487117</t>
  </si>
  <si>
    <t>締付ボルト_SUS304_仕上無し_M30x1675L</t>
  </si>
  <si>
    <t>H0000487099</t>
  </si>
  <si>
    <t>スタッドボルト_SUS304_仕上無し_M30x1700Lx1700S</t>
  </si>
  <si>
    <t>H0000487118</t>
  </si>
  <si>
    <t>締付ボルト_SUS304_仕上無し_M30x1775L</t>
  </si>
  <si>
    <t>H0000487100</t>
  </si>
  <si>
    <t>スタッドボルト_SUS304_仕上無し_M30x1800Lx1800S</t>
  </si>
  <si>
    <t>H0000487119</t>
  </si>
  <si>
    <t>締付ボルト_SUS304_仕上無し_M30x1875L</t>
  </si>
  <si>
    <t>H0000487101</t>
  </si>
  <si>
    <t>スタッドボルト_SUS304_仕上無し_M30x1900Lx1900S</t>
  </si>
  <si>
    <t>H0000487120</t>
  </si>
  <si>
    <t>締付ボルト_SUS304_仕上無し_M30x1975L</t>
  </si>
  <si>
    <t>H0000487102</t>
  </si>
  <si>
    <t>スタッドボルト_SUS304_仕上無し_M30x2000Lx2000S</t>
  </si>
  <si>
    <t>H0000487121</t>
  </si>
  <si>
    <t>締付ボルト_SUS304_仕上無し_M30x2075L</t>
  </si>
  <si>
    <t>H0000487103</t>
  </si>
  <si>
    <t>スタッドボルト_SUS304_仕上無し_M30x2100Lx2100S</t>
  </si>
  <si>
    <t>H0000487122</t>
  </si>
  <si>
    <t>締付ボルト_SUS304_仕上無し_M30x2175L</t>
  </si>
  <si>
    <t>H0000487104</t>
  </si>
  <si>
    <t>スタッドボルト_SUS304_仕上無し_M30x2200Lx2200S</t>
  </si>
  <si>
    <t>H0000487123</t>
  </si>
  <si>
    <t>締付ボルト_SUS304_仕上無し_M30x2275L</t>
  </si>
  <si>
    <t>H0000487105</t>
  </si>
  <si>
    <t>スタッドボルト_SUS304_仕上無し_M30x2300Lx2300S</t>
  </si>
  <si>
    <t>H0000487124</t>
  </si>
  <si>
    <t>締付ボルト_SUS304_仕上無し_M30x2375L</t>
  </si>
  <si>
    <t>H0000487106</t>
  </si>
  <si>
    <t>スタッドボルト_SUS304_仕上無し_M30x2400Lx2400S</t>
  </si>
  <si>
    <t>H0000487125</t>
  </si>
  <si>
    <t>締付ボルト_SUS304_仕上無し_M30x2475L</t>
  </si>
  <si>
    <t>H0000487107</t>
  </si>
  <si>
    <t>スタッドボルト_SUS304_仕上無し_M30x2500Lx2500S</t>
  </si>
  <si>
    <t>H0000487126</t>
  </si>
  <si>
    <t>締付ボルト_SUS304_仕上無し_M30x2575L</t>
  </si>
  <si>
    <t>H0000487108</t>
  </si>
  <si>
    <t>スタッドボルト_SUS304_仕上無し_M30x2600Lx2600S</t>
  </si>
  <si>
    <t>H0000487127</t>
  </si>
  <si>
    <t>締付ボルト_SUS304_仕上無し_M30x2675L</t>
  </si>
  <si>
    <t>H0000487109</t>
  </si>
  <si>
    <t>スタッドボルト_SUS304_仕上無し_M30x2700Lx2700S</t>
  </si>
  <si>
    <t>H0000487128</t>
  </si>
  <si>
    <t>締付ボルト_SUS304_仕上無し_M30x2775L</t>
  </si>
  <si>
    <t>H0000487110</t>
  </si>
  <si>
    <t>スタッドボルト_SUS304_仕上無し_M30x2800Lx2800S</t>
  </si>
  <si>
    <t>H0000487129</t>
  </si>
  <si>
    <t>締付ボルト_SUS304_仕上無し_M30x2875L</t>
  </si>
  <si>
    <t>H0000487111</t>
  </si>
  <si>
    <t>スタッドボルト_SUS304_仕上無し_M30x2900Lx2900S</t>
  </si>
  <si>
    <t>H0000487130</t>
  </si>
  <si>
    <t>締付ボルト_SUS304_仕上無し_M30x2975L</t>
  </si>
  <si>
    <t>H0000487112</t>
  </si>
  <si>
    <t>スタッドボルト_SUS304_仕上無し_M30x3000Lx3000S</t>
  </si>
  <si>
    <t>H0000487131</t>
  </si>
  <si>
    <t>締付ボルト_SUS304_仕上無し_M30x3075L</t>
  </si>
  <si>
    <t>H0000487113</t>
  </si>
  <si>
    <t>スタッドボルト_SUS304_仕上無し_M30x3100Lx3100S</t>
  </si>
  <si>
    <t>Dummy000013_1</t>
    <phoneticPr fontId="18"/>
  </si>
  <si>
    <t>H0000029753</t>
  </si>
  <si>
    <t>ワッシャー_SS400_三価クロメート_φ55,φ33,T10</t>
  </si>
  <si>
    <t>H0000029755</t>
  </si>
  <si>
    <t>ワッシャー_SS400_三価クロメート_φ44,φ26,T10</t>
  </si>
  <si>
    <t>H0000029758</t>
  </si>
  <si>
    <t>ワッシャー_SS400_三価クロメート_φ66,φ39,T10</t>
  </si>
  <si>
    <t>H0000029762</t>
  </si>
  <si>
    <t>ワッシャー_SS400_三価クロメート_φ72,φ42,T10</t>
  </si>
  <si>
    <t>H0000029807</t>
  </si>
  <si>
    <t>ワッシャー_SS400_塗装_φ110,φ59,φ45,T34</t>
  </si>
  <si>
    <t>L00002</t>
    <phoneticPr fontId="18"/>
  </si>
  <si>
    <t>H0000029808</t>
  </si>
  <si>
    <t>ワッシャー_SS400_塗装_φ99,φ69,φ55,T22</t>
  </si>
  <si>
    <t>H0000029809</t>
  </si>
  <si>
    <t>ワッシャー_SS400_塗装_φ84,φ59,φ45,T22</t>
  </si>
  <si>
    <t>ワッシャー_SS400_φ99,φ69,φ55,T22</t>
    <phoneticPr fontId="18"/>
  </si>
  <si>
    <t>ワッシャー_SS400_加工前_L25φ100</t>
    <rPh sb="12" eb="14">
      <t>カコウ</t>
    </rPh>
    <rPh sb="14" eb="15">
      <t>マエ</t>
    </rPh>
    <phoneticPr fontId="18"/>
  </si>
  <si>
    <t>ワッシャー_SS400_φ84,φ59,φ45,T22</t>
    <phoneticPr fontId="18"/>
  </si>
  <si>
    <t>ワッシャー_SS400_加工前_L25φ85</t>
    <rPh sb="12" eb="14">
      <t>カコウ</t>
    </rPh>
    <rPh sb="14" eb="15">
      <t>マエ</t>
    </rPh>
    <phoneticPr fontId="18"/>
  </si>
  <si>
    <t>H0000265747</t>
  </si>
  <si>
    <t>丸パイプ_STKM13A_N/A_L55,90A,Sch160</t>
  </si>
  <si>
    <t>H0000478990</t>
  </si>
  <si>
    <t>丸パイプ_旋盤加工前_STS370_仕上無し_L58,90A,Sch160</t>
  </si>
  <si>
    <t>H0000265746</t>
  </si>
  <si>
    <t>ワッシャー_SS400_N/A_φ130,φ76,T12</t>
  </si>
  <si>
    <t>H0000478987</t>
  </si>
  <si>
    <t>丸棒_旋盤加工前_SS400_仕上無し_L14,φ130</t>
  </si>
  <si>
    <t>H0000265748</t>
  </si>
  <si>
    <t>丸パイプ_STKM13A_N/A_L135,90A,Sch160</t>
  </si>
  <si>
    <t>H0000478988</t>
  </si>
  <si>
    <t>丸パイプ_旋盤加工前_STS370_仕上無し_L138,90A,Sch160</t>
  </si>
  <si>
    <t>H0000265749</t>
  </si>
  <si>
    <t>丸パイプ_STKM13A_N/A_L165,90A,Sch160</t>
  </si>
  <si>
    <t>H0000265751</t>
  </si>
  <si>
    <t>丸パイプ_STKM13A_N/A_L175,90A,Sch160</t>
  </si>
  <si>
    <t>H0000478989</t>
  </si>
  <si>
    <t>丸パイプ_旋盤加工前_STS370_仕上無し_L168,90A,Sch160</t>
  </si>
  <si>
    <t>H0000478991</t>
  </si>
  <si>
    <t>丸パイプ_旋盤加工前_STS370_仕上無し_L178,90A,Sch160</t>
  </si>
  <si>
    <t>ワッシャー_SS400_加工前_L12,φ60</t>
    <rPh sb="12" eb="14">
      <t>カコウ</t>
    </rPh>
    <rPh sb="14" eb="15">
      <t>マエ</t>
    </rPh>
    <phoneticPr fontId="18"/>
  </si>
  <si>
    <t>ワッシャー_SS400_加工前_L12,φ45</t>
    <rPh sb="12" eb="14">
      <t>カコウ</t>
    </rPh>
    <rPh sb="14" eb="15">
      <t>マエ</t>
    </rPh>
    <phoneticPr fontId="18"/>
  </si>
  <si>
    <t>ワッシャー_SS400_加工前_L12,φ70</t>
    <rPh sb="12" eb="14">
      <t>カコウ</t>
    </rPh>
    <rPh sb="14" eb="15">
      <t>マエ</t>
    </rPh>
    <phoneticPr fontId="18"/>
  </si>
  <si>
    <t>ワッシャー_SS400_加工前_L12,φ75</t>
    <rPh sb="12" eb="14">
      <t>カコウ</t>
    </rPh>
    <rPh sb="14" eb="15">
      <t>マエ</t>
    </rPh>
    <phoneticPr fontId="18"/>
  </si>
  <si>
    <t>ワッシャー_SS400_加工前_L37,φ110</t>
    <rPh sb="12" eb="14">
      <t>カコウ</t>
    </rPh>
    <rPh sb="14" eb="15">
      <t>マエ</t>
    </rPh>
    <phoneticPr fontId="18"/>
  </si>
  <si>
    <t>Dummy000013_2</t>
    <phoneticPr fontId="18"/>
  </si>
  <si>
    <t>L00002</t>
  </si>
  <si>
    <t>ワッシャー_SS400_φ110,φ59,φ45,T34</t>
    <phoneticPr fontId="18"/>
  </si>
  <si>
    <t>H0000700578</t>
  </si>
  <si>
    <t>H0000700579</t>
  </si>
  <si>
    <t>H0000700580</t>
  </si>
  <si>
    <t>H0000700581</t>
  </si>
  <si>
    <t>H0000700582</t>
  </si>
  <si>
    <t>H0000700585</t>
  </si>
  <si>
    <t>H0000700586</t>
  </si>
  <si>
    <t>H0000029754</t>
  </si>
  <si>
    <t>ワッシャー_SUS304_N/A_φ55,φ33,T10</t>
  </si>
  <si>
    <t>H0000029790</t>
  </si>
  <si>
    <t>ワッシャー_SS400_N/A_φ85,φ59,φ45,T22</t>
  </si>
  <si>
    <t>H0000029791</t>
  </si>
  <si>
    <t>ワッシャー_SS400_N/A_φ79,φ59,φ45,T22</t>
  </si>
  <si>
    <t>丸棒_ワッシャー材_SUS304_L12,φ60</t>
  </si>
  <si>
    <t>丸棒_ワッシャー材_SS400_L25φ90</t>
  </si>
  <si>
    <t>丸棒_ワッシャー材_SS400_L25φ80</t>
  </si>
  <si>
    <t>H0000029792</t>
  </si>
  <si>
    <t>丸パイプ_STS370_N/A_L96,65A,Sch160</t>
  </si>
  <si>
    <t>H0000029793</t>
  </si>
  <si>
    <t>丸パイプ_STS370_N/A_L111,65A,Sch160</t>
  </si>
  <si>
    <t>丸パイプ_旋盤加工前_STS370_仕上無し_L99,65A,Sch160</t>
  </si>
  <si>
    <t>H0000375474</t>
  </si>
  <si>
    <t>丸パイプ_旋盤加工前_STS370_仕上無し_L114,65A,Sch160</t>
    <phoneticPr fontId="18"/>
  </si>
  <si>
    <t>H0000029794</t>
  </si>
  <si>
    <t>ワッシャー_SS400_N/A_φ110,φ60,T12</t>
  </si>
  <si>
    <t>H0000375473</t>
  </si>
  <si>
    <t>丸棒_旋盤加工前_SS400_仕上無し_L14,φ110</t>
  </si>
  <si>
    <t>H0000701862</t>
  </si>
  <si>
    <t>H0000701863</t>
  </si>
  <si>
    <t>H0000701864</t>
  </si>
  <si>
    <t>H0000701865</t>
  </si>
  <si>
    <t>MBOM395</t>
  </si>
  <si>
    <t>MBOM397</t>
  </si>
  <si>
    <t>MBOM399</t>
  </si>
  <si>
    <t>MBOM401</t>
  </si>
  <si>
    <t>MBOM403</t>
  </si>
  <si>
    <t>MBOM405</t>
  </si>
  <si>
    <t>MBOM407</t>
  </si>
  <si>
    <t>MBOM409</t>
  </si>
  <si>
    <t>MBOM411</t>
  </si>
  <si>
    <t>MBOM413</t>
  </si>
  <si>
    <t>MBOM415</t>
  </si>
  <si>
    <t>MBOM417</t>
  </si>
  <si>
    <t>MBOM419</t>
  </si>
  <si>
    <t>MBOM421</t>
  </si>
  <si>
    <t>MBOM423</t>
  </si>
  <si>
    <t>MBOM425</t>
  </si>
  <si>
    <t>MBOM427</t>
  </si>
  <si>
    <t>MBOM429</t>
  </si>
  <si>
    <t>MBOM431</t>
  </si>
  <si>
    <t>MBOM433</t>
  </si>
  <si>
    <t>MBOM435</t>
  </si>
  <si>
    <t>MBOM437</t>
  </si>
  <si>
    <t>MBOM439</t>
  </si>
  <si>
    <t>MBOM441</t>
  </si>
  <si>
    <t>MBOM443</t>
  </si>
  <si>
    <t>MBOM830</t>
  </si>
  <si>
    <t>MBOM832</t>
  </si>
  <si>
    <t>MBOM834</t>
  </si>
  <si>
    <t>MBOM836</t>
  </si>
  <si>
    <t>MBOM838</t>
  </si>
  <si>
    <t>MBOM840</t>
  </si>
  <si>
    <t>MBOM842</t>
  </si>
  <si>
    <t>MBOM844</t>
  </si>
  <si>
    <t>MBOM846</t>
  </si>
  <si>
    <t>MBOM848</t>
  </si>
  <si>
    <t>MBOM850</t>
  </si>
  <si>
    <t>MBOM852</t>
  </si>
  <si>
    <t>MBOM854</t>
  </si>
  <si>
    <t>MBOM856</t>
  </si>
  <si>
    <t>MBOM858</t>
  </si>
  <si>
    <t>MBOM860</t>
  </si>
  <si>
    <t>MBOM862</t>
  </si>
  <si>
    <t>MBOM864</t>
  </si>
  <si>
    <t>MBOM866</t>
  </si>
  <si>
    <t>MBOM868</t>
  </si>
  <si>
    <t>MBOM870</t>
  </si>
  <si>
    <t>MBOM872</t>
  </si>
  <si>
    <t>MBOM874</t>
  </si>
  <si>
    <t>MBOM876</t>
  </si>
  <si>
    <t>MBOM878</t>
  </si>
  <si>
    <t>MBOM880</t>
  </si>
  <si>
    <t>MBOM882</t>
  </si>
  <si>
    <t>MBOM884</t>
  </si>
  <si>
    <t>MBOM886</t>
  </si>
  <si>
    <t>MBOM888</t>
  </si>
  <si>
    <t>MBOM890</t>
  </si>
  <si>
    <t>MBOM892</t>
  </si>
  <si>
    <t>MBOM894</t>
  </si>
  <si>
    <t>MBOM896</t>
  </si>
  <si>
    <t>MBOM898</t>
  </si>
  <si>
    <t>MBOM900</t>
  </si>
  <si>
    <t>MBOM902</t>
  </si>
  <si>
    <t>MBOM904</t>
  </si>
  <si>
    <t>MBOM906</t>
  </si>
  <si>
    <t>MBOM908</t>
  </si>
  <si>
    <t>MBOM910</t>
  </si>
  <si>
    <t>MBOM912</t>
  </si>
  <si>
    <t>MBOM914</t>
  </si>
  <si>
    <t>MBOM916</t>
  </si>
  <si>
    <t>MBOM919</t>
  </si>
  <si>
    <t>MBOM921</t>
  </si>
  <si>
    <t>MBOM923</t>
  </si>
  <si>
    <t>MBOM925</t>
  </si>
  <si>
    <t>MBOM927</t>
  </si>
  <si>
    <t>MBOM929</t>
  </si>
  <si>
    <t>MBOM931</t>
  </si>
  <si>
    <t>MBOM933</t>
  </si>
  <si>
    <t>MBOM935</t>
  </si>
  <si>
    <t>MBOM937</t>
  </si>
  <si>
    <t>MBOM939</t>
  </si>
  <si>
    <t>MBOM950</t>
  </si>
  <si>
    <t>MBOM951</t>
  </si>
  <si>
    <t>MBOM954</t>
  </si>
  <si>
    <t>MBOM955</t>
  </si>
  <si>
    <t>MBOM956</t>
  </si>
  <si>
    <t>MBOM1146</t>
  </si>
  <si>
    <t>MBOM1147</t>
  </si>
  <si>
    <t>MBOM1148</t>
  </si>
  <si>
    <t>MBOM1149</t>
  </si>
  <si>
    <t>MBOM1150</t>
  </si>
  <si>
    <t>MBOM1151</t>
  </si>
  <si>
    <t>MBOM1152</t>
  </si>
  <si>
    <t>MBOM1153</t>
  </si>
  <si>
    <t>MBOM1154</t>
  </si>
  <si>
    <t>MBOM1155</t>
  </si>
  <si>
    <t>MBOM1156</t>
  </si>
  <si>
    <t>MBOM1157</t>
  </si>
  <si>
    <t>MBOM1158</t>
  </si>
  <si>
    <t>MBOM1315</t>
  </si>
  <si>
    <t>MBOM1316</t>
  </si>
  <si>
    <t>MBOM1317</t>
  </si>
  <si>
    <t>MBOM1318</t>
  </si>
  <si>
    <t>MBOM1321</t>
  </si>
  <si>
    <t>MBOM1322</t>
  </si>
  <si>
    <t>MBOM1323</t>
  </si>
  <si>
    <t>MBOM1324</t>
  </si>
  <si>
    <t>MBOM1325</t>
  </si>
  <si>
    <t>MBOM1326</t>
  </si>
  <si>
    <t>MBOM1327</t>
  </si>
  <si>
    <t>MBOM1328</t>
  </si>
  <si>
    <t>MBOM1329</t>
  </si>
  <si>
    <t>MBOM1330</t>
  </si>
  <si>
    <t>MBOM1331</t>
  </si>
  <si>
    <t>MBOM1332</t>
  </si>
  <si>
    <t>MBOM1333</t>
  </si>
  <si>
    <t>MBOM1334</t>
  </si>
  <si>
    <t>MBOM1335</t>
  </si>
  <si>
    <t>MBOM1336</t>
  </si>
  <si>
    <t>MBOM1337</t>
  </si>
  <si>
    <t>MBOM1338</t>
  </si>
  <si>
    <t>MBOM1339</t>
  </si>
  <si>
    <t>MBOM1340</t>
  </si>
  <si>
    <t>MBOM1341</t>
  </si>
  <si>
    <t>MBOM1342</t>
  </si>
  <si>
    <t>MBOM1343</t>
  </si>
  <si>
    <t>MBOM1344</t>
  </si>
  <si>
    <t>MBOM1345</t>
  </si>
  <si>
    <t>MBOM1346</t>
  </si>
  <si>
    <t>MBOM1347</t>
  </si>
  <si>
    <t>MBOM1348</t>
  </si>
  <si>
    <t>MBOM1349</t>
  </si>
  <si>
    <t>MBOM1350</t>
  </si>
  <si>
    <t>MBOM1351</t>
  </si>
  <si>
    <t>MBOM1352</t>
  </si>
  <si>
    <t>MBOM1353</t>
  </si>
  <si>
    <t>MBOM1354</t>
  </si>
  <si>
    <t>MBOM1355</t>
  </si>
  <si>
    <t>MBOM1356</t>
  </si>
  <si>
    <t>MBOM1357</t>
  </si>
  <si>
    <t>MBOM1358</t>
  </si>
  <si>
    <t>MBOM1359</t>
  </si>
  <si>
    <t>MBOM1360</t>
  </si>
  <si>
    <t>MBOM1361</t>
  </si>
  <si>
    <t>MBOM1362</t>
  </si>
  <si>
    <t>MBOM1363</t>
  </si>
  <si>
    <t>MBOM1364</t>
  </si>
  <si>
    <t>MBOM1365</t>
  </si>
  <si>
    <t>MBOM1366</t>
  </si>
  <si>
    <t>MBOM1367</t>
  </si>
  <si>
    <t>MBOM1368</t>
  </si>
  <si>
    <t>MBOM1369</t>
  </si>
  <si>
    <t>MBOM1370</t>
  </si>
  <si>
    <t>MBOM1371</t>
  </si>
  <si>
    <t>MBOM1372</t>
  </si>
  <si>
    <t>MBOM1373</t>
  </si>
  <si>
    <t>MBOM1374</t>
  </si>
  <si>
    <t>MBOM1375</t>
  </si>
  <si>
    <t>MBOM1376</t>
  </si>
  <si>
    <t>MBOM1377</t>
  </si>
  <si>
    <t>MBOM1378</t>
  </si>
  <si>
    <t>MBOM1379</t>
  </si>
  <si>
    <t>MBOM1380</t>
  </si>
  <si>
    <t>MBOM1381</t>
  </si>
  <si>
    <t>MBOM1382</t>
  </si>
  <si>
    <t>MBOM1383</t>
  </si>
  <si>
    <t>MBOM1384</t>
  </si>
  <si>
    <t>MBOM1385</t>
  </si>
  <si>
    <t>MBOM1386</t>
  </si>
  <si>
    <t>MBOM1387</t>
  </si>
  <si>
    <t>MBOM1388</t>
  </si>
  <si>
    <t>MBOM1389</t>
  </si>
  <si>
    <t>MBOM1390</t>
  </si>
  <si>
    <t>MBOM1391</t>
  </si>
  <si>
    <t>MBOM1392</t>
  </si>
  <si>
    <t>MBOM1393</t>
  </si>
  <si>
    <t>MBOM1394</t>
  </si>
  <si>
    <t>MBOM1395</t>
  </si>
  <si>
    <t>MBOM1396</t>
  </si>
  <si>
    <t>MBOM1397</t>
  </si>
  <si>
    <t>MBOM1398</t>
  </si>
  <si>
    <t>MBOM1399</t>
  </si>
  <si>
    <t>MBOM1400</t>
  </si>
  <si>
    <t>MBOM1401</t>
  </si>
  <si>
    <t>MBOM1402</t>
  </si>
  <si>
    <t>MBOM1403</t>
  </si>
  <si>
    <t>MBOM1404</t>
  </si>
  <si>
    <t>MBOM1405</t>
  </si>
  <si>
    <t>MBOM1406</t>
  </si>
  <si>
    <t>MBOM1407</t>
  </si>
  <si>
    <t>MBOM1408</t>
  </si>
  <si>
    <t>MBOM1409</t>
  </si>
  <si>
    <t>MBOM1410</t>
  </si>
  <si>
    <t>MBOM1411</t>
  </si>
  <si>
    <t>MBOM1412</t>
  </si>
  <si>
    <t>MBOM1413</t>
  </si>
  <si>
    <t>MBOM1414</t>
  </si>
  <si>
    <t>MBOM1415</t>
  </si>
  <si>
    <t>MBOM1416</t>
  </si>
  <si>
    <t>MBOM1417</t>
  </si>
  <si>
    <t>MBOM1418</t>
  </si>
  <si>
    <t>MBOM1419</t>
  </si>
  <si>
    <t>MBOM1420</t>
  </si>
  <si>
    <t>MBOM1421</t>
  </si>
  <si>
    <t>MBOM1422</t>
  </si>
  <si>
    <t>MBOM1423</t>
  </si>
  <si>
    <t>MBOM1424</t>
  </si>
  <si>
    <t>MBOM1425</t>
  </si>
  <si>
    <t>MBOM1426</t>
  </si>
  <si>
    <t>MBOM1427</t>
  </si>
  <si>
    <t>MBOM1428</t>
  </si>
  <si>
    <t>MBOM1429</t>
  </si>
  <si>
    <t>MBOM1430</t>
  </si>
  <si>
    <t>MBOM1431</t>
  </si>
  <si>
    <t>MBOM1432</t>
  </si>
  <si>
    <t>MBOM1433</t>
  </si>
  <si>
    <t>MBOM1434</t>
  </si>
  <si>
    <t>MBOM1435</t>
  </si>
  <si>
    <t>MBOM1436</t>
  </si>
  <si>
    <t>MBOM1437</t>
  </si>
  <si>
    <t>MBOM1438</t>
  </si>
  <si>
    <t>MBOM1439</t>
  </si>
  <si>
    <t>MBOM1440</t>
  </si>
  <si>
    <t>MBOM1441</t>
  </si>
  <si>
    <t>MBOM1442</t>
  </si>
  <si>
    <t>MBOM1443</t>
  </si>
  <si>
    <t>MBOM1444</t>
  </si>
  <si>
    <t>MBOM1445</t>
  </si>
  <si>
    <t>MBOM1446</t>
  </si>
  <si>
    <t>MBOM1447</t>
  </si>
  <si>
    <t>MBOM1448</t>
  </si>
  <si>
    <t>MBOM1449</t>
  </si>
  <si>
    <t>MBOM1450</t>
  </si>
  <si>
    <t>MBOM1451</t>
  </si>
  <si>
    <t>MBOM1452</t>
  </si>
  <si>
    <t>MBOM1453</t>
  </si>
  <si>
    <t>MBOM1454</t>
  </si>
  <si>
    <t>MBOM1455</t>
  </si>
  <si>
    <t>MBOM1456</t>
  </si>
  <si>
    <t>MBOM1457</t>
  </si>
  <si>
    <t>MBOM1458</t>
  </si>
  <si>
    <t>MBOM1459</t>
  </si>
  <si>
    <t>MBOM1460</t>
  </si>
  <si>
    <t>MBOM1461</t>
  </si>
  <si>
    <t>MBOM1462</t>
  </si>
  <si>
    <t>MBOM1463</t>
  </si>
  <si>
    <t>MBOM1464</t>
  </si>
  <si>
    <t>MBOM1465</t>
  </si>
  <si>
    <t>MBOM1466</t>
  </si>
  <si>
    <t>MBOM1467</t>
  </si>
  <si>
    <t>MBOM1468</t>
  </si>
  <si>
    <t>MBOM1469</t>
  </si>
  <si>
    <t>MBOM1470</t>
  </si>
  <si>
    <t>MBOM1471</t>
  </si>
  <si>
    <t>MBOM1472</t>
  </si>
  <si>
    <t>MBOM1473</t>
  </si>
  <si>
    <t>MBOM1474</t>
  </si>
  <si>
    <t>MBOM1475</t>
  </si>
  <si>
    <t>MBOM1476</t>
  </si>
  <si>
    <t>MBOM1477</t>
  </si>
  <si>
    <t>MBOM1478</t>
  </si>
  <si>
    <t>MBOM1479</t>
  </si>
  <si>
    <t>MBOM1480</t>
  </si>
  <si>
    <t>MBOM1481</t>
  </si>
  <si>
    <t>MBOM1482</t>
  </si>
  <si>
    <t>MBOM1483</t>
  </si>
  <si>
    <t>MBOM1484</t>
  </si>
  <si>
    <t>MBOM1485</t>
  </si>
  <si>
    <t>MBOM1486</t>
  </si>
  <si>
    <t>MBOM1487</t>
  </si>
  <si>
    <t>MBOM1488</t>
  </si>
  <si>
    <t>MBOM1489</t>
  </si>
  <si>
    <t>MBOM1490</t>
  </si>
  <si>
    <t>MBOM1491</t>
  </si>
  <si>
    <t>MBOM1492</t>
  </si>
  <si>
    <t>MBOM1493</t>
  </si>
  <si>
    <t>MBOM1494</t>
  </si>
  <si>
    <t>MBOM1495</t>
  </si>
  <si>
    <t>MBOM1496</t>
  </si>
  <si>
    <t>MBOM1497</t>
  </si>
  <si>
    <t>MBOM1498</t>
  </si>
  <si>
    <t>MBOM1499</t>
  </si>
  <si>
    <t>MBOM1500</t>
  </si>
  <si>
    <t>MBOM1501</t>
  </si>
  <si>
    <t>MBOM1502</t>
  </si>
  <si>
    <t>MBOM1503</t>
  </si>
  <si>
    <t>MBOM1504</t>
  </si>
  <si>
    <t>MBOM1505</t>
  </si>
  <si>
    <t>MBOM1506</t>
  </si>
  <si>
    <t>MBOM1507</t>
  </si>
  <si>
    <t>MBOM1508</t>
  </si>
  <si>
    <t>MBOM1509</t>
  </si>
  <si>
    <t>MBOM1510</t>
  </si>
  <si>
    <t>MBOM1511</t>
  </si>
  <si>
    <t>MBOM1512</t>
  </si>
  <si>
    <t>MBOM1513</t>
  </si>
  <si>
    <t>MBOM1514</t>
  </si>
  <si>
    <t>MBOM1515</t>
  </si>
  <si>
    <t>MBOM1516</t>
  </si>
  <si>
    <t>MBOM1517</t>
  </si>
  <si>
    <t>MBOM1518</t>
  </si>
  <si>
    <t>MBOM1519</t>
  </si>
  <si>
    <t>MBOM1520</t>
  </si>
  <si>
    <t>MBOM1521</t>
  </si>
  <si>
    <t>MBOM1522</t>
  </si>
  <si>
    <t>MBOM1523</t>
  </si>
  <si>
    <t>MBOM1524</t>
  </si>
  <si>
    <t>MBOM1525</t>
  </si>
  <si>
    <t>MBOM1526</t>
  </si>
  <si>
    <t>MBOM1527</t>
  </si>
  <si>
    <t>MBOM1528</t>
  </si>
  <si>
    <t>MBOM1529</t>
  </si>
  <si>
    <t>MBOM1530</t>
  </si>
  <si>
    <t>MBOM1531</t>
  </si>
  <si>
    <t>MBOM1532</t>
  </si>
  <si>
    <t>MBOM1533</t>
  </si>
  <si>
    <t>MBOM1534</t>
  </si>
  <si>
    <t>MBOM1535</t>
  </si>
  <si>
    <t>MBOM1536</t>
  </si>
  <si>
    <t>MBOM1537</t>
  </si>
  <si>
    <t>MBOM1538</t>
  </si>
  <si>
    <t>MBOM1539</t>
  </si>
  <si>
    <t>MBOM1540</t>
  </si>
  <si>
    <t>MBOM1541</t>
  </si>
  <si>
    <t>MBOM1542</t>
  </si>
  <si>
    <t>MBOM1543</t>
  </si>
  <si>
    <t>MBOM1544</t>
  </si>
  <si>
    <t>MBOM1545</t>
  </si>
  <si>
    <t>MBOM1546</t>
  </si>
  <si>
    <t>MBOM1547</t>
  </si>
  <si>
    <t>MBOM1548</t>
  </si>
  <si>
    <t>MBOM1549</t>
  </si>
  <si>
    <t>MBOM1550</t>
  </si>
  <si>
    <t>MBOM1551</t>
  </si>
  <si>
    <t>MBOM1552</t>
  </si>
  <si>
    <t>MBOM1553</t>
  </si>
  <si>
    <t>MBOM1554</t>
  </si>
  <si>
    <t>MBOM1555</t>
  </si>
  <si>
    <t>MBOM1556</t>
  </si>
  <si>
    <t>MBOM1557</t>
  </si>
  <si>
    <t>MBOM1558</t>
  </si>
  <si>
    <t>MBOM1559</t>
  </si>
  <si>
    <t>MBOM1560</t>
  </si>
  <si>
    <t>MBOM1561</t>
  </si>
  <si>
    <t>MBOM1562</t>
  </si>
  <si>
    <t>MBOM1563</t>
  </si>
  <si>
    <t>MBOM1564</t>
  </si>
  <si>
    <t>MBOM1565</t>
  </si>
  <si>
    <t>MBOM1566</t>
  </si>
  <si>
    <t>MBOM1567</t>
  </si>
  <si>
    <t>MBOM1568</t>
  </si>
  <si>
    <t>MBOM1569</t>
  </si>
  <si>
    <t>MBOM1570</t>
  </si>
  <si>
    <t>MBOM1672</t>
  </si>
  <si>
    <t>MBOM1673</t>
  </si>
  <si>
    <t>MBOM1674</t>
  </si>
  <si>
    <t>MBOM1675</t>
  </si>
  <si>
    <t>MBOM1676</t>
  </si>
  <si>
    <t>MBOM1677</t>
  </si>
  <si>
    <t>MBOM1678</t>
  </si>
  <si>
    <t>MBOM1679</t>
  </si>
  <si>
    <t>MBOM1680</t>
  </si>
  <si>
    <t>MBOM1681</t>
  </si>
  <si>
    <t>MBOM1682</t>
  </si>
  <si>
    <t>MBOM1683</t>
  </si>
  <si>
    <t>MBOM1684</t>
  </si>
  <si>
    <t>MBOM1685</t>
  </si>
  <si>
    <t>MBOM1686</t>
  </si>
  <si>
    <t>MBOM1687</t>
  </si>
  <si>
    <t>MBOM1688</t>
  </si>
  <si>
    <t>MBOM1689</t>
  </si>
  <si>
    <t>MBOM1690</t>
  </si>
  <si>
    <t>MBOM1691</t>
  </si>
  <si>
    <t>MBOM1692</t>
  </si>
  <si>
    <t>MBOM1693</t>
  </si>
  <si>
    <t>MBOM1694</t>
  </si>
  <si>
    <t>MBOM1695</t>
  </si>
  <si>
    <t>MBOM1696</t>
  </si>
  <si>
    <t>MBOM1697</t>
  </si>
  <si>
    <t>MBOM1698</t>
  </si>
  <si>
    <t>MBOM1699</t>
  </si>
  <si>
    <t>MBOM1700</t>
  </si>
  <si>
    <t>MBOM1701</t>
  </si>
  <si>
    <t>MBOM1702</t>
  </si>
  <si>
    <t>MBOM1703</t>
  </si>
  <si>
    <t>MBOM1704</t>
  </si>
  <si>
    <t>MBOM1705</t>
  </si>
  <si>
    <t>MBOM1706</t>
  </si>
  <si>
    <t>MBOM1707</t>
  </si>
  <si>
    <t>MBOM1708</t>
  </si>
  <si>
    <t>MBOM1709</t>
  </si>
  <si>
    <t>MBOM1710</t>
  </si>
  <si>
    <t>MBOM1711</t>
  </si>
  <si>
    <t>MBOM1712</t>
  </si>
  <si>
    <t>MBOM1713</t>
  </si>
  <si>
    <t>MBOM1714</t>
  </si>
  <si>
    <t>MBOM1715</t>
  </si>
  <si>
    <t>MBOM1716</t>
  </si>
  <si>
    <t>MBOM1717</t>
  </si>
  <si>
    <t>MBOM1718</t>
  </si>
  <si>
    <t>MBOM1719</t>
  </si>
  <si>
    <t>MBOM1720</t>
  </si>
  <si>
    <t>MBOM1721</t>
  </si>
  <si>
    <t>MBOM1722</t>
  </si>
  <si>
    <t>MBOM1723</t>
  </si>
  <si>
    <t>MBOM1724</t>
  </si>
  <si>
    <t>MBOM1725</t>
  </si>
  <si>
    <t>MBOM1726</t>
  </si>
  <si>
    <t>MBOM1727</t>
  </si>
  <si>
    <t>MBOM1728</t>
  </si>
  <si>
    <t>MBOM1729</t>
  </si>
  <si>
    <t>MBOM1730</t>
  </si>
  <si>
    <t>MBOM1731</t>
  </si>
  <si>
    <t>MBOM1732</t>
  </si>
  <si>
    <t>MBOM1733</t>
  </si>
  <si>
    <t>MBOM1734</t>
  </si>
  <si>
    <t>MBOM1735</t>
  </si>
  <si>
    <t>MBOM1736</t>
  </si>
  <si>
    <t>MBOM1737</t>
  </si>
  <si>
    <t>MBOM1738</t>
  </si>
  <si>
    <t>MBOM1739</t>
  </si>
  <si>
    <t>MBOM1740</t>
  </si>
  <si>
    <t>MBOM1741</t>
  </si>
  <si>
    <t>MBOM1742</t>
  </si>
  <si>
    <t>MBOM1743</t>
  </si>
  <si>
    <t>MBOM1744</t>
  </si>
  <si>
    <t>MBOM1745</t>
  </si>
  <si>
    <t>MBOM1746</t>
  </si>
  <si>
    <t>MBOM1747</t>
  </si>
  <si>
    <t>MBOM1748</t>
  </si>
  <si>
    <t>MBOM1749</t>
  </si>
  <si>
    <t>MBOM1750</t>
  </si>
  <si>
    <t>MBOM1751</t>
  </si>
  <si>
    <t>MBOM1752</t>
  </si>
  <si>
    <t>MBOM1753</t>
  </si>
  <si>
    <t>MBOM1754</t>
  </si>
  <si>
    <t>MBOM1755</t>
  </si>
  <si>
    <t>MBOM1756</t>
  </si>
  <si>
    <t>MBOM1757</t>
  </si>
  <si>
    <t>MBOM1758</t>
  </si>
  <si>
    <t>MBOM1759</t>
  </si>
  <si>
    <t>MBOM1760</t>
  </si>
  <si>
    <t>MBOM1761</t>
  </si>
  <si>
    <t>MBOM1762</t>
  </si>
  <si>
    <t>MBOM1763</t>
  </si>
  <si>
    <t>MBOM1764</t>
  </si>
  <si>
    <t>MBOM1765</t>
  </si>
  <si>
    <t>MBOM1766</t>
  </si>
  <si>
    <t>MBOM1767</t>
  </si>
  <si>
    <t>MBOM1768</t>
  </si>
  <si>
    <t>MBOM1769</t>
  </si>
  <si>
    <t>MBOM1770</t>
  </si>
  <si>
    <t>MBOM1771</t>
  </si>
  <si>
    <t>MBOM1772</t>
  </si>
  <si>
    <t>MBOM1773</t>
  </si>
  <si>
    <t>MBOM1774</t>
  </si>
  <si>
    <t>MBOM1775</t>
  </si>
  <si>
    <t>MBOM1776</t>
  </si>
  <si>
    <t>MBOM1777</t>
  </si>
  <si>
    <t>MBOM1778</t>
  </si>
  <si>
    <t>MBOM1779</t>
  </si>
  <si>
    <t>MBOM1780</t>
  </si>
  <si>
    <t>MBOM1781</t>
  </si>
  <si>
    <t>MBOM1782</t>
  </si>
  <si>
    <t>MBOM1783</t>
  </si>
  <si>
    <t>MBOM1784</t>
  </si>
  <si>
    <t>MBOM1785</t>
  </si>
  <si>
    <t>MBOM1786</t>
  </si>
  <si>
    <t>MBOM1787</t>
  </si>
  <si>
    <t>MBOM1788</t>
  </si>
  <si>
    <t>MBOM1789</t>
  </si>
  <si>
    <t>MBOM1790</t>
  </si>
  <si>
    <t>MBOM1791</t>
  </si>
  <si>
    <t>MBOM1792</t>
  </si>
  <si>
    <t>MBOM1793</t>
  </si>
  <si>
    <t>MBOM1794</t>
  </si>
  <si>
    <t>MBOM1795</t>
  </si>
  <si>
    <t>MBOM1796</t>
  </si>
  <si>
    <t>MBOM1797</t>
  </si>
  <si>
    <t>MBOM1798</t>
  </si>
  <si>
    <t>MBOM1799</t>
  </si>
  <si>
    <t>MBOM1800</t>
  </si>
  <si>
    <t>MBOM1801</t>
  </si>
  <si>
    <t>MBOM1802</t>
  </si>
  <si>
    <t>MBOM1803</t>
  </si>
  <si>
    <t>MBOM1804</t>
  </si>
  <si>
    <t>MBOM1805</t>
  </si>
  <si>
    <t>MBOM1806</t>
  </si>
  <si>
    <t>MBOM1807</t>
  </si>
  <si>
    <t>MBOM1808</t>
  </si>
  <si>
    <t>MBOM1809</t>
  </si>
  <si>
    <t>MBOM1810</t>
  </si>
  <si>
    <t>MBOM1811</t>
  </si>
  <si>
    <t>MBOM1812</t>
  </si>
  <si>
    <t>MBOM1813</t>
  </si>
  <si>
    <t>MBOM1814</t>
  </si>
  <si>
    <t>MBOM1815</t>
  </si>
  <si>
    <t>MBOM1816</t>
  </si>
  <si>
    <t>MBOM1817</t>
  </si>
  <si>
    <t>MBOM1818</t>
  </si>
  <si>
    <t>MBOM1819</t>
  </si>
  <si>
    <t>MBOM1820</t>
  </si>
  <si>
    <t>MBOM1821</t>
  </si>
  <si>
    <t>MBOM1822</t>
  </si>
  <si>
    <t>MBOM1823</t>
  </si>
  <si>
    <t>MBOM1835</t>
  </si>
  <si>
    <t>MBOM1836</t>
  </si>
  <si>
    <t>MBOM1837</t>
  </si>
  <si>
    <t>MBOM1838</t>
  </si>
  <si>
    <t>MBOM1839</t>
  </si>
  <si>
    <t>MBOM1840</t>
  </si>
  <si>
    <t>MBOM1841</t>
  </si>
  <si>
    <t>MBOM1842</t>
  </si>
  <si>
    <t>MBOM1843</t>
  </si>
  <si>
    <t>MBOM1844</t>
  </si>
  <si>
    <t>MBOM1845</t>
  </si>
  <si>
    <t>MBOM1846</t>
  </si>
  <si>
    <t>MBOM1847</t>
  </si>
  <si>
    <t>MBOM1848</t>
  </si>
  <si>
    <t>MBOM1849</t>
  </si>
  <si>
    <t>MBOM1850</t>
  </si>
  <si>
    <t>MBOM1851</t>
  </si>
  <si>
    <t>MBOM1852</t>
  </si>
  <si>
    <t>MBOM1853</t>
  </si>
  <si>
    <t>MBOM1854</t>
  </si>
  <si>
    <t>MBOM1855</t>
  </si>
  <si>
    <t>MBOM1856</t>
  </si>
  <si>
    <t>MBOM1857</t>
  </si>
  <si>
    <t>MBOM1858</t>
  </si>
  <si>
    <t>MBOM1859</t>
  </si>
  <si>
    <t>MBOM1860</t>
  </si>
  <si>
    <t>MBOM1861</t>
  </si>
  <si>
    <t>MBOM1862</t>
  </si>
  <si>
    <t>MBOM1863</t>
  </si>
  <si>
    <t>MBOM1864</t>
  </si>
  <si>
    <t>MBOM1865</t>
  </si>
  <si>
    <t>MBOM1866</t>
  </si>
  <si>
    <t>MBOM1867</t>
  </si>
  <si>
    <t>MBOM1868</t>
  </si>
  <si>
    <t>MBOM1869</t>
  </si>
  <si>
    <t>MBOM1870</t>
  </si>
  <si>
    <t>MBOM1871</t>
  </si>
  <si>
    <t>MBOM1872</t>
  </si>
  <si>
    <t>MBOM1873</t>
  </si>
  <si>
    <t>MBOM1874</t>
  </si>
  <si>
    <t>MBOM1875</t>
  </si>
  <si>
    <t>MBOM1876</t>
  </si>
  <si>
    <t>MBOM1877</t>
  </si>
  <si>
    <t>MBOM1878</t>
  </si>
  <si>
    <t>MBOM1879</t>
  </si>
  <si>
    <t>MBOM1880</t>
  </si>
  <si>
    <t>MBOM1881</t>
  </si>
  <si>
    <t>MBOM1882</t>
  </si>
  <si>
    <t>MBOM1883</t>
  </si>
  <si>
    <t>MBOM1884</t>
  </si>
  <si>
    <t>MBOM1885</t>
  </si>
  <si>
    <t>MBOM1886</t>
  </si>
  <si>
    <t>MBOM1887</t>
  </si>
  <si>
    <t>MBOM1888</t>
  </si>
  <si>
    <t>MBOM1889</t>
  </si>
  <si>
    <t>MBOM1890</t>
  </si>
  <si>
    <t>MBOM1891</t>
  </si>
  <si>
    <t>MBOM1892</t>
  </si>
  <si>
    <t>MBOM1893</t>
  </si>
  <si>
    <t>MBOM1894</t>
  </si>
  <si>
    <t>MBOM1895</t>
  </si>
  <si>
    <t>MBOM1980</t>
  </si>
  <si>
    <t>MBOM1981</t>
  </si>
  <si>
    <t>MBOM1982</t>
  </si>
  <si>
    <t>MBOM1983</t>
  </si>
  <si>
    <t>MBOM1984</t>
  </si>
  <si>
    <t>MBOM1985</t>
  </si>
  <si>
    <t>MBOM1986</t>
  </si>
  <si>
    <t>MBOM1987</t>
  </si>
  <si>
    <t>MBOM1988</t>
  </si>
  <si>
    <t>MBOM1989</t>
  </si>
  <si>
    <t>MBOM1990</t>
  </si>
  <si>
    <t>MBOM1991</t>
  </si>
  <si>
    <t>MBOM1992</t>
  </si>
  <si>
    <t>MBOM1993</t>
  </si>
  <si>
    <t>MBOM1994</t>
  </si>
  <si>
    <t>MBOM1995</t>
  </si>
  <si>
    <t>MBOM1996</t>
  </si>
  <si>
    <t>MBOM1997</t>
  </si>
  <si>
    <t>MBOM1998</t>
  </si>
  <si>
    <t>MBOM1999</t>
  </si>
  <si>
    <t>MBOM2000</t>
  </si>
  <si>
    <t>MBOM2001</t>
  </si>
  <si>
    <t>MBOM2002</t>
  </si>
  <si>
    <t>MBOM2003</t>
  </si>
  <si>
    <t>MBOM2004</t>
  </si>
  <si>
    <t>MBOM2005</t>
  </si>
  <si>
    <t>MBOM2006</t>
  </si>
  <si>
    <t>MBOM2007</t>
  </si>
  <si>
    <t>MBOM2008</t>
  </si>
  <si>
    <t>MBOM2009</t>
  </si>
  <si>
    <t>MBOM2010</t>
  </si>
  <si>
    <t>MBOM2011</t>
  </si>
  <si>
    <t>MBOM2012</t>
  </si>
  <si>
    <t>MBOM2013</t>
  </si>
  <si>
    <t>MBOM2014</t>
  </si>
  <si>
    <t>MBOM2015</t>
  </si>
  <si>
    <t>MBOM2016</t>
  </si>
  <si>
    <t>MBOM2017</t>
  </si>
  <si>
    <t>MBOM2018</t>
  </si>
  <si>
    <t>MBOM2019</t>
  </si>
  <si>
    <t>MBOM2020</t>
  </si>
  <si>
    <t>MBOM2021</t>
  </si>
  <si>
    <t>MBOM2022</t>
  </si>
  <si>
    <t>MBOM2023</t>
  </si>
  <si>
    <t>MBOM2024</t>
  </si>
  <si>
    <t>MBOM2025</t>
  </si>
  <si>
    <t>MBOM2026</t>
  </si>
  <si>
    <t>MBOM2027</t>
  </si>
  <si>
    <t>MBOM2028</t>
  </si>
  <si>
    <t>MBOM2029</t>
  </si>
  <si>
    <t>MBOM2030</t>
  </si>
  <si>
    <t>MBOM2031</t>
  </si>
  <si>
    <t>MBOM2032</t>
  </si>
  <si>
    <t>MBOM2033</t>
  </si>
  <si>
    <t>MBOM2034</t>
  </si>
  <si>
    <t>MBOM2035</t>
  </si>
  <si>
    <t>MBOM2036</t>
  </si>
  <si>
    <t>MBOM2037</t>
  </si>
  <si>
    <t>MBOM2038</t>
  </si>
  <si>
    <t>MBOM2039</t>
  </si>
  <si>
    <t>MBOM2040</t>
  </si>
  <si>
    <t>MBOM2041</t>
  </si>
  <si>
    <t>MBOM2042</t>
  </si>
  <si>
    <t>MBOM2043</t>
  </si>
  <si>
    <t>MBOM2044</t>
  </si>
  <si>
    <t>MBOM2045</t>
  </si>
  <si>
    <t>MBOM2046</t>
  </si>
  <si>
    <t>MBOM2047</t>
  </si>
  <si>
    <t>MBOM2048</t>
  </si>
  <si>
    <t>MBOM2049</t>
  </si>
  <si>
    <t>MBOM2050</t>
  </si>
  <si>
    <t>MBOM2051</t>
  </si>
  <si>
    <t>MBOM2052</t>
  </si>
  <si>
    <t>MBOM2053</t>
  </si>
  <si>
    <t>MBOM2054</t>
  </si>
  <si>
    <t>MBOM2055</t>
  </si>
  <si>
    <t>MBOM2056</t>
  </si>
  <si>
    <t>MBOM2057</t>
  </si>
  <si>
    <t>MBOM2058</t>
  </si>
  <si>
    <t>MBOM2059</t>
  </si>
  <si>
    <t>MBOM2060</t>
  </si>
  <si>
    <t>MBOM2061</t>
  </si>
  <si>
    <t>MBOM2062</t>
  </si>
  <si>
    <t>MBOM2063</t>
  </si>
  <si>
    <t>MBOM2064</t>
  </si>
  <si>
    <t>MBOM2065</t>
  </si>
  <si>
    <t>MBOM2066</t>
  </si>
  <si>
    <t>MBOM2067</t>
  </si>
  <si>
    <t>MBOM2068</t>
  </si>
  <si>
    <t>MBOM2069</t>
  </si>
  <si>
    <t>MBOM2070</t>
  </si>
  <si>
    <t>MBOM2071</t>
  </si>
  <si>
    <t>MBOM2072</t>
  </si>
  <si>
    <t>MBOM2073</t>
  </si>
  <si>
    <t>MBOM2074</t>
  </si>
  <si>
    <t>MBOM2075</t>
  </si>
  <si>
    <t>MBOM2076</t>
  </si>
  <si>
    <t>MBOM2077</t>
  </si>
  <si>
    <t>MBOM2078</t>
  </si>
  <si>
    <t>MBOM2079</t>
  </si>
  <si>
    <t>MBOM2080</t>
  </si>
  <si>
    <t>MBOM2081</t>
  </si>
  <si>
    <t>MBOM2082</t>
  </si>
  <si>
    <t>MBOM2083</t>
  </si>
  <si>
    <t>MBOM2084</t>
  </si>
  <si>
    <t>MBOM2085</t>
  </si>
  <si>
    <t>MBOM2086</t>
  </si>
  <si>
    <t>MBOM2087</t>
  </si>
  <si>
    <t>MBOM2088</t>
  </si>
  <si>
    <t>MBOM2089</t>
  </si>
  <si>
    <t>MBOM2090</t>
  </si>
  <si>
    <t>MBOM2091</t>
  </si>
  <si>
    <t>MBOM2092</t>
  </si>
  <si>
    <t>MBOM2093</t>
  </si>
  <si>
    <t>MBOM2094</t>
  </si>
  <si>
    <t>MBOM2095</t>
  </si>
  <si>
    <t>MBOM2096</t>
  </si>
  <si>
    <t>MBOM2097</t>
  </si>
  <si>
    <t>MBOM2098</t>
  </si>
  <si>
    <t>MBOM2099</t>
  </si>
  <si>
    <t>MBOM2100</t>
  </si>
  <si>
    <t>MBOM2101</t>
  </si>
  <si>
    <t>MBOM2102</t>
  </si>
  <si>
    <t>MBOM2103</t>
  </si>
  <si>
    <t>MBOM2104</t>
  </si>
  <si>
    <t>MBOM2105</t>
  </si>
  <si>
    <t>MBOM2106</t>
  </si>
  <si>
    <t>MBOM2107</t>
  </si>
  <si>
    <t>MBOM2108</t>
  </si>
  <si>
    <t>MBOM2109</t>
  </si>
  <si>
    <t>MBOM2110</t>
  </si>
  <si>
    <t>MBOM2111</t>
  </si>
  <si>
    <t>MBOM2112</t>
  </si>
  <si>
    <t>MBOM2113</t>
  </si>
  <si>
    <t>MBOM2114</t>
  </si>
  <si>
    <t>MBOM2115</t>
  </si>
  <si>
    <t>MBOM2116</t>
  </si>
  <si>
    <t>MBOM2117</t>
  </si>
  <si>
    <t>MBOM2118</t>
  </si>
  <si>
    <t>MBOM2119</t>
  </si>
  <si>
    <t>MBOM2120</t>
  </si>
  <si>
    <t>MBOM2121</t>
  </si>
  <si>
    <t>MBOM2122</t>
  </si>
  <si>
    <t>MBOM2123</t>
  </si>
  <si>
    <t>MBOM2124</t>
  </si>
  <si>
    <t>MBOM2125</t>
  </si>
  <si>
    <t>MBOM2126</t>
  </si>
  <si>
    <t>MBOM2127</t>
  </si>
  <si>
    <t>MBOM2128</t>
  </si>
  <si>
    <t>MBOM2129</t>
  </si>
  <si>
    <t>MBOM2130</t>
  </si>
  <si>
    <t>MBOM2131</t>
  </si>
  <si>
    <t>MBOM2132</t>
  </si>
  <si>
    <t>MBOM2133</t>
  </si>
  <si>
    <t>MBOM2134</t>
  </si>
  <si>
    <t>MBOM2135</t>
  </si>
  <si>
    <t>MBOM2136</t>
  </si>
  <si>
    <t>MBOM2137</t>
  </si>
  <si>
    <t>MBOM2138</t>
  </si>
  <si>
    <t>MBOM2139</t>
  </si>
  <si>
    <t>MBOM2140</t>
  </si>
  <si>
    <t>MBOM2141</t>
  </si>
  <si>
    <t>MBOM2142</t>
  </si>
  <si>
    <t>MBOM2143</t>
  </si>
  <si>
    <t>MBOM2144</t>
  </si>
  <si>
    <t>MBOM2145</t>
  </si>
  <si>
    <t>MBOM2146</t>
  </si>
  <si>
    <t>MBOM2147</t>
  </si>
  <si>
    <t>MBOM2148</t>
  </si>
  <si>
    <t>MBOM2149</t>
  </si>
  <si>
    <t>MBOM2150</t>
  </si>
  <si>
    <t>MBOM2151</t>
  </si>
  <si>
    <t>MBOM2152</t>
  </si>
  <si>
    <t>MBOM2153</t>
  </si>
  <si>
    <t>MBOM2154</t>
  </si>
  <si>
    <t>MBOM2155</t>
  </si>
  <si>
    <t>MBOM2156</t>
  </si>
  <si>
    <t>MBOM2157</t>
  </si>
  <si>
    <t>MBOM2158</t>
  </si>
  <si>
    <t>MBOM2159</t>
  </si>
  <si>
    <t>MBOM2160</t>
  </si>
  <si>
    <t>MBOM2161</t>
  </si>
  <si>
    <t>MBOM2162</t>
  </si>
  <si>
    <t>MBOM2163</t>
  </si>
  <si>
    <t>MBOM2164</t>
  </si>
  <si>
    <t>MBOM2165</t>
  </si>
  <si>
    <t>MBOM2166</t>
  </si>
  <si>
    <t>MBOM2167</t>
  </si>
  <si>
    <t>MBOM2168</t>
  </si>
  <si>
    <t>MBOM2169</t>
  </si>
  <si>
    <t>MBOM2170</t>
  </si>
  <si>
    <t>MBOM2171</t>
  </si>
  <si>
    <t>MBOM2172</t>
  </si>
  <si>
    <t>MBOM2173</t>
  </si>
  <si>
    <t>MBOM2174</t>
  </si>
  <si>
    <t>MBOM2175</t>
  </si>
  <si>
    <t>MBOM2176</t>
  </si>
  <si>
    <t>MBOM2177</t>
  </si>
  <si>
    <t>MBOM2178</t>
  </si>
  <si>
    <t>MBOM2179</t>
  </si>
  <si>
    <t>MBOM2180</t>
  </si>
  <si>
    <t>MBOM2181</t>
  </si>
  <si>
    <t>MBOM2182</t>
  </si>
  <si>
    <t>MBOM2183</t>
  </si>
  <si>
    <t>MBOM2184</t>
  </si>
  <si>
    <t>MBOM2185</t>
  </si>
  <si>
    <t>MBOM2186</t>
  </si>
  <si>
    <t>MBOM2187</t>
  </si>
  <si>
    <t>MBOM2188</t>
  </si>
  <si>
    <t>MBOM2189</t>
  </si>
  <si>
    <t>MBOM2190</t>
  </si>
  <si>
    <t>MBOM2191</t>
  </si>
  <si>
    <t>MBOM2192</t>
  </si>
  <si>
    <t>MBOM2193</t>
  </si>
  <si>
    <t>MBOM2194</t>
  </si>
  <si>
    <t>MBOM2195</t>
  </si>
  <si>
    <t>MBOM2196</t>
  </si>
  <si>
    <t>MBOM2197</t>
  </si>
  <si>
    <t>MBOM2198</t>
  </si>
  <si>
    <t>MBOM2199</t>
  </si>
  <si>
    <t>MBOM2200</t>
  </si>
  <si>
    <t>MBOM2201</t>
  </si>
  <si>
    <t>MBOM2202</t>
  </si>
  <si>
    <t>MBOM2203</t>
  </si>
  <si>
    <t>MBOM2204</t>
  </si>
  <si>
    <t>MBOM2205</t>
  </si>
  <si>
    <t>MBOM2206</t>
  </si>
  <si>
    <t>MBOM2207</t>
  </si>
  <si>
    <t>MBOM2208</t>
  </si>
  <si>
    <t>MBOM2209</t>
  </si>
  <si>
    <t>MBOM2210</t>
  </si>
  <si>
    <t>MBOM2211</t>
  </si>
  <si>
    <t>MBOM2212</t>
  </si>
  <si>
    <t>MBOM2213</t>
  </si>
  <si>
    <t>MBOM2214</t>
  </si>
  <si>
    <t>MBOM2215</t>
  </si>
  <si>
    <t>MBOM2216</t>
  </si>
  <si>
    <t>MBOM2217</t>
  </si>
  <si>
    <t>MBOM2218</t>
  </si>
  <si>
    <t>MBOM2219</t>
  </si>
  <si>
    <t>MBOM2220</t>
  </si>
  <si>
    <t>MBOM2221</t>
  </si>
  <si>
    <t>MBOM2222</t>
  </si>
  <si>
    <t>MBOM2223</t>
  </si>
  <si>
    <t>MBOM2224</t>
  </si>
  <si>
    <t>MBOM2225</t>
  </si>
  <si>
    <t>MBOM2226</t>
  </si>
  <si>
    <t>MBOM2227</t>
  </si>
  <si>
    <t>MBOM2228</t>
  </si>
  <si>
    <t>MBOM2229</t>
  </si>
  <si>
    <t>MBOM2230</t>
  </si>
  <si>
    <t>MBOM2231</t>
  </si>
  <si>
    <t>MBOM2232</t>
  </si>
  <si>
    <t>MBOM2233</t>
  </si>
  <si>
    <t>MBOM2234</t>
  </si>
  <si>
    <t>MBOM2235</t>
  </si>
  <si>
    <t>MBOM2236</t>
  </si>
  <si>
    <t>MBOM2237</t>
  </si>
  <si>
    <t>MBOM2238</t>
  </si>
  <si>
    <t>MBOM2239</t>
  </si>
  <si>
    <t>MBOM2240</t>
  </si>
  <si>
    <t>MBOM2241</t>
  </si>
  <si>
    <t>MBOM2242</t>
  </si>
  <si>
    <t>MBOM2243</t>
  </si>
  <si>
    <t>MBOM2244</t>
  </si>
  <si>
    <t>MBOM2245</t>
  </si>
  <si>
    <t>MBOM2246</t>
  </si>
  <si>
    <t>MBOM2247</t>
  </si>
  <si>
    <t>MBOM2248</t>
  </si>
  <si>
    <t>MBOM2249</t>
  </si>
  <si>
    <t>MBOM2250</t>
  </si>
  <si>
    <t>MBOM2251</t>
  </si>
  <si>
    <t>MBOM2252</t>
  </si>
  <si>
    <t>MBOM2253</t>
  </si>
  <si>
    <t>MBOM2254</t>
  </si>
  <si>
    <t>MBOM2255</t>
  </si>
  <si>
    <t>MBOM2256</t>
  </si>
  <si>
    <t>MBOM2257</t>
  </si>
  <si>
    <t>MBOM2258</t>
  </si>
  <si>
    <t>MBOM2259</t>
  </si>
  <si>
    <t>MBOM2260</t>
  </si>
  <si>
    <t>MBOM2261</t>
  </si>
  <si>
    <t>MBOM2262</t>
  </si>
  <si>
    <t>MBOM2263</t>
  </si>
  <si>
    <t>MBOM2264</t>
  </si>
  <si>
    <t>MBOM2265</t>
  </si>
  <si>
    <t>MBOM2266</t>
  </si>
  <si>
    <t>MBOM2267</t>
  </si>
  <si>
    <t>MBOM2268</t>
  </si>
  <si>
    <t>MBOM2269</t>
  </si>
  <si>
    <t>MBOM2270</t>
  </si>
  <si>
    <t>MBOM2271</t>
  </si>
  <si>
    <t>MBOM2272</t>
  </si>
  <si>
    <t>MBOM2273</t>
  </si>
  <si>
    <t>MBOM2274</t>
  </si>
  <si>
    <t>MBOM2275</t>
  </si>
  <si>
    <t>MBOM2276</t>
  </si>
  <si>
    <t>MBOM2277</t>
  </si>
  <si>
    <t>MBOM2278</t>
  </si>
  <si>
    <t>MBOM2279</t>
  </si>
  <si>
    <t>MBOM2280</t>
  </si>
  <si>
    <t>MBOM2281</t>
  </si>
  <si>
    <t>MBOM2282</t>
  </si>
  <si>
    <t>MBOM2283</t>
  </si>
  <si>
    <t>MBOM2284</t>
  </si>
  <si>
    <t>MBOM2285</t>
  </si>
  <si>
    <t>MBOM2286</t>
  </si>
  <si>
    <t>MBOM2287</t>
  </si>
  <si>
    <t>MBOM2288</t>
  </si>
  <si>
    <t>MBOM2289</t>
  </si>
  <si>
    <t>MBOM2290</t>
  </si>
  <si>
    <t>MBOM2291</t>
  </si>
  <si>
    <t>MBOM2292</t>
  </si>
  <si>
    <t>MBOM2293</t>
  </si>
  <si>
    <t>MBOM2294</t>
  </si>
  <si>
    <t>MBOM2295</t>
  </si>
  <si>
    <t>MBOM2296</t>
  </si>
  <si>
    <t>MBOM2297</t>
  </si>
  <si>
    <t>MBOM2298</t>
  </si>
  <si>
    <t>MBOM2299</t>
  </si>
  <si>
    <t>MBOM2300</t>
  </si>
  <si>
    <t>MBOM2301</t>
  </si>
  <si>
    <t>MBOM2302</t>
  </si>
  <si>
    <t>MBOM2303</t>
  </si>
  <si>
    <t>MBOM2304</t>
  </si>
  <si>
    <t>MBOM2305</t>
  </si>
  <si>
    <t>MBOM2306</t>
  </si>
  <si>
    <t>MBOM2307</t>
  </si>
  <si>
    <t>MBOM2308</t>
  </si>
  <si>
    <t>MBOM2309</t>
  </si>
  <si>
    <t>MBOM2310</t>
  </si>
  <si>
    <t>MBOM2311</t>
  </si>
  <si>
    <t>MBOM2312</t>
  </si>
  <si>
    <t>MBOM2313</t>
  </si>
  <si>
    <t>MBOM2314</t>
  </si>
  <si>
    <t>MBOM2315</t>
  </si>
  <si>
    <t>MBOM2316</t>
  </si>
  <si>
    <t>MBOM2317</t>
  </si>
  <si>
    <t>MBOM2318</t>
  </si>
  <si>
    <t>MBOM2319</t>
  </si>
  <si>
    <t>MBOM2320</t>
  </si>
  <si>
    <t>MBOM2321</t>
  </si>
  <si>
    <t>MBOM2322</t>
  </si>
  <si>
    <t>MBOM2323</t>
  </si>
  <si>
    <t>MBOM2324</t>
  </si>
  <si>
    <t>MBOM2325</t>
  </si>
  <si>
    <t>MBOM2326</t>
  </si>
  <si>
    <t>MBOM2327</t>
  </si>
  <si>
    <t>MBOM2328</t>
  </si>
  <si>
    <t>MBOM2329</t>
  </si>
  <si>
    <t>MBOM2330</t>
  </si>
  <si>
    <t>MBOM2331</t>
  </si>
  <si>
    <t>MBOM2332</t>
  </si>
  <si>
    <t>MBOM2333</t>
  </si>
  <si>
    <t>MBOM2334</t>
  </si>
  <si>
    <t>MBOM2335</t>
  </si>
  <si>
    <t>MBOM2336</t>
  </si>
  <si>
    <t>MBOM2337</t>
  </si>
  <si>
    <t>MBOM2338</t>
  </si>
  <si>
    <t>MBOM2339</t>
  </si>
  <si>
    <t>MBOM2340</t>
  </si>
  <si>
    <t>MBOM2341</t>
  </si>
  <si>
    <t>MBOM2342</t>
  </si>
  <si>
    <t>MBOM2343</t>
  </si>
  <si>
    <t>MBOM2344</t>
  </si>
  <si>
    <t>MBOM2345</t>
  </si>
  <si>
    <t>MBOM2346</t>
  </si>
  <si>
    <t>MBOM2347</t>
  </si>
  <si>
    <t>MBOM2348</t>
  </si>
  <si>
    <t>MBOM2349</t>
  </si>
  <si>
    <t>MBOM2350</t>
  </si>
  <si>
    <t>MBOM2351</t>
  </si>
  <si>
    <t>MBOM2352</t>
  </si>
  <si>
    <t>MBOM2353</t>
  </si>
  <si>
    <t>MBOM2354</t>
  </si>
  <si>
    <t>MBOM2355</t>
  </si>
  <si>
    <t>MBOM2356</t>
  </si>
  <si>
    <t>MBOM2357</t>
  </si>
  <si>
    <t>MBOM2358</t>
  </si>
  <si>
    <t>MBOM2359</t>
  </si>
  <si>
    <t>MBOM2360</t>
  </si>
  <si>
    <t>MBOM2361</t>
  </si>
  <si>
    <t>MBOM2362</t>
  </si>
  <si>
    <t>MBOM2363</t>
  </si>
  <si>
    <t>MBOM2364</t>
  </si>
  <si>
    <t>MBOM2365</t>
  </si>
  <si>
    <t>MBOM2366</t>
  </si>
  <si>
    <t>MBOM2367</t>
  </si>
  <si>
    <t>MBOM2368</t>
  </si>
  <si>
    <t>MBOM2369</t>
  </si>
  <si>
    <t>MBOM2370</t>
  </si>
  <si>
    <t>MBOM2371</t>
  </si>
  <si>
    <t>MBOM2372</t>
  </si>
  <si>
    <t>MBOM2373</t>
  </si>
  <si>
    <t>MBOM2374</t>
  </si>
  <si>
    <t>MBOM2375</t>
  </si>
  <si>
    <t>MBOM2376</t>
  </si>
  <si>
    <t>MBOM2377</t>
  </si>
  <si>
    <t>MBOM2378</t>
  </si>
  <si>
    <t>MBOM2379</t>
  </si>
  <si>
    <t>MBOM2380</t>
  </si>
  <si>
    <t>MBOM2381</t>
  </si>
  <si>
    <t>MBOM2382</t>
  </si>
  <si>
    <t>MBOM2383</t>
  </si>
  <si>
    <t>MBOM2384</t>
  </si>
  <si>
    <t>MBOM2385</t>
  </si>
  <si>
    <t>MBOM2386</t>
  </si>
  <si>
    <t>MBOM2387</t>
  </si>
  <si>
    <t>MBOM2388</t>
  </si>
  <si>
    <t>MBOM2389</t>
  </si>
  <si>
    <t>MBOM2390</t>
  </si>
  <si>
    <t>MBOM2391</t>
  </si>
  <si>
    <t>MBOM2392</t>
  </si>
  <si>
    <t>MBOM2393</t>
  </si>
  <si>
    <t>MBOM2394</t>
  </si>
  <si>
    <t>MBOM2395</t>
  </si>
  <si>
    <t>MBOM2396</t>
  </si>
  <si>
    <t>MBOM2397</t>
  </si>
  <si>
    <t>MBOM2398</t>
  </si>
  <si>
    <t>MBOM2399</t>
  </si>
  <si>
    <t>MBOM2400</t>
  </si>
  <si>
    <t>MBOM2401</t>
  </si>
  <si>
    <t>MBOM2402</t>
  </si>
  <si>
    <t>MBOM2403</t>
  </si>
  <si>
    <t>MBOM2404</t>
  </si>
  <si>
    <t>MBOM2405</t>
  </si>
  <si>
    <t>MBOM2406</t>
  </si>
  <si>
    <t>MBOM2407</t>
  </si>
  <si>
    <t>MBOM2408</t>
  </si>
  <si>
    <t>MBOM2409</t>
  </si>
  <si>
    <t>MBOM2410</t>
  </si>
  <si>
    <t>MBOM2411</t>
  </si>
  <si>
    <t>MBOM2412</t>
  </si>
  <si>
    <t>MBOM2413</t>
  </si>
  <si>
    <t>MBOM2414</t>
  </si>
  <si>
    <t>MBOM2415</t>
  </si>
  <si>
    <t>MBOM2416</t>
  </si>
  <si>
    <t>MBOM2417</t>
  </si>
  <si>
    <t>MBOM2418</t>
  </si>
  <si>
    <t>MBOM2419</t>
  </si>
  <si>
    <t>MBOM2420</t>
  </si>
  <si>
    <t>MBOM2421</t>
  </si>
  <si>
    <t>MBOM2422</t>
  </si>
  <si>
    <t>MBOM2423</t>
  </si>
  <si>
    <t>MBOM2424</t>
  </si>
  <si>
    <t>MBOM2425</t>
  </si>
  <si>
    <t>MBOM2426</t>
  </si>
  <si>
    <t>MBOM2427</t>
  </si>
  <si>
    <t>MBOM2428</t>
  </si>
  <si>
    <t>MBOM2429</t>
  </si>
  <si>
    <t>MBOM2430</t>
  </si>
  <si>
    <t>MBOM2431</t>
  </si>
  <si>
    <t>MBOM2432</t>
  </si>
  <si>
    <t>MBOM2433</t>
  </si>
  <si>
    <t>MBOM2434</t>
  </si>
  <si>
    <t>MBOM2435</t>
  </si>
  <si>
    <t>MBOM2436</t>
  </si>
  <si>
    <t>MBOM2437</t>
  </si>
  <si>
    <t>MBOM2438</t>
  </si>
  <si>
    <t>MBOM2439</t>
  </si>
  <si>
    <t>MBOM2440</t>
  </si>
  <si>
    <t>MBOM2441</t>
  </si>
  <si>
    <t>MBOM2442</t>
  </si>
  <si>
    <t>MBOM2443</t>
  </si>
  <si>
    <t>MBOM2444</t>
  </si>
  <si>
    <t>MBOM2445</t>
  </si>
  <si>
    <t>MBOM2446</t>
  </si>
  <si>
    <t>MBOM2447</t>
  </si>
  <si>
    <t>MBOM2448</t>
  </si>
  <si>
    <t>MBOM2449</t>
  </si>
  <si>
    <t>MBOM2450</t>
  </si>
  <si>
    <t>MBOM2451</t>
  </si>
  <si>
    <t>MBOM2452</t>
  </si>
  <si>
    <t>MBOM2453</t>
  </si>
  <si>
    <t>MBOM2454</t>
  </si>
  <si>
    <t>MBOM2455</t>
  </si>
  <si>
    <t>MBOM2456</t>
  </si>
  <si>
    <t>MBOM2457</t>
  </si>
  <si>
    <t>MBOM2458</t>
  </si>
  <si>
    <t>MBOM2459</t>
  </si>
  <si>
    <t>MBOM2460</t>
  </si>
  <si>
    <t>MBOM2461</t>
  </si>
  <si>
    <t>MBOM2462</t>
  </si>
  <si>
    <t>MBOM2463</t>
  </si>
  <si>
    <t>MBOM2464</t>
  </si>
  <si>
    <t>MBOM2465</t>
  </si>
  <si>
    <t>MBOM2466</t>
  </si>
  <si>
    <t>MBOM2467</t>
  </si>
  <si>
    <t>MBOM2468</t>
  </si>
  <si>
    <t>MBOM2469</t>
  </si>
  <si>
    <t>MBOM2470</t>
  </si>
  <si>
    <t>MBOM2471</t>
  </si>
  <si>
    <t>MBOM2472</t>
  </si>
  <si>
    <t>MBOM2473</t>
  </si>
  <si>
    <t>MBOM2474</t>
  </si>
  <si>
    <t>MBOM2475</t>
  </si>
  <si>
    <t>MBOM2476</t>
  </si>
  <si>
    <t>MBOM2477</t>
  </si>
  <si>
    <t>MBOM2478</t>
  </si>
  <si>
    <t>MBOM2479</t>
  </si>
  <si>
    <t>MBOM2480</t>
  </si>
  <si>
    <t>MBOM2481</t>
  </si>
  <si>
    <t>MBOM2482</t>
  </si>
  <si>
    <t>MBOM2483</t>
  </si>
  <si>
    <t>MBOM2484</t>
  </si>
  <si>
    <t>MBOM2485</t>
  </si>
  <si>
    <t>MBOM2486</t>
  </si>
  <si>
    <t>MBOM2487</t>
  </si>
  <si>
    <t>MBOM2488</t>
  </si>
  <si>
    <t>MBOM2489</t>
  </si>
  <si>
    <t>MBOM2490</t>
  </si>
  <si>
    <t>MBOM2491</t>
  </si>
  <si>
    <t>MBOM2492</t>
  </si>
  <si>
    <t>MBOM2493</t>
  </si>
  <si>
    <t>MBOM2494</t>
  </si>
  <si>
    <t>MBOM2495</t>
  </si>
  <si>
    <t>MBOM2496</t>
  </si>
  <si>
    <t>MBOM2497</t>
  </si>
  <si>
    <t>MBOM2498</t>
  </si>
  <si>
    <t>MBOM2499</t>
  </si>
  <si>
    <t>MBOM2500</t>
  </si>
  <si>
    <t>MBOM2501</t>
  </si>
  <si>
    <t>MBOM2502</t>
  </si>
  <si>
    <t>MBOM2503</t>
  </si>
  <si>
    <t>MBOM2504</t>
  </si>
  <si>
    <t>MBOM2505</t>
  </si>
  <si>
    <t>MBOM2506</t>
  </si>
  <si>
    <t>MBOM2507</t>
  </si>
  <si>
    <t>MBOM2508</t>
  </si>
  <si>
    <t>MBOM2509</t>
  </si>
  <si>
    <t>MBOM2510</t>
  </si>
  <si>
    <t>MBOM2511</t>
  </si>
  <si>
    <t>MBOM2512</t>
  </si>
  <si>
    <t>MBOM2513</t>
  </si>
  <si>
    <t>MBOM2514</t>
  </si>
  <si>
    <t>MBOM2515</t>
  </si>
  <si>
    <t>MBOM2516</t>
  </si>
  <si>
    <t>MBOM2517</t>
  </si>
  <si>
    <t>MBOM2518</t>
  </si>
  <si>
    <t>MBOM2519</t>
  </si>
  <si>
    <t>MBOM2520</t>
  </si>
  <si>
    <t>MBOM2521</t>
  </si>
  <si>
    <t>MBOM2522</t>
  </si>
  <si>
    <t>MBOM2523</t>
  </si>
  <si>
    <t>MBOM2524</t>
  </si>
  <si>
    <t>MBOM2525</t>
  </si>
  <si>
    <t>MBOM2526</t>
  </si>
  <si>
    <t>MBOM2527</t>
  </si>
  <si>
    <t>MBOM2528</t>
  </si>
  <si>
    <t>MBOM2529</t>
  </si>
  <si>
    <t>MBOM2530</t>
  </si>
  <si>
    <t>MBOM2531</t>
  </si>
  <si>
    <t>MBOM2532</t>
  </si>
  <si>
    <t>MBOM2533</t>
  </si>
  <si>
    <t>MBOM2534</t>
  </si>
  <si>
    <t>MBOM2535</t>
  </si>
  <si>
    <t>MBOM2536</t>
  </si>
  <si>
    <t>MBOM2537</t>
  </si>
  <si>
    <t>MBOM2538</t>
  </si>
  <si>
    <t>MBOM2539</t>
  </si>
  <si>
    <t>MBOM2540</t>
  </si>
  <si>
    <t>MBOM2541</t>
  </si>
  <si>
    <t>MBOM2542</t>
  </si>
  <si>
    <t>$P_PS_ChildRequiredNumber</t>
  </si>
  <si>
    <t>##P_MCF_sno_typ1</t>
  </si>
  <si>
    <t>子必要数量</t>
  </si>
  <si>
    <t>手配ＮＯ１区分</t>
  </si>
  <si>
    <t>かしめナット_1種_SS400_M30</t>
    <phoneticPr fontId="18"/>
  </si>
  <si>
    <t>スタッドボルト_SS400_仕上無し_M30x300Lx300S</t>
    <phoneticPr fontId="18"/>
  </si>
  <si>
    <t>丸棒_転造前_SS400_仕上無し_φ27.60(M30)x6000L</t>
    <phoneticPr fontId="18"/>
  </si>
  <si>
    <t>スタッドボルト_SNB7_仕上無し_M30x300Lx300S</t>
    <phoneticPr fontId="18"/>
  </si>
  <si>
    <t>スタッドボルト_SUS304_N/A_M30x300Lx300S</t>
    <phoneticPr fontId="18"/>
  </si>
  <si>
    <t>親品目のPLM品名</t>
  </si>
  <si>
    <t>子品目のPLM品名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</si>
</sst>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1"/>
        <bgColor indexed="64"/>
      </patternFill>
    </fill>
    <fill>
      <patternFill patternType="solid">
        <fgColor rgb="FFCCFFFF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33" borderId="0" xfId="0" applyFill="1">
      <alignment vertical="center"/>
    </xf>
    <xf numFmtId="0" fontId="0" fillId="0" borderId="11" xfId="0" applyBorder="1">
      <alignment vertical="center"/>
    </xf>
    <xf numFmtId="0" fontId="0" fillId="34" borderId="0" xfId="0" applyFill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33" borderId="14" xfId="0" applyFill="1" applyBorder="1">
      <alignment vertical="center"/>
    </xf>
    <xf numFmtId="0" fontId="0" fillId="34" borderId="13" xfId="0" applyFill="1" applyBorder="1">
      <alignment vertical="center"/>
    </xf>
    <xf numFmtId="0" fontId="0" fillId="34" borderId="14" xfId="0" applyFill="1" applyBorder="1">
      <alignment vertical="center"/>
    </xf>
    <xf numFmtId="0" fontId="0" fillId="0" borderId="15" xfId="0" applyBorder="1">
      <alignment vertical="center"/>
    </xf>
    <xf numFmtId="0" fontId="19" fillId="0" borderId="0" xfId="0" applyFont="1" applyAlignment="1"/>
    <xf numFmtId="0" fontId="0" fillId="0" borderId="14" xfId="0" applyBorder="1">
      <alignment vertical="center"/>
    </xf>
    <xf numFmtId="0" fontId="0" fillId="34" borderId="10" xfId="0" applyFill="1" applyBorder="1">
      <alignment vertical="center"/>
    </xf>
    <xf numFmtId="0" fontId="0" fillId="34" borderId="15" xfId="0" applyFill="1" applyBorder="1">
      <alignment vertical="center"/>
    </xf>
    <xf numFmtId="176" fontId="0" fillId="34" borderId="0" xfId="0" applyNumberFormat="1" applyFill="1">
      <alignment vertical="center"/>
    </xf>
    <xf numFmtId="0" fontId="0" fillId="0" borderId="16" xfId="0" applyBorder="1">
      <alignment vertical="center"/>
    </xf>
    <xf numFmtId="176" fontId="0" fillId="34" borderId="16" xfId="0" applyNumberFormat="1" applyFill="1" applyBorder="1">
      <alignment vertical="center"/>
    </xf>
    <xf numFmtId="0" fontId="0" fillId="34" borderId="16" xfId="0" applyFill="1" applyBorder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1352550</xdr:colOff>
      <xdr:row>0</xdr:row>
      <xdr:rowOff>127000</xdr:rowOff>
    </xdr:from>
    <xdr:to>
      <xdr:col>3</xdr:col>
      <xdr:colOff>2005190</xdr:colOff>
      <xdr:row>2</xdr:row>
      <xdr:rowOff>30197</xdr:rowOff>
    </xdr:to>
    <xdr:sp macro="[0]!pink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E4985AE-0514-479A-9E56-4A2BDED86EA0}"/>
            </a:ext>
          </a:extLst>
        </xdr:cNvPr>
        <xdr:cNvSpPr/>
      </xdr:nvSpPr>
      <xdr:spPr>
        <a:xfrm>
          <a:off x="2698750" y="127000"/>
          <a:ext cx="65264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pink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2095500</xdr:colOff>
      <xdr:row>0</xdr:row>
      <xdr:rowOff>127000</xdr:rowOff>
    </xdr:from>
    <xdr:to>
      <xdr:col>3</xdr:col>
      <xdr:colOff>2748140</xdr:colOff>
      <xdr:row>2</xdr:row>
      <xdr:rowOff>30197</xdr:rowOff>
    </xdr:to>
    <xdr:sp macro="[0]!フィルター解除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406FD16D-6577-4441-A216-DFAE87B095BF}"/>
            </a:ext>
          </a:extLst>
        </xdr:cNvPr>
        <xdr:cNvSpPr/>
      </xdr:nvSpPr>
      <xdr:spPr>
        <a:xfrm>
          <a:off x="3441700" y="127000"/>
          <a:ext cx="65264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reset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552450</xdr:colOff>
      <xdr:row>0</xdr:row>
      <xdr:rowOff>127000</xdr:rowOff>
    </xdr:from>
    <xdr:to>
      <xdr:col>3</xdr:col>
      <xdr:colOff>1244600</xdr:colOff>
      <xdr:row>2</xdr:row>
      <xdr:rowOff>30197</xdr:rowOff>
    </xdr:to>
    <xdr:sp macro="[0]!blue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128A4A57-1CAC-4FCB-9C29-F8335CD960A1}"/>
            </a:ext>
          </a:extLst>
        </xdr:cNvPr>
        <xdr:cNvSpPr/>
      </xdr:nvSpPr>
      <xdr:spPr>
        <a:xfrm>
          <a:off x="1898650" y="127000"/>
          <a:ext cx="69215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bluen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1968500</xdr:colOff>
      <xdr:row>0</xdr:row>
      <xdr:rowOff>146050</xdr:rowOff>
    </xdr:from>
    <xdr:to>
      <xdr:col>9</xdr:col>
      <xdr:colOff>2688873</xdr:colOff>
      <xdr:row>2</xdr:row>
      <xdr:rowOff>49247</xdr:rowOff>
    </xdr:to>
    <xdr:sp macro="[0]!scroll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EAB554EC-7D53-4827-9C72-972B0958EF15}"/>
            </a:ext>
          </a:extLst>
        </xdr:cNvPr>
        <xdr:cNvSpPr/>
      </xdr:nvSpPr>
      <xdr:spPr>
        <a:xfrm>
          <a:off x="9512300" y="146050"/>
          <a:ext cx="720373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scroll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19050</xdr:colOff>
      <xdr:row>0</xdr:row>
      <xdr:rowOff>101600</xdr:rowOff>
    </xdr:from>
    <xdr:to>
      <xdr:col>2</xdr:col>
      <xdr:colOff>739423</xdr:colOff>
      <xdr:row>2</xdr:row>
      <xdr:rowOff>4797</xdr:rowOff>
    </xdr:to>
    <xdr:sp macro="[0]!_xludf.paste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B846E79E-720B-BC47-2B6D-FA90285CEB15}"/>
            </a:ext>
          </a:extLst>
        </xdr:cNvPr>
        <xdr:cNvSpPr/>
      </xdr:nvSpPr>
      <xdr:spPr>
        <a:xfrm>
          <a:off x="457200" y="101600"/>
          <a:ext cx="720373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paste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66323</xdr:colOff>
      <xdr:row>0</xdr:row>
      <xdr:rowOff>0</xdr:rowOff>
    </xdr:from>
    <xdr:to>
      <xdr:col>10</xdr:col>
      <xdr:colOff>711201</xdr:colOff>
      <xdr:row>1</xdr:row>
      <xdr:rowOff>128975</xdr:rowOff>
    </xdr:to>
    <xdr:sp macro="[0]!太線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0A80DADC-FED2-4444-B297-1233D69348BE}"/>
            </a:ext>
          </a:extLst>
        </xdr:cNvPr>
        <xdr:cNvSpPr/>
      </xdr:nvSpPr>
      <xdr:spPr>
        <a:xfrm>
          <a:off x="11991623" y="0"/>
          <a:ext cx="644878" cy="357575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太線</a:t>
          </a:r>
        </a:p>
      </xdr:txBody>
    </xdr:sp>
    <xdr:clientData/>
  </xdr:twoCellAnchor>
  <xdr:twoCellAnchor>
    <xdr:from>
      <xdr:col>4</xdr:col>
      <xdr:colOff>215900</xdr:colOff>
      <xdr:row>0</xdr:row>
      <xdr:rowOff>127000</xdr:rowOff>
    </xdr:from>
    <xdr:to>
      <xdr:col>4</xdr:col>
      <xdr:colOff>868540</xdr:colOff>
      <xdr:row>2</xdr:row>
      <xdr:rowOff>30197</xdr:rowOff>
    </xdr:to>
    <xdr:sp macro="[0]!inhouse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785767A9-AC9C-A761-4153-2119606F320F}"/>
            </a:ext>
          </a:extLst>
        </xdr:cNvPr>
        <xdr:cNvSpPr/>
      </xdr:nvSpPr>
      <xdr:spPr>
        <a:xfrm>
          <a:off x="4933950" y="127000"/>
          <a:ext cx="65264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inhous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2573161</xdr:colOff>
      <xdr:row>0</xdr:row>
      <xdr:rowOff>134055</xdr:rowOff>
    </xdr:from>
    <xdr:to>
      <xdr:col>9</xdr:col>
      <xdr:colOff>3225801</xdr:colOff>
      <xdr:row>2</xdr:row>
      <xdr:rowOff>37252</xdr:rowOff>
    </xdr:to>
    <xdr:sp macro="[0]!purin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1E303562-1A8F-1FD3-DB46-1E0BD63936B4}"/>
            </a:ext>
          </a:extLst>
        </xdr:cNvPr>
        <xdr:cNvSpPr/>
      </xdr:nvSpPr>
      <xdr:spPr>
        <a:xfrm>
          <a:off x="10891661" y="134055"/>
          <a:ext cx="652640" cy="354753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pur</a:t>
          </a:r>
          <a:r>
            <a:rPr kumimoji="1" lang="en-US" altLang="ja-JP" sz="1100" baseline="0">
              <a:solidFill>
                <a:sysClr val="windowText" lastClr="000000"/>
              </a:solidFill>
            </a:rPr>
            <a:t> in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127000</xdr:rowOff>
    </xdr:from>
    <xdr:to>
      <xdr:col>8</xdr:col>
      <xdr:colOff>531990</xdr:colOff>
      <xdr:row>2</xdr:row>
      <xdr:rowOff>30197</xdr:rowOff>
    </xdr:to>
    <xdr:sp macro="[0]!nut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A78314C5-1148-3148-EC1A-B63842F1C8C6}"/>
            </a:ext>
          </a:extLst>
        </xdr:cNvPr>
        <xdr:cNvSpPr/>
      </xdr:nvSpPr>
      <xdr:spPr>
        <a:xfrm>
          <a:off x="6489700" y="127000"/>
          <a:ext cx="65264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nut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647700</xdr:colOff>
      <xdr:row>0</xdr:row>
      <xdr:rowOff>127000</xdr:rowOff>
    </xdr:from>
    <xdr:to>
      <xdr:col>9</xdr:col>
      <xdr:colOff>366890</xdr:colOff>
      <xdr:row>2</xdr:row>
      <xdr:rowOff>30197</xdr:rowOff>
    </xdr:to>
    <xdr:sp macro="[0]!stud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1CF73BEA-004D-7466-BB5A-36F6291FEB27}"/>
            </a:ext>
          </a:extLst>
        </xdr:cNvPr>
        <xdr:cNvSpPr/>
      </xdr:nvSpPr>
      <xdr:spPr>
        <a:xfrm>
          <a:off x="7258050" y="127000"/>
          <a:ext cx="65264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stud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5A18A-4B89-45FF-B9A3-66E6C9B28C15}">
  <sheetPr codeName="Sheet1"/>
  <dimension ref="A1:T2545"/>
  <sheetViews>
    <sheetView tabSelected="1" zoomScaleNormal="100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J2" sqref="J2"/>
    </sheetView>
  </sheetViews>
  <sheetFormatPr defaultRowHeight="18" x14ac:dyDescent="0.55000000000000004"/>
  <cols>
    <col min="1" max="2" width="5.58203125" customWidth="1"/>
    <col min="3" max="3" width="17.75" bestFit="1" customWidth="1"/>
    <col min="4" max="4" width="45.83203125" customWidth="1"/>
    <col min="5" max="5" width="17.5" customWidth="1"/>
    <col min="6" max="8" width="1.58203125" customWidth="1"/>
    <col min="9" max="9" width="12.25" customWidth="1"/>
    <col min="10" max="10" width="47.25" customWidth="1"/>
    <col min="11" max="11" width="19.75" customWidth="1"/>
    <col min="12" max="15" width="8.6640625" customWidth="1"/>
    <col min="16" max="16" width="9.6640625" customWidth="1"/>
    <col min="17" max="17" width="8.6640625" style="4"/>
  </cols>
  <sheetData>
    <row r="1" spans="1:20" x14ac:dyDescent="0.55000000000000004">
      <c r="A1" t="s">
        <v>0</v>
      </c>
      <c r="B1" t="s">
        <v>1</v>
      </c>
      <c r="C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s="4" t="s">
        <v>5667</v>
      </c>
      <c r="R1" t="s">
        <v>5668</v>
      </c>
    </row>
    <row r="2" spans="1:20" x14ac:dyDescent="0.55000000000000004">
      <c r="A2" t="s">
        <v>14</v>
      </c>
      <c r="C2" t="s">
        <v>15</v>
      </c>
      <c r="D2" t="s">
        <v>5676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5677</v>
      </c>
      <c r="K2" t="s">
        <v>21</v>
      </c>
      <c r="L2" t="s">
        <v>22</v>
      </c>
      <c r="M2" t="s">
        <v>23</v>
      </c>
      <c r="N2" t="s">
        <v>24</v>
      </c>
      <c r="O2" t="s">
        <v>25</v>
      </c>
      <c r="P2" t="s">
        <v>26</v>
      </c>
      <c r="Q2" s="4" t="s">
        <v>5669</v>
      </c>
      <c r="R2" t="s">
        <v>5670</v>
      </c>
    </row>
    <row r="3" spans="1:20" x14ac:dyDescent="0.55000000000000004">
      <c r="A3" t="s">
        <v>27</v>
      </c>
      <c r="D3">
        <v>0</v>
      </c>
      <c r="I3" t="s">
        <v>28</v>
      </c>
      <c r="K3" t="s">
        <v>29</v>
      </c>
      <c r="L3" t="s">
        <v>30</v>
      </c>
      <c r="M3" t="s">
        <v>31</v>
      </c>
    </row>
    <row r="4" spans="1:20" x14ac:dyDescent="0.55000000000000004">
      <c r="A4" t="s">
        <v>32</v>
      </c>
      <c r="C4" t="s">
        <v>33</v>
      </c>
      <c r="D4" t="s">
        <v>3996</v>
      </c>
      <c r="E4" t="s">
        <v>35</v>
      </c>
      <c r="F4" t="s">
        <v>30</v>
      </c>
      <c r="G4" t="s">
        <v>31</v>
      </c>
      <c r="H4" t="s">
        <v>36</v>
      </c>
      <c r="I4" t="s">
        <v>37</v>
      </c>
      <c r="J4" t="s">
        <v>3997</v>
      </c>
      <c r="K4" t="s">
        <v>39</v>
      </c>
      <c r="L4" t="s">
        <v>30</v>
      </c>
      <c r="M4" t="s">
        <v>31</v>
      </c>
      <c r="N4" s="11" t="s">
        <v>991</v>
      </c>
      <c r="Q4" s="4">
        <v>1</v>
      </c>
    </row>
    <row r="5" spans="1:20" x14ac:dyDescent="0.55000000000000004">
      <c r="A5" t="s">
        <v>41</v>
      </c>
      <c r="C5" t="s">
        <v>37</v>
      </c>
      <c r="D5" t="s">
        <v>3997</v>
      </c>
      <c r="E5" t="s">
        <v>39</v>
      </c>
      <c r="F5" t="s">
        <v>30</v>
      </c>
      <c r="G5" t="s">
        <v>31</v>
      </c>
      <c r="H5" s="11" t="s">
        <v>991</v>
      </c>
      <c r="I5" t="s">
        <v>1863</v>
      </c>
      <c r="J5" t="s">
        <v>5671</v>
      </c>
      <c r="K5" t="s">
        <v>362</v>
      </c>
      <c r="L5" t="s">
        <v>30</v>
      </c>
      <c r="M5" t="s">
        <v>31</v>
      </c>
      <c r="Q5" s="4">
        <v>1</v>
      </c>
    </row>
    <row r="6" spans="1:20" x14ac:dyDescent="0.55000000000000004">
      <c r="A6" t="s">
        <v>46</v>
      </c>
      <c r="C6" t="s">
        <v>37</v>
      </c>
      <c r="D6" t="s">
        <v>38</v>
      </c>
      <c r="E6" t="s">
        <v>39</v>
      </c>
      <c r="F6" t="s">
        <v>30</v>
      </c>
      <c r="G6" t="s">
        <v>31</v>
      </c>
      <c r="H6" s="11" t="s">
        <v>991</v>
      </c>
      <c r="I6" t="s">
        <v>1860</v>
      </c>
      <c r="J6" t="s">
        <v>5672</v>
      </c>
      <c r="K6" t="s">
        <v>39</v>
      </c>
      <c r="L6" t="s">
        <v>30</v>
      </c>
      <c r="M6" t="s">
        <v>31</v>
      </c>
      <c r="N6" t="s">
        <v>991</v>
      </c>
      <c r="Q6" s="4">
        <v>1</v>
      </c>
    </row>
    <row r="7" spans="1:20" x14ac:dyDescent="0.55000000000000004">
      <c r="A7" t="s">
        <v>51</v>
      </c>
      <c r="C7" t="s">
        <v>1860</v>
      </c>
      <c r="D7" t="s">
        <v>1861</v>
      </c>
      <c r="E7" t="s">
        <v>39</v>
      </c>
      <c r="F7" t="s">
        <v>30</v>
      </c>
      <c r="G7" t="s">
        <v>31</v>
      </c>
      <c r="H7" t="s">
        <v>991</v>
      </c>
      <c r="I7" t="s">
        <v>2291</v>
      </c>
      <c r="J7" t="s">
        <v>2292</v>
      </c>
      <c r="K7" t="s">
        <v>39</v>
      </c>
      <c r="L7" t="s">
        <v>30</v>
      </c>
      <c r="M7" t="s">
        <v>31</v>
      </c>
      <c r="N7" t="s">
        <v>991</v>
      </c>
      <c r="Q7" s="15">
        <f>S7/T7</f>
        <v>0.05</v>
      </c>
      <c r="S7">
        <f>MID(D7,FIND("x",D7)+6,3)*1</f>
        <v>300</v>
      </c>
      <c r="T7">
        <v>6000</v>
      </c>
    </row>
    <row r="8" spans="1:20" s="1" customFormat="1" ht="18.5" thickBot="1" x14ac:dyDescent="0.6">
      <c r="A8" t="s">
        <v>56</v>
      </c>
      <c r="C8" s="1" t="s">
        <v>2291</v>
      </c>
      <c r="D8" s="1" t="s">
        <v>2292</v>
      </c>
      <c r="E8" s="1" t="s">
        <v>39</v>
      </c>
      <c r="F8" s="1" t="s">
        <v>30</v>
      </c>
      <c r="G8" s="1" t="s">
        <v>31</v>
      </c>
      <c r="H8" s="1" t="s">
        <v>991</v>
      </c>
      <c r="I8" s="1" t="s">
        <v>2332</v>
      </c>
      <c r="J8" s="1" t="s">
        <v>5673</v>
      </c>
      <c r="K8" s="1" t="s">
        <v>362</v>
      </c>
      <c r="L8" s="1" t="s">
        <v>30</v>
      </c>
      <c r="M8" s="1" t="s">
        <v>31</v>
      </c>
      <c r="N8" s="3" t="s">
        <v>991</v>
      </c>
      <c r="Q8" s="13">
        <v>1</v>
      </c>
    </row>
    <row r="9" spans="1:20" x14ac:dyDescent="0.55000000000000004">
      <c r="A9" t="s">
        <v>61</v>
      </c>
      <c r="C9" t="s">
        <v>42</v>
      </c>
      <c r="D9" t="s">
        <v>43</v>
      </c>
      <c r="E9" t="s">
        <v>35</v>
      </c>
      <c r="F9" t="s">
        <v>30</v>
      </c>
      <c r="G9" t="s">
        <v>31</v>
      </c>
      <c r="H9" t="s">
        <v>36</v>
      </c>
      <c r="I9" t="s">
        <v>44</v>
      </c>
      <c r="J9" t="s">
        <v>45</v>
      </c>
      <c r="K9" t="s">
        <v>39</v>
      </c>
      <c r="L9" t="s">
        <v>30</v>
      </c>
      <c r="M9" t="s">
        <v>31</v>
      </c>
      <c r="N9" s="11" t="s">
        <v>991</v>
      </c>
      <c r="Q9" s="4">
        <v>1</v>
      </c>
    </row>
    <row r="10" spans="1:20" x14ac:dyDescent="0.55000000000000004">
      <c r="A10" t="s">
        <v>66</v>
      </c>
      <c r="C10" t="s">
        <v>44</v>
      </c>
      <c r="D10" t="s">
        <v>45</v>
      </c>
      <c r="E10" t="s">
        <v>39</v>
      </c>
      <c r="F10" t="s">
        <v>30</v>
      </c>
      <c r="G10" t="s">
        <v>31</v>
      </c>
      <c r="H10" s="11" t="s">
        <v>991</v>
      </c>
      <c r="I10" t="s">
        <v>1863</v>
      </c>
      <c r="J10" t="s">
        <v>1864</v>
      </c>
      <c r="K10" t="s">
        <v>362</v>
      </c>
      <c r="L10" t="s">
        <v>30</v>
      </c>
      <c r="M10" t="s">
        <v>31</v>
      </c>
      <c r="Q10" s="4">
        <v>1</v>
      </c>
    </row>
    <row r="11" spans="1:20" x14ac:dyDescent="0.55000000000000004">
      <c r="A11" t="s">
        <v>71</v>
      </c>
      <c r="C11" t="s">
        <v>44</v>
      </c>
      <c r="D11" t="s">
        <v>45</v>
      </c>
      <c r="E11" t="s">
        <v>39</v>
      </c>
      <c r="F11" t="s">
        <v>30</v>
      </c>
      <c r="G11" t="s">
        <v>31</v>
      </c>
      <c r="H11" s="11" t="s">
        <v>991</v>
      </c>
      <c r="I11" t="s">
        <v>1866</v>
      </c>
      <c r="J11" t="s">
        <v>1867</v>
      </c>
      <c r="K11" t="s">
        <v>39</v>
      </c>
      <c r="L11" t="s">
        <v>30</v>
      </c>
      <c r="M11" t="s">
        <v>31</v>
      </c>
      <c r="N11" t="s">
        <v>991</v>
      </c>
      <c r="Q11" s="4">
        <v>1</v>
      </c>
    </row>
    <row r="12" spans="1:20" s="16" customFormat="1" ht="18.5" thickBot="1" x14ac:dyDescent="0.6">
      <c r="A12" s="16" t="s">
        <v>76</v>
      </c>
      <c r="C12" s="16" t="s">
        <v>1866</v>
      </c>
      <c r="D12" s="16" t="s">
        <v>1867</v>
      </c>
      <c r="E12" s="16" t="s">
        <v>39</v>
      </c>
      <c r="F12" s="16" t="s">
        <v>30</v>
      </c>
      <c r="G12" s="16" t="s">
        <v>31</v>
      </c>
      <c r="H12" s="16" t="s">
        <v>991</v>
      </c>
      <c r="I12" s="16" t="s">
        <v>2291</v>
      </c>
      <c r="J12" s="16" t="s">
        <v>2292</v>
      </c>
      <c r="K12" s="16" t="s">
        <v>39</v>
      </c>
      <c r="L12" s="16" t="s">
        <v>30</v>
      </c>
      <c r="M12" s="16" t="s">
        <v>31</v>
      </c>
      <c r="N12" s="16" t="s">
        <v>991</v>
      </c>
      <c r="Q12" s="17">
        <f>S12/T12</f>
        <v>6.6666666666666666E-2</v>
      </c>
      <c r="S12" s="16">
        <f>MID(D12,FIND("x",D12)+6,3)*1</f>
        <v>400</v>
      </c>
      <c r="T12" s="16">
        <v>6000</v>
      </c>
    </row>
    <row r="13" spans="1:20" x14ac:dyDescent="0.55000000000000004">
      <c r="A13" t="s">
        <v>81</v>
      </c>
      <c r="C13" t="s">
        <v>47</v>
      </c>
      <c r="D13" t="s">
        <v>48</v>
      </c>
      <c r="E13" t="s">
        <v>35</v>
      </c>
      <c r="F13" t="s">
        <v>30</v>
      </c>
      <c r="G13" t="s">
        <v>31</v>
      </c>
      <c r="H13" t="s">
        <v>36</v>
      </c>
      <c r="I13" t="s">
        <v>49</v>
      </c>
      <c r="J13" t="s">
        <v>50</v>
      </c>
      <c r="K13" t="s">
        <v>39</v>
      </c>
      <c r="L13" t="s">
        <v>30</v>
      </c>
      <c r="M13" t="s">
        <v>31</v>
      </c>
      <c r="N13" s="11" t="s">
        <v>991</v>
      </c>
      <c r="Q13" s="4">
        <v>1</v>
      </c>
    </row>
    <row r="14" spans="1:20" x14ac:dyDescent="0.55000000000000004">
      <c r="A14" t="s">
        <v>86</v>
      </c>
      <c r="C14" t="s">
        <v>49</v>
      </c>
      <c r="D14" t="s">
        <v>50</v>
      </c>
      <c r="E14" t="s">
        <v>39</v>
      </c>
      <c r="F14" t="s">
        <v>30</v>
      </c>
      <c r="G14" t="s">
        <v>31</v>
      </c>
      <c r="H14" s="11" t="s">
        <v>991</v>
      </c>
      <c r="I14" t="s">
        <v>1863</v>
      </c>
      <c r="J14" t="s">
        <v>1864</v>
      </c>
      <c r="K14" t="s">
        <v>362</v>
      </c>
      <c r="L14" t="s">
        <v>30</v>
      </c>
      <c r="M14" t="s">
        <v>31</v>
      </c>
      <c r="Q14" s="4">
        <v>1</v>
      </c>
    </row>
    <row r="15" spans="1:20" x14ac:dyDescent="0.55000000000000004">
      <c r="A15" t="s">
        <v>91</v>
      </c>
      <c r="C15" t="s">
        <v>49</v>
      </c>
      <c r="D15" t="s">
        <v>50</v>
      </c>
      <c r="E15" t="s">
        <v>39</v>
      </c>
      <c r="F15" t="s">
        <v>30</v>
      </c>
      <c r="G15" t="s">
        <v>31</v>
      </c>
      <c r="H15" s="11" t="s">
        <v>991</v>
      </c>
      <c r="I15" t="s">
        <v>1870</v>
      </c>
      <c r="J15" t="s">
        <v>1871</v>
      </c>
      <c r="K15" t="s">
        <v>39</v>
      </c>
      <c r="L15" t="s">
        <v>30</v>
      </c>
      <c r="M15" t="s">
        <v>31</v>
      </c>
      <c r="N15" t="s">
        <v>991</v>
      </c>
      <c r="Q15" s="4">
        <v>1</v>
      </c>
    </row>
    <row r="16" spans="1:20" s="16" customFormat="1" ht="18.5" thickBot="1" x14ac:dyDescent="0.6">
      <c r="A16" s="16" t="s">
        <v>96</v>
      </c>
      <c r="C16" s="16" t="s">
        <v>1870</v>
      </c>
      <c r="D16" s="16" t="s">
        <v>1871</v>
      </c>
      <c r="E16" s="16" t="s">
        <v>39</v>
      </c>
      <c r="F16" s="16" t="s">
        <v>30</v>
      </c>
      <c r="G16" s="16" t="s">
        <v>31</v>
      </c>
      <c r="H16" s="16" t="s">
        <v>991</v>
      </c>
      <c r="I16" s="16" t="s">
        <v>2291</v>
      </c>
      <c r="J16" s="16" t="s">
        <v>2292</v>
      </c>
      <c r="K16" s="16" t="s">
        <v>39</v>
      </c>
      <c r="L16" s="16" t="s">
        <v>30</v>
      </c>
      <c r="M16" s="16" t="s">
        <v>31</v>
      </c>
      <c r="N16" s="16" t="s">
        <v>991</v>
      </c>
      <c r="Q16" s="17">
        <f>S16/T16</f>
        <v>8.3333333333333329E-2</v>
      </c>
      <c r="S16" s="16">
        <f>MID(D16,FIND("x",D16)+6,3)*1</f>
        <v>500</v>
      </c>
      <c r="T16" s="16">
        <v>6000</v>
      </c>
    </row>
    <row r="17" spans="1:20" x14ac:dyDescent="0.55000000000000004">
      <c r="A17" t="s">
        <v>101</v>
      </c>
      <c r="C17" t="s">
        <v>52</v>
      </c>
      <c r="D17" t="s">
        <v>53</v>
      </c>
      <c r="E17" t="s">
        <v>35</v>
      </c>
      <c r="F17" t="s">
        <v>30</v>
      </c>
      <c r="G17" t="s">
        <v>31</v>
      </c>
      <c r="H17" t="s">
        <v>36</v>
      </c>
      <c r="I17" t="s">
        <v>54</v>
      </c>
      <c r="J17" t="s">
        <v>55</v>
      </c>
      <c r="K17" t="s">
        <v>39</v>
      </c>
      <c r="L17" t="s">
        <v>30</v>
      </c>
      <c r="M17" t="s">
        <v>31</v>
      </c>
      <c r="N17" s="11" t="s">
        <v>991</v>
      </c>
      <c r="Q17" s="4">
        <v>1</v>
      </c>
    </row>
    <row r="18" spans="1:20" x14ac:dyDescent="0.55000000000000004">
      <c r="A18" t="s">
        <v>106</v>
      </c>
      <c r="C18" t="s">
        <v>54</v>
      </c>
      <c r="D18" t="s">
        <v>55</v>
      </c>
      <c r="E18" t="s">
        <v>39</v>
      </c>
      <c r="F18" t="s">
        <v>30</v>
      </c>
      <c r="G18" t="s">
        <v>31</v>
      </c>
      <c r="H18" s="11" t="s">
        <v>991</v>
      </c>
      <c r="I18" t="s">
        <v>1863</v>
      </c>
      <c r="J18" t="s">
        <v>1864</v>
      </c>
      <c r="K18" t="s">
        <v>362</v>
      </c>
      <c r="L18" t="s">
        <v>30</v>
      </c>
      <c r="M18" t="s">
        <v>31</v>
      </c>
      <c r="Q18" s="4">
        <v>1</v>
      </c>
    </row>
    <row r="19" spans="1:20" x14ac:dyDescent="0.55000000000000004">
      <c r="A19" t="s">
        <v>111</v>
      </c>
      <c r="C19" t="s">
        <v>54</v>
      </c>
      <c r="D19" t="s">
        <v>55</v>
      </c>
      <c r="E19" t="s">
        <v>39</v>
      </c>
      <c r="F19" t="s">
        <v>30</v>
      </c>
      <c r="G19" t="s">
        <v>31</v>
      </c>
      <c r="H19" s="11" t="s">
        <v>991</v>
      </c>
      <c r="I19" t="s">
        <v>1874</v>
      </c>
      <c r="J19" t="s">
        <v>1875</v>
      </c>
      <c r="K19" t="s">
        <v>39</v>
      </c>
      <c r="L19" t="s">
        <v>30</v>
      </c>
      <c r="M19" t="s">
        <v>31</v>
      </c>
      <c r="N19" t="s">
        <v>991</v>
      </c>
      <c r="Q19" s="4">
        <v>1</v>
      </c>
    </row>
    <row r="20" spans="1:20" s="16" customFormat="1" ht="18.5" thickBot="1" x14ac:dyDescent="0.6">
      <c r="A20" s="16" t="s">
        <v>116</v>
      </c>
      <c r="C20" s="16" t="s">
        <v>1874</v>
      </c>
      <c r="D20" s="16" t="s">
        <v>1875</v>
      </c>
      <c r="E20" s="16" t="s">
        <v>39</v>
      </c>
      <c r="F20" s="16" t="s">
        <v>30</v>
      </c>
      <c r="G20" s="16" t="s">
        <v>31</v>
      </c>
      <c r="H20" s="16" t="s">
        <v>991</v>
      </c>
      <c r="I20" s="16" t="s">
        <v>2291</v>
      </c>
      <c r="J20" s="16" t="s">
        <v>2292</v>
      </c>
      <c r="K20" s="16" t="s">
        <v>39</v>
      </c>
      <c r="L20" s="16" t="s">
        <v>30</v>
      </c>
      <c r="M20" s="16" t="s">
        <v>31</v>
      </c>
      <c r="N20" s="16" t="s">
        <v>991</v>
      </c>
      <c r="Q20" s="17">
        <f>S20/T20</f>
        <v>0.1</v>
      </c>
      <c r="S20" s="16">
        <f>MID(D20,FIND("x",D20)+6,3)*1</f>
        <v>600</v>
      </c>
      <c r="T20" s="16">
        <v>6000</v>
      </c>
    </row>
    <row r="21" spans="1:20" x14ac:dyDescent="0.55000000000000004">
      <c r="A21" t="s">
        <v>121</v>
      </c>
      <c r="C21" t="s">
        <v>57</v>
      </c>
      <c r="D21" t="s">
        <v>58</v>
      </c>
      <c r="E21" t="s">
        <v>35</v>
      </c>
      <c r="F21" t="s">
        <v>30</v>
      </c>
      <c r="G21" t="s">
        <v>31</v>
      </c>
      <c r="H21" t="s">
        <v>36</v>
      </c>
      <c r="I21" t="s">
        <v>59</v>
      </c>
      <c r="J21" t="s">
        <v>60</v>
      </c>
      <c r="K21" t="s">
        <v>39</v>
      </c>
      <c r="L21" t="s">
        <v>30</v>
      </c>
      <c r="M21" t="s">
        <v>31</v>
      </c>
      <c r="N21" s="11" t="s">
        <v>991</v>
      </c>
      <c r="Q21" s="4">
        <v>1</v>
      </c>
    </row>
    <row r="22" spans="1:20" x14ac:dyDescent="0.55000000000000004">
      <c r="A22" t="s">
        <v>126</v>
      </c>
      <c r="C22" t="s">
        <v>59</v>
      </c>
      <c r="D22" t="s">
        <v>60</v>
      </c>
      <c r="E22" t="s">
        <v>39</v>
      </c>
      <c r="F22" t="s">
        <v>30</v>
      </c>
      <c r="G22" t="s">
        <v>31</v>
      </c>
      <c r="H22" s="11" t="s">
        <v>991</v>
      </c>
      <c r="I22" t="s">
        <v>1863</v>
      </c>
      <c r="J22" t="s">
        <v>1864</v>
      </c>
      <c r="K22" t="s">
        <v>362</v>
      </c>
      <c r="L22" t="s">
        <v>30</v>
      </c>
      <c r="M22" t="s">
        <v>31</v>
      </c>
      <c r="Q22" s="4">
        <v>1</v>
      </c>
    </row>
    <row r="23" spans="1:20" x14ac:dyDescent="0.55000000000000004">
      <c r="A23" t="s">
        <v>131</v>
      </c>
      <c r="C23" t="s">
        <v>59</v>
      </c>
      <c r="D23" t="s">
        <v>60</v>
      </c>
      <c r="E23" t="s">
        <v>39</v>
      </c>
      <c r="F23" t="s">
        <v>30</v>
      </c>
      <c r="G23" t="s">
        <v>31</v>
      </c>
      <c r="H23" s="11" t="s">
        <v>991</v>
      </c>
      <c r="I23" t="s">
        <v>1878</v>
      </c>
      <c r="J23" t="s">
        <v>1879</v>
      </c>
      <c r="K23" t="s">
        <v>39</v>
      </c>
      <c r="L23" t="s">
        <v>30</v>
      </c>
      <c r="M23" t="s">
        <v>31</v>
      </c>
      <c r="N23" t="s">
        <v>991</v>
      </c>
      <c r="Q23" s="4">
        <v>1</v>
      </c>
    </row>
    <row r="24" spans="1:20" s="16" customFormat="1" ht="18.5" thickBot="1" x14ac:dyDescent="0.6">
      <c r="A24" s="16" t="s">
        <v>136</v>
      </c>
      <c r="C24" s="16" t="s">
        <v>1878</v>
      </c>
      <c r="D24" s="16" t="s">
        <v>1879</v>
      </c>
      <c r="E24" s="16" t="s">
        <v>39</v>
      </c>
      <c r="F24" s="16" t="s">
        <v>30</v>
      </c>
      <c r="G24" s="16" t="s">
        <v>31</v>
      </c>
      <c r="H24" s="16" t="s">
        <v>991</v>
      </c>
      <c r="I24" s="16" t="s">
        <v>2291</v>
      </c>
      <c r="J24" s="16" t="s">
        <v>2292</v>
      </c>
      <c r="K24" s="16" t="s">
        <v>39</v>
      </c>
      <c r="L24" s="16" t="s">
        <v>30</v>
      </c>
      <c r="M24" s="16" t="s">
        <v>31</v>
      </c>
      <c r="N24" s="16" t="s">
        <v>991</v>
      </c>
      <c r="Q24" s="17">
        <f>S24/T24</f>
        <v>0.11666666666666667</v>
      </c>
      <c r="S24" s="16">
        <f>MID(D24,FIND("x",D24)+6,3)*1</f>
        <v>700</v>
      </c>
      <c r="T24" s="16">
        <v>6000</v>
      </c>
    </row>
    <row r="25" spans="1:20" x14ac:dyDescent="0.55000000000000004">
      <c r="A25" t="s">
        <v>141</v>
      </c>
      <c r="C25" t="s">
        <v>62</v>
      </c>
      <c r="D25" t="s">
        <v>63</v>
      </c>
      <c r="E25" t="s">
        <v>35</v>
      </c>
      <c r="F25" t="s">
        <v>30</v>
      </c>
      <c r="G25" t="s">
        <v>31</v>
      </c>
      <c r="H25" t="s">
        <v>36</v>
      </c>
      <c r="I25" t="s">
        <v>64</v>
      </c>
      <c r="J25" t="s">
        <v>65</v>
      </c>
      <c r="K25" t="s">
        <v>39</v>
      </c>
      <c r="L25" t="s">
        <v>30</v>
      </c>
      <c r="M25" t="s">
        <v>31</v>
      </c>
      <c r="N25" s="11" t="s">
        <v>991</v>
      </c>
      <c r="Q25" s="4">
        <v>1</v>
      </c>
    </row>
    <row r="26" spans="1:20" x14ac:dyDescent="0.55000000000000004">
      <c r="A26" t="s">
        <v>146</v>
      </c>
      <c r="C26" t="s">
        <v>64</v>
      </c>
      <c r="D26" t="s">
        <v>65</v>
      </c>
      <c r="E26" t="s">
        <v>39</v>
      </c>
      <c r="F26" t="s">
        <v>30</v>
      </c>
      <c r="G26" t="s">
        <v>31</v>
      </c>
      <c r="H26" s="11" t="s">
        <v>991</v>
      </c>
      <c r="I26" t="s">
        <v>1863</v>
      </c>
      <c r="J26" t="s">
        <v>1864</v>
      </c>
      <c r="K26" t="s">
        <v>362</v>
      </c>
      <c r="L26" t="s">
        <v>30</v>
      </c>
      <c r="M26" t="s">
        <v>31</v>
      </c>
      <c r="Q26" s="4">
        <v>1</v>
      </c>
    </row>
    <row r="27" spans="1:20" x14ac:dyDescent="0.55000000000000004">
      <c r="A27" t="s">
        <v>151</v>
      </c>
      <c r="C27" t="s">
        <v>64</v>
      </c>
      <c r="D27" t="s">
        <v>65</v>
      </c>
      <c r="E27" t="s">
        <v>39</v>
      </c>
      <c r="F27" t="s">
        <v>30</v>
      </c>
      <c r="G27" t="s">
        <v>31</v>
      </c>
      <c r="H27" s="11" t="s">
        <v>991</v>
      </c>
      <c r="I27" t="s">
        <v>1882</v>
      </c>
      <c r="J27" t="s">
        <v>1883</v>
      </c>
      <c r="K27" t="s">
        <v>39</v>
      </c>
      <c r="L27" t="s">
        <v>30</v>
      </c>
      <c r="M27" t="s">
        <v>31</v>
      </c>
      <c r="N27" t="s">
        <v>991</v>
      </c>
      <c r="Q27" s="4">
        <v>1</v>
      </c>
    </row>
    <row r="28" spans="1:20" s="16" customFormat="1" ht="18.5" thickBot="1" x14ac:dyDescent="0.6">
      <c r="A28" s="16" t="s">
        <v>156</v>
      </c>
      <c r="C28" s="16" t="s">
        <v>1882</v>
      </c>
      <c r="D28" s="16" t="s">
        <v>1883</v>
      </c>
      <c r="E28" s="16" t="s">
        <v>39</v>
      </c>
      <c r="F28" s="16" t="s">
        <v>30</v>
      </c>
      <c r="G28" s="16" t="s">
        <v>31</v>
      </c>
      <c r="H28" s="16" t="s">
        <v>991</v>
      </c>
      <c r="I28" s="16" t="s">
        <v>2291</v>
      </c>
      <c r="J28" s="16" t="s">
        <v>2292</v>
      </c>
      <c r="K28" s="16" t="s">
        <v>39</v>
      </c>
      <c r="L28" s="16" t="s">
        <v>30</v>
      </c>
      <c r="M28" s="16" t="s">
        <v>31</v>
      </c>
      <c r="N28" s="16" t="s">
        <v>991</v>
      </c>
      <c r="Q28" s="17">
        <f>S28/T28</f>
        <v>0.13333333333333333</v>
      </c>
      <c r="S28" s="16">
        <f>MID(D28,FIND("x",D28)+6,3)*1</f>
        <v>800</v>
      </c>
      <c r="T28" s="16">
        <v>6000</v>
      </c>
    </row>
    <row r="29" spans="1:20" x14ac:dyDescent="0.55000000000000004">
      <c r="A29" t="s">
        <v>161</v>
      </c>
      <c r="C29" t="s">
        <v>67</v>
      </c>
      <c r="D29" t="s">
        <v>68</v>
      </c>
      <c r="E29" t="s">
        <v>35</v>
      </c>
      <c r="F29" t="s">
        <v>30</v>
      </c>
      <c r="G29" t="s">
        <v>31</v>
      </c>
      <c r="H29" t="s">
        <v>36</v>
      </c>
      <c r="I29" t="s">
        <v>69</v>
      </c>
      <c r="J29" t="s">
        <v>70</v>
      </c>
      <c r="K29" t="s">
        <v>39</v>
      </c>
      <c r="L29" t="s">
        <v>30</v>
      </c>
      <c r="M29" t="s">
        <v>31</v>
      </c>
      <c r="N29" s="11" t="s">
        <v>991</v>
      </c>
      <c r="Q29" s="4">
        <v>1</v>
      </c>
    </row>
    <row r="30" spans="1:20" x14ac:dyDescent="0.55000000000000004">
      <c r="A30" t="s">
        <v>166</v>
      </c>
      <c r="C30" t="s">
        <v>69</v>
      </c>
      <c r="D30" t="s">
        <v>70</v>
      </c>
      <c r="E30" t="s">
        <v>39</v>
      </c>
      <c r="F30" t="s">
        <v>30</v>
      </c>
      <c r="G30" t="s">
        <v>31</v>
      </c>
      <c r="H30" s="11" t="s">
        <v>991</v>
      </c>
      <c r="I30" t="s">
        <v>1863</v>
      </c>
      <c r="J30" t="s">
        <v>1864</v>
      </c>
      <c r="K30" t="s">
        <v>362</v>
      </c>
      <c r="L30" t="s">
        <v>30</v>
      </c>
      <c r="M30" t="s">
        <v>31</v>
      </c>
      <c r="Q30" s="4">
        <v>1</v>
      </c>
    </row>
    <row r="31" spans="1:20" x14ac:dyDescent="0.55000000000000004">
      <c r="A31" t="s">
        <v>171</v>
      </c>
      <c r="C31" t="s">
        <v>69</v>
      </c>
      <c r="D31" t="s">
        <v>70</v>
      </c>
      <c r="E31" t="s">
        <v>39</v>
      </c>
      <c r="F31" t="s">
        <v>30</v>
      </c>
      <c r="G31" t="s">
        <v>31</v>
      </c>
      <c r="H31" s="11" t="s">
        <v>991</v>
      </c>
      <c r="I31" t="s">
        <v>1886</v>
      </c>
      <c r="J31" t="s">
        <v>1887</v>
      </c>
      <c r="K31" t="s">
        <v>39</v>
      </c>
      <c r="L31" t="s">
        <v>30</v>
      </c>
      <c r="M31" t="s">
        <v>31</v>
      </c>
      <c r="N31" t="s">
        <v>991</v>
      </c>
      <c r="Q31" s="4">
        <v>1</v>
      </c>
    </row>
    <row r="32" spans="1:20" s="16" customFormat="1" ht="18.5" thickBot="1" x14ac:dyDescent="0.6">
      <c r="A32" s="16" t="s">
        <v>176</v>
      </c>
      <c r="C32" s="16" t="s">
        <v>1886</v>
      </c>
      <c r="D32" s="16" t="s">
        <v>1887</v>
      </c>
      <c r="E32" s="16" t="s">
        <v>39</v>
      </c>
      <c r="F32" s="16" t="s">
        <v>30</v>
      </c>
      <c r="G32" s="16" t="s">
        <v>31</v>
      </c>
      <c r="H32" s="16" t="s">
        <v>991</v>
      </c>
      <c r="I32" s="16" t="s">
        <v>2291</v>
      </c>
      <c r="J32" s="16" t="s">
        <v>2292</v>
      </c>
      <c r="K32" s="16" t="s">
        <v>39</v>
      </c>
      <c r="L32" s="16" t="s">
        <v>30</v>
      </c>
      <c r="M32" s="16" t="s">
        <v>31</v>
      </c>
      <c r="N32" s="16" t="s">
        <v>991</v>
      </c>
      <c r="Q32" s="17">
        <f>S32/T32</f>
        <v>0.15</v>
      </c>
      <c r="S32" s="16">
        <f>MID(D32,FIND("x",D32)+6,3)*1</f>
        <v>900</v>
      </c>
      <c r="T32" s="16">
        <v>6000</v>
      </c>
    </row>
    <row r="33" spans="1:20" x14ac:dyDescent="0.55000000000000004">
      <c r="A33" t="s">
        <v>181</v>
      </c>
      <c r="C33" t="s">
        <v>72</v>
      </c>
      <c r="D33" t="s">
        <v>73</v>
      </c>
      <c r="E33" t="s">
        <v>35</v>
      </c>
      <c r="F33" t="s">
        <v>30</v>
      </c>
      <c r="G33" t="s">
        <v>31</v>
      </c>
      <c r="H33" t="s">
        <v>36</v>
      </c>
      <c r="I33" t="s">
        <v>74</v>
      </c>
      <c r="J33" t="s">
        <v>75</v>
      </c>
      <c r="K33" t="s">
        <v>39</v>
      </c>
      <c r="L33" t="s">
        <v>30</v>
      </c>
      <c r="M33" t="s">
        <v>31</v>
      </c>
      <c r="N33" s="11" t="s">
        <v>991</v>
      </c>
      <c r="Q33" s="4">
        <v>1</v>
      </c>
    </row>
    <row r="34" spans="1:20" x14ac:dyDescent="0.55000000000000004">
      <c r="A34" t="s">
        <v>186</v>
      </c>
      <c r="C34" t="s">
        <v>74</v>
      </c>
      <c r="D34" t="s">
        <v>75</v>
      </c>
      <c r="E34" t="s">
        <v>39</v>
      </c>
      <c r="F34" t="s">
        <v>30</v>
      </c>
      <c r="G34" t="s">
        <v>31</v>
      </c>
      <c r="H34" s="11" t="s">
        <v>991</v>
      </c>
      <c r="I34" t="s">
        <v>1863</v>
      </c>
      <c r="J34" t="s">
        <v>1864</v>
      </c>
      <c r="K34" t="s">
        <v>362</v>
      </c>
      <c r="L34" t="s">
        <v>30</v>
      </c>
      <c r="M34" t="s">
        <v>31</v>
      </c>
      <c r="Q34" s="4">
        <v>1</v>
      </c>
    </row>
    <row r="35" spans="1:20" x14ac:dyDescent="0.55000000000000004">
      <c r="A35" t="s">
        <v>191</v>
      </c>
      <c r="C35" t="s">
        <v>74</v>
      </c>
      <c r="D35" t="s">
        <v>75</v>
      </c>
      <c r="E35" t="s">
        <v>39</v>
      </c>
      <c r="F35" t="s">
        <v>30</v>
      </c>
      <c r="G35" t="s">
        <v>31</v>
      </c>
      <c r="H35" s="11" t="s">
        <v>991</v>
      </c>
      <c r="I35" t="s">
        <v>1890</v>
      </c>
      <c r="J35" t="s">
        <v>1891</v>
      </c>
      <c r="K35" t="s">
        <v>39</v>
      </c>
      <c r="L35" t="s">
        <v>30</v>
      </c>
      <c r="M35" t="s">
        <v>31</v>
      </c>
      <c r="N35" t="s">
        <v>991</v>
      </c>
      <c r="Q35" s="4">
        <v>1</v>
      </c>
    </row>
    <row r="36" spans="1:20" s="16" customFormat="1" ht="18.5" thickBot="1" x14ac:dyDescent="0.6">
      <c r="A36" s="16" t="s">
        <v>197</v>
      </c>
      <c r="C36" s="16" t="s">
        <v>1890</v>
      </c>
      <c r="D36" s="16" t="s">
        <v>1891</v>
      </c>
      <c r="E36" s="16" t="s">
        <v>39</v>
      </c>
      <c r="F36" s="16" t="s">
        <v>30</v>
      </c>
      <c r="G36" s="16" t="s">
        <v>31</v>
      </c>
      <c r="H36" s="16" t="s">
        <v>991</v>
      </c>
      <c r="I36" s="16" t="s">
        <v>2291</v>
      </c>
      <c r="J36" s="16" t="s">
        <v>2292</v>
      </c>
      <c r="K36" s="16" t="s">
        <v>39</v>
      </c>
      <c r="L36" s="16" t="s">
        <v>30</v>
      </c>
      <c r="M36" s="16" t="s">
        <v>31</v>
      </c>
      <c r="N36" s="16" t="s">
        <v>991</v>
      </c>
      <c r="Q36" s="17">
        <f>S36/T36</f>
        <v>0.16666666666666666</v>
      </c>
      <c r="S36" s="16">
        <f>MID(D36,FIND("x",D36)+7,4)*1</f>
        <v>1000</v>
      </c>
      <c r="T36" s="16">
        <v>6000</v>
      </c>
    </row>
    <row r="37" spans="1:20" x14ac:dyDescent="0.55000000000000004">
      <c r="A37" t="s">
        <v>202</v>
      </c>
      <c r="C37" t="s">
        <v>77</v>
      </c>
      <c r="D37" t="s">
        <v>78</v>
      </c>
      <c r="E37" t="s">
        <v>35</v>
      </c>
      <c r="F37" t="s">
        <v>30</v>
      </c>
      <c r="G37" t="s">
        <v>31</v>
      </c>
      <c r="H37" t="s">
        <v>36</v>
      </c>
      <c r="I37" t="s">
        <v>79</v>
      </c>
      <c r="J37" t="s">
        <v>80</v>
      </c>
      <c r="K37" t="s">
        <v>39</v>
      </c>
      <c r="L37" t="s">
        <v>30</v>
      </c>
      <c r="M37" t="s">
        <v>31</v>
      </c>
      <c r="N37" s="11" t="s">
        <v>991</v>
      </c>
      <c r="Q37" s="4">
        <v>1</v>
      </c>
    </row>
    <row r="38" spans="1:20" x14ac:dyDescent="0.55000000000000004">
      <c r="A38" t="s">
        <v>207</v>
      </c>
      <c r="C38" t="s">
        <v>79</v>
      </c>
      <c r="D38" t="s">
        <v>80</v>
      </c>
      <c r="E38" t="s">
        <v>39</v>
      </c>
      <c r="F38" t="s">
        <v>30</v>
      </c>
      <c r="G38" t="s">
        <v>31</v>
      </c>
      <c r="H38" s="11" t="s">
        <v>991</v>
      </c>
      <c r="I38" t="s">
        <v>1863</v>
      </c>
      <c r="J38" t="s">
        <v>1864</v>
      </c>
      <c r="K38" t="s">
        <v>362</v>
      </c>
      <c r="L38" t="s">
        <v>30</v>
      </c>
      <c r="M38" t="s">
        <v>31</v>
      </c>
      <c r="Q38" s="4">
        <v>1</v>
      </c>
    </row>
    <row r="39" spans="1:20" x14ac:dyDescent="0.55000000000000004">
      <c r="A39" t="s">
        <v>212</v>
      </c>
      <c r="C39" t="s">
        <v>79</v>
      </c>
      <c r="D39" t="s">
        <v>80</v>
      </c>
      <c r="E39" t="s">
        <v>39</v>
      </c>
      <c r="F39" t="s">
        <v>30</v>
      </c>
      <c r="G39" t="s">
        <v>31</v>
      </c>
      <c r="H39" s="11" t="s">
        <v>991</v>
      </c>
      <c r="I39" t="s">
        <v>1894</v>
      </c>
      <c r="J39" t="s">
        <v>1895</v>
      </c>
      <c r="K39" t="s">
        <v>39</v>
      </c>
      <c r="L39" t="s">
        <v>30</v>
      </c>
      <c r="M39" t="s">
        <v>31</v>
      </c>
      <c r="N39" t="s">
        <v>991</v>
      </c>
      <c r="Q39" s="4">
        <v>1</v>
      </c>
    </row>
    <row r="40" spans="1:20" s="16" customFormat="1" ht="18.5" thickBot="1" x14ac:dyDescent="0.6">
      <c r="A40" s="16" t="s">
        <v>217</v>
      </c>
      <c r="C40" s="16" t="s">
        <v>1894</v>
      </c>
      <c r="D40" s="16" t="s">
        <v>1895</v>
      </c>
      <c r="E40" s="16" t="s">
        <v>39</v>
      </c>
      <c r="F40" s="16" t="s">
        <v>30</v>
      </c>
      <c r="G40" s="16" t="s">
        <v>31</v>
      </c>
      <c r="H40" s="16" t="s">
        <v>991</v>
      </c>
      <c r="I40" s="16" t="s">
        <v>2291</v>
      </c>
      <c r="J40" s="16" t="s">
        <v>2292</v>
      </c>
      <c r="K40" s="16" t="s">
        <v>39</v>
      </c>
      <c r="L40" s="16" t="s">
        <v>30</v>
      </c>
      <c r="M40" s="16" t="s">
        <v>31</v>
      </c>
      <c r="N40" s="16" t="s">
        <v>991</v>
      </c>
      <c r="Q40" s="17">
        <f>S40/T40</f>
        <v>0.18333333333333332</v>
      </c>
      <c r="S40" s="16">
        <f>MID(D40,FIND("x",D40)+7,4)*1</f>
        <v>1100</v>
      </c>
      <c r="T40" s="16">
        <v>6000</v>
      </c>
    </row>
    <row r="41" spans="1:20" x14ac:dyDescent="0.55000000000000004">
      <c r="A41" t="s">
        <v>222</v>
      </c>
      <c r="C41" t="s">
        <v>82</v>
      </c>
      <c r="D41" t="s">
        <v>83</v>
      </c>
      <c r="E41" t="s">
        <v>35</v>
      </c>
      <c r="F41" t="s">
        <v>30</v>
      </c>
      <c r="G41" t="s">
        <v>31</v>
      </c>
      <c r="H41" t="s">
        <v>36</v>
      </c>
      <c r="I41" t="s">
        <v>84</v>
      </c>
      <c r="J41" t="s">
        <v>85</v>
      </c>
      <c r="K41" t="s">
        <v>39</v>
      </c>
      <c r="L41" t="s">
        <v>30</v>
      </c>
      <c r="M41" t="s">
        <v>31</v>
      </c>
      <c r="N41" s="11" t="s">
        <v>991</v>
      </c>
      <c r="Q41" s="4">
        <v>1</v>
      </c>
    </row>
    <row r="42" spans="1:20" x14ac:dyDescent="0.55000000000000004">
      <c r="A42" t="s">
        <v>227</v>
      </c>
      <c r="C42" t="s">
        <v>84</v>
      </c>
      <c r="D42" t="s">
        <v>85</v>
      </c>
      <c r="E42" t="s">
        <v>39</v>
      </c>
      <c r="F42" t="s">
        <v>30</v>
      </c>
      <c r="G42" t="s">
        <v>31</v>
      </c>
      <c r="H42" s="11" t="s">
        <v>991</v>
      </c>
      <c r="I42" t="s">
        <v>1863</v>
      </c>
      <c r="J42" t="s">
        <v>1864</v>
      </c>
      <c r="K42" t="s">
        <v>362</v>
      </c>
      <c r="L42" t="s">
        <v>30</v>
      </c>
      <c r="M42" t="s">
        <v>31</v>
      </c>
      <c r="Q42" s="4">
        <v>1</v>
      </c>
    </row>
    <row r="43" spans="1:20" x14ac:dyDescent="0.55000000000000004">
      <c r="A43" t="s">
        <v>232</v>
      </c>
      <c r="C43" t="s">
        <v>84</v>
      </c>
      <c r="D43" t="s">
        <v>85</v>
      </c>
      <c r="E43" t="s">
        <v>39</v>
      </c>
      <c r="F43" t="s">
        <v>30</v>
      </c>
      <c r="G43" t="s">
        <v>31</v>
      </c>
      <c r="H43" s="11" t="s">
        <v>991</v>
      </c>
      <c r="I43" t="s">
        <v>1898</v>
      </c>
      <c r="J43" t="s">
        <v>1899</v>
      </c>
      <c r="K43" t="s">
        <v>39</v>
      </c>
      <c r="L43" t="s">
        <v>30</v>
      </c>
      <c r="M43" t="s">
        <v>31</v>
      </c>
      <c r="N43" t="s">
        <v>991</v>
      </c>
      <c r="Q43" s="4">
        <v>1</v>
      </c>
    </row>
    <row r="44" spans="1:20" s="16" customFormat="1" ht="18.5" thickBot="1" x14ac:dyDescent="0.6">
      <c r="A44" s="16" t="s">
        <v>237</v>
      </c>
      <c r="C44" s="16" t="s">
        <v>1898</v>
      </c>
      <c r="D44" s="16" t="s">
        <v>1899</v>
      </c>
      <c r="E44" s="16" t="s">
        <v>39</v>
      </c>
      <c r="F44" s="16" t="s">
        <v>30</v>
      </c>
      <c r="G44" s="16" t="s">
        <v>31</v>
      </c>
      <c r="H44" s="16" t="s">
        <v>991</v>
      </c>
      <c r="I44" s="16" t="s">
        <v>2291</v>
      </c>
      <c r="J44" s="16" t="s">
        <v>2292</v>
      </c>
      <c r="K44" s="16" t="s">
        <v>39</v>
      </c>
      <c r="L44" s="16" t="s">
        <v>30</v>
      </c>
      <c r="M44" s="16" t="s">
        <v>31</v>
      </c>
      <c r="N44" s="16" t="s">
        <v>991</v>
      </c>
      <c r="Q44" s="17">
        <f>S44/T44</f>
        <v>0.2</v>
      </c>
      <c r="S44" s="16">
        <f>MID(D44,FIND("x",D44)+7,4)*1</f>
        <v>1200</v>
      </c>
      <c r="T44" s="16">
        <v>6000</v>
      </c>
    </row>
    <row r="45" spans="1:20" x14ac:dyDescent="0.55000000000000004">
      <c r="A45" t="s">
        <v>242</v>
      </c>
      <c r="C45" t="s">
        <v>87</v>
      </c>
      <c r="D45" t="s">
        <v>88</v>
      </c>
      <c r="E45" t="s">
        <v>35</v>
      </c>
      <c r="F45" t="s">
        <v>30</v>
      </c>
      <c r="G45" t="s">
        <v>31</v>
      </c>
      <c r="H45" t="s">
        <v>36</v>
      </c>
      <c r="I45" t="s">
        <v>89</v>
      </c>
      <c r="J45" t="s">
        <v>90</v>
      </c>
      <c r="K45" t="s">
        <v>39</v>
      </c>
      <c r="L45" t="s">
        <v>30</v>
      </c>
      <c r="M45" t="s">
        <v>31</v>
      </c>
      <c r="N45" s="11" t="s">
        <v>991</v>
      </c>
      <c r="Q45" s="4">
        <v>1</v>
      </c>
    </row>
    <row r="46" spans="1:20" x14ac:dyDescent="0.55000000000000004">
      <c r="A46" t="s">
        <v>247</v>
      </c>
      <c r="C46" t="s">
        <v>89</v>
      </c>
      <c r="D46" t="s">
        <v>90</v>
      </c>
      <c r="E46" t="s">
        <v>39</v>
      </c>
      <c r="F46" t="s">
        <v>30</v>
      </c>
      <c r="G46" t="s">
        <v>31</v>
      </c>
      <c r="H46" s="11" t="s">
        <v>991</v>
      </c>
      <c r="I46" t="s">
        <v>1863</v>
      </c>
      <c r="J46" t="s">
        <v>1864</v>
      </c>
      <c r="K46" t="s">
        <v>362</v>
      </c>
      <c r="L46" t="s">
        <v>30</v>
      </c>
      <c r="M46" t="s">
        <v>31</v>
      </c>
      <c r="Q46" s="4">
        <v>1</v>
      </c>
    </row>
    <row r="47" spans="1:20" x14ac:dyDescent="0.55000000000000004">
      <c r="A47" t="s">
        <v>252</v>
      </c>
      <c r="C47" t="s">
        <v>89</v>
      </c>
      <c r="D47" t="s">
        <v>90</v>
      </c>
      <c r="E47" t="s">
        <v>39</v>
      </c>
      <c r="F47" t="s">
        <v>30</v>
      </c>
      <c r="G47" t="s">
        <v>31</v>
      </c>
      <c r="H47" s="11" t="s">
        <v>991</v>
      </c>
      <c r="I47" t="s">
        <v>1902</v>
      </c>
      <c r="J47" t="s">
        <v>1903</v>
      </c>
      <c r="K47" t="s">
        <v>39</v>
      </c>
      <c r="L47" t="s">
        <v>30</v>
      </c>
      <c r="M47" t="s">
        <v>31</v>
      </c>
      <c r="N47" t="s">
        <v>991</v>
      </c>
      <c r="Q47" s="4">
        <v>1</v>
      </c>
    </row>
    <row r="48" spans="1:20" s="16" customFormat="1" ht="18.5" thickBot="1" x14ac:dyDescent="0.6">
      <c r="A48" s="16" t="s">
        <v>257</v>
      </c>
      <c r="C48" s="16" t="s">
        <v>1902</v>
      </c>
      <c r="D48" s="16" t="s">
        <v>1903</v>
      </c>
      <c r="E48" s="16" t="s">
        <v>39</v>
      </c>
      <c r="F48" s="16" t="s">
        <v>30</v>
      </c>
      <c r="G48" s="16" t="s">
        <v>31</v>
      </c>
      <c r="H48" s="16" t="s">
        <v>991</v>
      </c>
      <c r="I48" s="16" t="s">
        <v>2291</v>
      </c>
      <c r="J48" s="16" t="s">
        <v>2292</v>
      </c>
      <c r="K48" s="16" t="s">
        <v>39</v>
      </c>
      <c r="L48" s="16" t="s">
        <v>30</v>
      </c>
      <c r="M48" s="16" t="s">
        <v>31</v>
      </c>
      <c r="N48" s="16" t="s">
        <v>991</v>
      </c>
      <c r="Q48" s="17">
        <f>S48/T48</f>
        <v>0.21666666666666667</v>
      </c>
      <c r="S48" s="16">
        <f>MID(D48,FIND("x",D48)+7,4)*1</f>
        <v>1300</v>
      </c>
      <c r="T48" s="16">
        <v>6000</v>
      </c>
    </row>
    <row r="49" spans="1:20" x14ac:dyDescent="0.55000000000000004">
      <c r="A49" t="s">
        <v>262</v>
      </c>
      <c r="C49" t="s">
        <v>3395</v>
      </c>
      <c r="D49" t="s">
        <v>3396</v>
      </c>
      <c r="E49" t="s">
        <v>35</v>
      </c>
      <c r="F49" t="s">
        <v>30</v>
      </c>
      <c r="G49" t="s">
        <v>31</v>
      </c>
      <c r="H49" t="s">
        <v>36</v>
      </c>
      <c r="I49" t="s">
        <v>3397</v>
      </c>
      <c r="J49" t="s">
        <v>3398</v>
      </c>
      <c r="K49" t="s">
        <v>39</v>
      </c>
      <c r="L49" t="s">
        <v>30</v>
      </c>
      <c r="M49" t="s">
        <v>31</v>
      </c>
      <c r="N49" t="s">
        <v>991</v>
      </c>
      <c r="Q49" s="4">
        <v>1</v>
      </c>
    </row>
    <row r="50" spans="1:20" x14ac:dyDescent="0.55000000000000004">
      <c r="A50" t="s">
        <v>267</v>
      </c>
      <c r="C50" t="s">
        <v>3397</v>
      </c>
      <c r="D50" t="s">
        <v>3398</v>
      </c>
      <c r="E50" t="s">
        <v>39</v>
      </c>
      <c r="F50" t="s">
        <v>30</v>
      </c>
      <c r="G50" t="s">
        <v>31</v>
      </c>
      <c r="H50" s="11" t="s">
        <v>991</v>
      </c>
      <c r="I50" t="s">
        <v>1863</v>
      </c>
      <c r="J50" t="s">
        <v>1864</v>
      </c>
      <c r="K50" t="s">
        <v>362</v>
      </c>
      <c r="L50" t="s">
        <v>30</v>
      </c>
      <c r="M50" t="s">
        <v>31</v>
      </c>
      <c r="Q50" s="4">
        <v>1</v>
      </c>
    </row>
    <row r="51" spans="1:20" x14ac:dyDescent="0.55000000000000004">
      <c r="A51" t="s">
        <v>272</v>
      </c>
      <c r="C51" t="s">
        <v>3397</v>
      </c>
      <c r="D51" t="s">
        <v>3398</v>
      </c>
      <c r="E51" t="s">
        <v>39</v>
      </c>
      <c r="F51" t="s">
        <v>30</v>
      </c>
      <c r="G51" t="s">
        <v>31</v>
      </c>
      <c r="H51" s="11" t="s">
        <v>991</v>
      </c>
      <c r="I51" t="s">
        <v>3707</v>
      </c>
      <c r="J51" t="s">
        <v>3708</v>
      </c>
      <c r="K51" t="s">
        <v>39</v>
      </c>
      <c r="L51" t="s">
        <v>30</v>
      </c>
      <c r="M51" t="s">
        <v>31</v>
      </c>
      <c r="N51" t="s">
        <v>991</v>
      </c>
      <c r="Q51" s="4">
        <v>1</v>
      </c>
    </row>
    <row r="52" spans="1:20" s="16" customFormat="1" ht="18.5" thickBot="1" x14ac:dyDescent="0.6">
      <c r="A52" s="16" t="s">
        <v>277</v>
      </c>
      <c r="C52" s="16" t="s">
        <v>3707</v>
      </c>
      <c r="D52" s="16" t="s">
        <v>3708</v>
      </c>
      <c r="E52" s="16" t="s">
        <v>39</v>
      </c>
      <c r="F52" s="16" t="s">
        <v>30</v>
      </c>
      <c r="G52" s="16" t="s">
        <v>31</v>
      </c>
      <c r="H52" s="16" t="s">
        <v>991</v>
      </c>
      <c r="I52" s="16" t="s">
        <v>2291</v>
      </c>
      <c r="J52" s="16" t="s">
        <v>2292</v>
      </c>
      <c r="K52" s="16" t="s">
        <v>39</v>
      </c>
      <c r="L52" s="16" t="s">
        <v>30</v>
      </c>
      <c r="M52" s="16" t="s">
        <v>31</v>
      </c>
      <c r="N52" s="16" t="s">
        <v>991</v>
      </c>
      <c r="Q52" s="17">
        <f>S52/T52</f>
        <v>0.23333333333333334</v>
      </c>
      <c r="S52" s="16">
        <f>MID(D52,FIND("x",D52)+7,4)*1</f>
        <v>1400</v>
      </c>
      <c r="T52" s="16">
        <v>6000</v>
      </c>
    </row>
    <row r="53" spans="1:20" x14ac:dyDescent="0.55000000000000004">
      <c r="A53" t="s">
        <v>282</v>
      </c>
      <c r="C53" t="s">
        <v>3399</v>
      </c>
      <c r="D53" t="s">
        <v>3400</v>
      </c>
      <c r="E53" t="s">
        <v>35</v>
      </c>
      <c r="F53" t="s">
        <v>30</v>
      </c>
      <c r="G53" t="s">
        <v>31</v>
      </c>
      <c r="H53" t="s">
        <v>36</v>
      </c>
      <c r="I53" t="s">
        <v>3401</v>
      </c>
      <c r="J53" t="s">
        <v>3402</v>
      </c>
      <c r="K53" t="s">
        <v>39</v>
      </c>
      <c r="L53" t="s">
        <v>30</v>
      </c>
      <c r="M53" t="s">
        <v>31</v>
      </c>
      <c r="N53" t="s">
        <v>991</v>
      </c>
      <c r="Q53" s="4">
        <v>1</v>
      </c>
    </row>
    <row r="54" spans="1:20" x14ac:dyDescent="0.55000000000000004">
      <c r="A54" t="s">
        <v>287</v>
      </c>
      <c r="C54" t="s">
        <v>3401</v>
      </c>
      <c r="D54" t="s">
        <v>3402</v>
      </c>
      <c r="E54" t="s">
        <v>39</v>
      </c>
      <c r="F54" t="s">
        <v>30</v>
      </c>
      <c r="G54" t="s">
        <v>31</v>
      </c>
      <c r="H54" s="11" t="s">
        <v>991</v>
      </c>
      <c r="I54" t="s">
        <v>1863</v>
      </c>
      <c r="J54" t="s">
        <v>1864</v>
      </c>
      <c r="K54" t="s">
        <v>362</v>
      </c>
      <c r="L54" t="s">
        <v>30</v>
      </c>
      <c r="M54" t="s">
        <v>31</v>
      </c>
      <c r="Q54" s="4">
        <v>1</v>
      </c>
    </row>
    <row r="55" spans="1:20" x14ac:dyDescent="0.55000000000000004">
      <c r="A55" t="s">
        <v>292</v>
      </c>
      <c r="C55" t="s">
        <v>3401</v>
      </c>
      <c r="D55" t="s">
        <v>3402</v>
      </c>
      <c r="E55" t="s">
        <v>39</v>
      </c>
      <c r="F55" t="s">
        <v>30</v>
      </c>
      <c r="G55" t="s">
        <v>31</v>
      </c>
      <c r="H55" s="11" t="s">
        <v>991</v>
      </c>
      <c r="I55" t="s">
        <v>3709</v>
      </c>
      <c r="J55" t="s">
        <v>3710</v>
      </c>
      <c r="K55" t="s">
        <v>39</v>
      </c>
      <c r="L55" t="s">
        <v>30</v>
      </c>
      <c r="M55" t="s">
        <v>31</v>
      </c>
      <c r="N55" t="s">
        <v>991</v>
      </c>
      <c r="Q55" s="4">
        <v>1</v>
      </c>
    </row>
    <row r="56" spans="1:20" s="16" customFormat="1" ht="18.5" thickBot="1" x14ac:dyDescent="0.6">
      <c r="A56" s="16" t="s">
        <v>297</v>
      </c>
      <c r="C56" s="16" t="s">
        <v>3709</v>
      </c>
      <c r="D56" s="16" t="s">
        <v>3710</v>
      </c>
      <c r="E56" s="16" t="s">
        <v>39</v>
      </c>
      <c r="F56" s="16" t="s">
        <v>30</v>
      </c>
      <c r="G56" s="16" t="s">
        <v>31</v>
      </c>
      <c r="H56" s="16" t="s">
        <v>991</v>
      </c>
      <c r="I56" s="16" t="s">
        <v>2291</v>
      </c>
      <c r="J56" s="16" t="s">
        <v>2292</v>
      </c>
      <c r="K56" s="16" t="s">
        <v>39</v>
      </c>
      <c r="L56" s="16" t="s">
        <v>30</v>
      </c>
      <c r="M56" s="16" t="s">
        <v>31</v>
      </c>
      <c r="N56" s="16" t="s">
        <v>991</v>
      </c>
      <c r="Q56" s="17">
        <f>S56/T56</f>
        <v>0.25</v>
      </c>
      <c r="S56" s="16">
        <f>MID(D56,FIND("x",D56)+7,4)*1</f>
        <v>1500</v>
      </c>
      <c r="T56" s="16">
        <v>6000</v>
      </c>
    </row>
    <row r="57" spans="1:20" x14ac:dyDescent="0.55000000000000004">
      <c r="A57" t="s">
        <v>302</v>
      </c>
      <c r="C57" t="s">
        <v>3403</v>
      </c>
      <c r="D57" t="s">
        <v>3404</v>
      </c>
      <c r="E57" t="s">
        <v>35</v>
      </c>
      <c r="F57" t="s">
        <v>30</v>
      </c>
      <c r="G57" t="s">
        <v>31</v>
      </c>
      <c r="H57" t="s">
        <v>36</v>
      </c>
      <c r="I57" t="s">
        <v>3405</v>
      </c>
      <c r="J57" t="s">
        <v>3406</v>
      </c>
      <c r="K57" t="s">
        <v>39</v>
      </c>
      <c r="L57" t="s">
        <v>30</v>
      </c>
      <c r="M57" t="s">
        <v>31</v>
      </c>
      <c r="N57" t="s">
        <v>991</v>
      </c>
      <c r="Q57" s="4">
        <v>1</v>
      </c>
    </row>
    <row r="58" spans="1:20" x14ac:dyDescent="0.55000000000000004">
      <c r="A58" t="s">
        <v>307</v>
      </c>
      <c r="C58" t="s">
        <v>3405</v>
      </c>
      <c r="D58" t="s">
        <v>3406</v>
      </c>
      <c r="E58" t="s">
        <v>39</v>
      </c>
      <c r="F58" t="s">
        <v>30</v>
      </c>
      <c r="G58" t="s">
        <v>31</v>
      </c>
      <c r="H58" s="11" t="s">
        <v>991</v>
      </c>
      <c r="I58" t="s">
        <v>1863</v>
      </c>
      <c r="J58" t="s">
        <v>1864</v>
      </c>
      <c r="K58" t="s">
        <v>362</v>
      </c>
      <c r="L58" t="s">
        <v>30</v>
      </c>
      <c r="M58" t="s">
        <v>31</v>
      </c>
      <c r="Q58" s="4">
        <v>1</v>
      </c>
    </row>
    <row r="59" spans="1:20" x14ac:dyDescent="0.55000000000000004">
      <c r="A59" t="s">
        <v>312</v>
      </c>
      <c r="C59" t="s">
        <v>3405</v>
      </c>
      <c r="D59" t="s">
        <v>3406</v>
      </c>
      <c r="E59" t="s">
        <v>39</v>
      </c>
      <c r="F59" t="s">
        <v>30</v>
      </c>
      <c r="G59" t="s">
        <v>31</v>
      </c>
      <c r="H59" s="11" t="s">
        <v>991</v>
      </c>
      <c r="I59" t="s">
        <v>3711</v>
      </c>
      <c r="J59" t="s">
        <v>3712</v>
      </c>
      <c r="K59" t="s">
        <v>39</v>
      </c>
      <c r="L59" t="s">
        <v>30</v>
      </c>
      <c r="M59" t="s">
        <v>31</v>
      </c>
      <c r="N59" t="s">
        <v>991</v>
      </c>
      <c r="Q59" s="4">
        <v>1</v>
      </c>
    </row>
    <row r="60" spans="1:20" s="16" customFormat="1" ht="18.5" thickBot="1" x14ac:dyDescent="0.6">
      <c r="A60" s="16" t="s">
        <v>317</v>
      </c>
      <c r="C60" s="16" t="s">
        <v>3711</v>
      </c>
      <c r="D60" s="16" t="s">
        <v>3712</v>
      </c>
      <c r="E60" s="16" t="s">
        <v>39</v>
      </c>
      <c r="F60" s="16" t="s">
        <v>30</v>
      </c>
      <c r="G60" s="16" t="s">
        <v>31</v>
      </c>
      <c r="H60" s="16" t="s">
        <v>991</v>
      </c>
      <c r="I60" s="16" t="s">
        <v>2291</v>
      </c>
      <c r="J60" s="16" t="s">
        <v>2292</v>
      </c>
      <c r="K60" s="16" t="s">
        <v>39</v>
      </c>
      <c r="L60" s="16" t="s">
        <v>30</v>
      </c>
      <c r="M60" s="16" t="s">
        <v>31</v>
      </c>
      <c r="N60" s="16" t="s">
        <v>991</v>
      </c>
      <c r="Q60" s="17">
        <f>S60/T60</f>
        <v>0.26666666666666666</v>
      </c>
      <c r="S60" s="16">
        <f>MID(D60,FIND("x",D60)+7,4)*1</f>
        <v>1600</v>
      </c>
      <c r="T60" s="16">
        <v>6000</v>
      </c>
    </row>
    <row r="61" spans="1:20" x14ac:dyDescent="0.55000000000000004">
      <c r="A61" t="s">
        <v>322</v>
      </c>
      <c r="C61" t="s">
        <v>3407</v>
      </c>
      <c r="D61" t="s">
        <v>3408</v>
      </c>
      <c r="E61" t="s">
        <v>35</v>
      </c>
      <c r="F61" t="s">
        <v>30</v>
      </c>
      <c r="G61" t="s">
        <v>31</v>
      </c>
      <c r="H61" t="s">
        <v>36</v>
      </c>
      <c r="I61" t="s">
        <v>3409</v>
      </c>
      <c r="J61" t="s">
        <v>3410</v>
      </c>
      <c r="K61" t="s">
        <v>39</v>
      </c>
      <c r="L61" t="s">
        <v>30</v>
      </c>
      <c r="M61" t="s">
        <v>31</v>
      </c>
      <c r="N61" t="s">
        <v>991</v>
      </c>
      <c r="Q61" s="4">
        <v>1</v>
      </c>
    </row>
    <row r="62" spans="1:20" x14ac:dyDescent="0.55000000000000004">
      <c r="A62" t="s">
        <v>327</v>
      </c>
      <c r="C62" t="s">
        <v>3409</v>
      </c>
      <c r="D62" t="s">
        <v>3410</v>
      </c>
      <c r="E62" t="s">
        <v>39</v>
      </c>
      <c r="F62" t="s">
        <v>30</v>
      </c>
      <c r="G62" t="s">
        <v>31</v>
      </c>
      <c r="H62" s="11" t="s">
        <v>991</v>
      </c>
      <c r="I62" t="s">
        <v>1863</v>
      </c>
      <c r="J62" t="s">
        <v>1864</v>
      </c>
      <c r="K62" t="s">
        <v>362</v>
      </c>
      <c r="L62" t="s">
        <v>30</v>
      </c>
      <c r="M62" t="s">
        <v>31</v>
      </c>
      <c r="Q62" s="4">
        <v>1</v>
      </c>
    </row>
    <row r="63" spans="1:20" x14ac:dyDescent="0.55000000000000004">
      <c r="A63" t="s">
        <v>332</v>
      </c>
      <c r="C63" t="s">
        <v>3409</v>
      </c>
      <c r="D63" t="s">
        <v>3410</v>
      </c>
      <c r="E63" t="s">
        <v>39</v>
      </c>
      <c r="F63" t="s">
        <v>30</v>
      </c>
      <c r="G63" t="s">
        <v>31</v>
      </c>
      <c r="H63" s="11" t="s">
        <v>991</v>
      </c>
      <c r="I63" t="s">
        <v>3713</v>
      </c>
      <c r="J63" t="s">
        <v>3714</v>
      </c>
      <c r="K63" t="s">
        <v>39</v>
      </c>
      <c r="L63" t="s">
        <v>30</v>
      </c>
      <c r="M63" t="s">
        <v>31</v>
      </c>
      <c r="N63" t="s">
        <v>991</v>
      </c>
      <c r="Q63" s="4">
        <v>1</v>
      </c>
    </row>
    <row r="64" spans="1:20" s="16" customFormat="1" ht="18.5" thickBot="1" x14ac:dyDescent="0.6">
      <c r="A64" s="16" t="s">
        <v>337</v>
      </c>
      <c r="C64" s="16" t="s">
        <v>3713</v>
      </c>
      <c r="D64" s="16" t="s">
        <v>3714</v>
      </c>
      <c r="E64" s="16" t="s">
        <v>39</v>
      </c>
      <c r="F64" s="16" t="s">
        <v>30</v>
      </c>
      <c r="G64" s="16" t="s">
        <v>31</v>
      </c>
      <c r="H64" s="16" t="s">
        <v>991</v>
      </c>
      <c r="I64" s="16" t="s">
        <v>2291</v>
      </c>
      <c r="J64" s="16" t="s">
        <v>2292</v>
      </c>
      <c r="K64" s="16" t="s">
        <v>39</v>
      </c>
      <c r="L64" s="16" t="s">
        <v>30</v>
      </c>
      <c r="M64" s="16" t="s">
        <v>31</v>
      </c>
      <c r="N64" s="16" t="s">
        <v>991</v>
      </c>
      <c r="Q64" s="17">
        <f>S64/T64</f>
        <v>0.28333333333333333</v>
      </c>
      <c r="S64" s="16">
        <f>MID(D64,FIND("x",D64)+7,4)*1</f>
        <v>1700</v>
      </c>
      <c r="T64" s="16">
        <v>6000</v>
      </c>
    </row>
    <row r="65" spans="1:20" x14ac:dyDescent="0.55000000000000004">
      <c r="A65" t="s">
        <v>342</v>
      </c>
      <c r="C65" t="s">
        <v>3411</v>
      </c>
      <c r="D65" t="s">
        <v>3412</v>
      </c>
      <c r="E65" t="s">
        <v>35</v>
      </c>
      <c r="F65" t="s">
        <v>30</v>
      </c>
      <c r="G65" t="s">
        <v>31</v>
      </c>
      <c r="H65" t="s">
        <v>36</v>
      </c>
      <c r="I65" t="s">
        <v>3413</v>
      </c>
      <c r="J65" t="s">
        <v>3414</v>
      </c>
      <c r="K65" t="s">
        <v>39</v>
      </c>
      <c r="L65" t="s">
        <v>30</v>
      </c>
      <c r="M65" t="s">
        <v>31</v>
      </c>
      <c r="N65" t="s">
        <v>991</v>
      </c>
      <c r="Q65" s="4">
        <v>1</v>
      </c>
    </row>
    <row r="66" spans="1:20" x14ac:dyDescent="0.55000000000000004">
      <c r="A66" t="s">
        <v>347</v>
      </c>
      <c r="C66" t="s">
        <v>3413</v>
      </c>
      <c r="D66" t="s">
        <v>3414</v>
      </c>
      <c r="E66" t="s">
        <v>39</v>
      </c>
      <c r="F66" t="s">
        <v>30</v>
      </c>
      <c r="G66" t="s">
        <v>31</v>
      </c>
      <c r="H66" s="11" t="s">
        <v>991</v>
      </c>
      <c r="I66" t="s">
        <v>1863</v>
      </c>
      <c r="J66" t="s">
        <v>1864</v>
      </c>
      <c r="K66" t="s">
        <v>362</v>
      </c>
      <c r="L66" t="s">
        <v>30</v>
      </c>
      <c r="M66" t="s">
        <v>31</v>
      </c>
      <c r="Q66" s="4">
        <v>1</v>
      </c>
    </row>
    <row r="67" spans="1:20" x14ac:dyDescent="0.55000000000000004">
      <c r="A67" t="s">
        <v>352</v>
      </c>
      <c r="C67" t="s">
        <v>3413</v>
      </c>
      <c r="D67" t="s">
        <v>3414</v>
      </c>
      <c r="E67" t="s">
        <v>39</v>
      </c>
      <c r="F67" t="s">
        <v>30</v>
      </c>
      <c r="G67" t="s">
        <v>31</v>
      </c>
      <c r="H67" s="11" t="s">
        <v>991</v>
      </c>
      <c r="I67" t="s">
        <v>3715</v>
      </c>
      <c r="J67" t="s">
        <v>3716</v>
      </c>
      <c r="K67" t="s">
        <v>39</v>
      </c>
      <c r="L67" t="s">
        <v>30</v>
      </c>
      <c r="M67" t="s">
        <v>31</v>
      </c>
      <c r="N67" t="s">
        <v>991</v>
      </c>
      <c r="Q67" s="4">
        <v>1</v>
      </c>
    </row>
    <row r="68" spans="1:20" s="16" customFormat="1" ht="18.5" thickBot="1" x14ac:dyDescent="0.6">
      <c r="A68" s="16" t="s">
        <v>357</v>
      </c>
      <c r="C68" s="16" t="s">
        <v>3715</v>
      </c>
      <c r="D68" s="16" t="s">
        <v>3716</v>
      </c>
      <c r="E68" s="16" t="s">
        <v>39</v>
      </c>
      <c r="F68" s="16" t="s">
        <v>30</v>
      </c>
      <c r="G68" s="16" t="s">
        <v>31</v>
      </c>
      <c r="H68" s="16" t="s">
        <v>991</v>
      </c>
      <c r="I68" s="16" t="s">
        <v>2291</v>
      </c>
      <c r="J68" s="16" t="s">
        <v>2292</v>
      </c>
      <c r="K68" s="16" t="s">
        <v>39</v>
      </c>
      <c r="L68" s="16" t="s">
        <v>30</v>
      </c>
      <c r="M68" s="16" t="s">
        <v>31</v>
      </c>
      <c r="N68" s="16" t="s">
        <v>991</v>
      </c>
      <c r="Q68" s="17">
        <f>S68/T68</f>
        <v>0.3</v>
      </c>
      <c r="S68" s="16">
        <f>MID(D68,FIND("x",D68)+7,4)*1</f>
        <v>1800</v>
      </c>
      <c r="T68" s="16">
        <v>6000</v>
      </c>
    </row>
    <row r="69" spans="1:20" x14ac:dyDescent="0.55000000000000004">
      <c r="A69" t="s">
        <v>363</v>
      </c>
      <c r="C69" t="s">
        <v>3415</v>
      </c>
      <c r="D69" t="s">
        <v>3416</v>
      </c>
      <c r="E69" t="s">
        <v>35</v>
      </c>
      <c r="F69" t="s">
        <v>30</v>
      </c>
      <c r="G69" t="s">
        <v>31</v>
      </c>
      <c r="H69" t="s">
        <v>36</v>
      </c>
      <c r="I69" t="s">
        <v>3417</v>
      </c>
      <c r="J69" t="s">
        <v>3418</v>
      </c>
      <c r="K69" t="s">
        <v>39</v>
      </c>
      <c r="L69" t="s">
        <v>30</v>
      </c>
      <c r="M69" t="s">
        <v>31</v>
      </c>
      <c r="N69" t="s">
        <v>991</v>
      </c>
      <c r="Q69" s="4">
        <v>1</v>
      </c>
      <c r="S69">
        <v>400</v>
      </c>
    </row>
    <row r="70" spans="1:20" x14ac:dyDescent="0.55000000000000004">
      <c r="A70" t="s">
        <v>368</v>
      </c>
      <c r="C70" t="s">
        <v>3417</v>
      </c>
      <c r="D70" t="s">
        <v>3418</v>
      </c>
      <c r="E70" t="s">
        <v>39</v>
      </c>
      <c r="F70" t="s">
        <v>30</v>
      </c>
      <c r="G70" t="s">
        <v>31</v>
      </c>
      <c r="H70" s="11" t="s">
        <v>991</v>
      </c>
      <c r="I70" t="s">
        <v>1863</v>
      </c>
      <c r="J70" t="s">
        <v>1864</v>
      </c>
      <c r="K70" t="s">
        <v>362</v>
      </c>
      <c r="L70" t="s">
        <v>30</v>
      </c>
      <c r="M70" t="s">
        <v>31</v>
      </c>
      <c r="Q70" s="4">
        <v>1</v>
      </c>
      <c r="S70">
        <v>500</v>
      </c>
    </row>
    <row r="71" spans="1:20" x14ac:dyDescent="0.55000000000000004">
      <c r="A71" t="s">
        <v>373</v>
      </c>
      <c r="C71" t="s">
        <v>3417</v>
      </c>
      <c r="D71" t="s">
        <v>3418</v>
      </c>
      <c r="E71" t="s">
        <v>39</v>
      </c>
      <c r="F71" t="s">
        <v>30</v>
      </c>
      <c r="G71" t="s">
        <v>31</v>
      </c>
      <c r="H71" s="11" t="s">
        <v>991</v>
      </c>
      <c r="I71" t="s">
        <v>3717</v>
      </c>
      <c r="J71" t="s">
        <v>3718</v>
      </c>
      <c r="K71" t="s">
        <v>39</v>
      </c>
      <c r="L71" t="s">
        <v>30</v>
      </c>
      <c r="M71" t="s">
        <v>31</v>
      </c>
      <c r="N71" t="s">
        <v>991</v>
      </c>
      <c r="Q71" s="4">
        <v>1</v>
      </c>
      <c r="S71">
        <v>600</v>
      </c>
    </row>
    <row r="72" spans="1:20" s="16" customFormat="1" ht="18.5" thickBot="1" x14ac:dyDescent="0.6">
      <c r="A72" s="16" t="s">
        <v>378</v>
      </c>
      <c r="C72" s="16" t="s">
        <v>3717</v>
      </c>
      <c r="D72" s="16" t="s">
        <v>3718</v>
      </c>
      <c r="E72" s="16" t="s">
        <v>39</v>
      </c>
      <c r="F72" s="16" t="s">
        <v>30</v>
      </c>
      <c r="G72" s="16" t="s">
        <v>31</v>
      </c>
      <c r="H72" s="16" t="s">
        <v>991</v>
      </c>
      <c r="I72" s="16" t="s">
        <v>2291</v>
      </c>
      <c r="J72" s="16" t="s">
        <v>2292</v>
      </c>
      <c r="K72" s="16" t="s">
        <v>39</v>
      </c>
      <c r="L72" s="16" t="s">
        <v>30</v>
      </c>
      <c r="M72" s="16" t="s">
        <v>31</v>
      </c>
      <c r="N72" s="16" t="s">
        <v>991</v>
      </c>
      <c r="Q72" s="17">
        <f>S72/T72</f>
        <v>0.31666666666666665</v>
      </c>
      <c r="S72" s="16">
        <f>MID(D72,FIND("x",D72)+7,4)*1</f>
        <v>1900</v>
      </c>
      <c r="T72" s="16">
        <v>6000</v>
      </c>
    </row>
    <row r="73" spans="1:20" x14ac:dyDescent="0.55000000000000004">
      <c r="A73" t="s">
        <v>383</v>
      </c>
      <c r="C73" t="s">
        <v>3419</v>
      </c>
      <c r="D73" t="s">
        <v>3420</v>
      </c>
      <c r="E73" t="s">
        <v>35</v>
      </c>
      <c r="F73" t="s">
        <v>30</v>
      </c>
      <c r="G73" t="s">
        <v>31</v>
      </c>
      <c r="H73" t="s">
        <v>36</v>
      </c>
      <c r="I73" t="s">
        <v>3421</v>
      </c>
      <c r="J73" t="s">
        <v>3422</v>
      </c>
      <c r="K73" t="s">
        <v>39</v>
      </c>
      <c r="L73" t="s">
        <v>30</v>
      </c>
      <c r="M73" t="s">
        <v>31</v>
      </c>
      <c r="N73" t="s">
        <v>991</v>
      </c>
      <c r="Q73" s="4">
        <v>1</v>
      </c>
      <c r="S73">
        <v>800</v>
      </c>
    </row>
    <row r="74" spans="1:20" x14ac:dyDescent="0.55000000000000004">
      <c r="A74" t="s">
        <v>388</v>
      </c>
      <c r="C74" t="s">
        <v>3421</v>
      </c>
      <c r="D74" t="s">
        <v>3422</v>
      </c>
      <c r="E74" t="s">
        <v>39</v>
      </c>
      <c r="F74" t="s">
        <v>30</v>
      </c>
      <c r="G74" t="s">
        <v>31</v>
      </c>
      <c r="H74" s="11" t="s">
        <v>991</v>
      </c>
      <c r="I74" t="s">
        <v>1863</v>
      </c>
      <c r="J74" t="s">
        <v>1864</v>
      </c>
      <c r="K74" t="s">
        <v>362</v>
      </c>
      <c r="L74" t="s">
        <v>30</v>
      </c>
      <c r="M74" t="s">
        <v>31</v>
      </c>
      <c r="Q74" s="4">
        <v>1</v>
      </c>
      <c r="S74">
        <v>900</v>
      </c>
    </row>
    <row r="75" spans="1:20" x14ac:dyDescent="0.55000000000000004">
      <c r="A75" t="s">
        <v>393</v>
      </c>
      <c r="C75" t="s">
        <v>3421</v>
      </c>
      <c r="D75" t="s">
        <v>3422</v>
      </c>
      <c r="E75" t="s">
        <v>39</v>
      </c>
      <c r="F75" t="s">
        <v>30</v>
      </c>
      <c r="G75" t="s">
        <v>31</v>
      </c>
      <c r="H75" s="11" t="s">
        <v>991</v>
      </c>
      <c r="I75" t="s">
        <v>3719</v>
      </c>
      <c r="J75" t="s">
        <v>3720</v>
      </c>
      <c r="K75" t="s">
        <v>39</v>
      </c>
      <c r="L75" t="s">
        <v>30</v>
      </c>
      <c r="M75" t="s">
        <v>31</v>
      </c>
      <c r="N75" t="s">
        <v>991</v>
      </c>
      <c r="Q75" s="4">
        <v>1</v>
      </c>
      <c r="S75">
        <v>1000</v>
      </c>
    </row>
    <row r="76" spans="1:20" s="16" customFormat="1" ht="18.5" thickBot="1" x14ac:dyDescent="0.6">
      <c r="A76" s="16" t="s">
        <v>398</v>
      </c>
      <c r="C76" s="16" t="s">
        <v>3719</v>
      </c>
      <c r="D76" s="16" t="s">
        <v>3720</v>
      </c>
      <c r="E76" s="16" t="s">
        <v>39</v>
      </c>
      <c r="F76" s="16" t="s">
        <v>30</v>
      </c>
      <c r="G76" s="16" t="s">
        <v>31</v>
      </c>
      <c r="H76" s="16" t="s">
        <v>991</v>
      </c>
      <c r="I76" s="16" t="s">
        <v>2291</v>
      </c>
      <c r="J76" s="16" t="s">
        <v>2292</v>
      </c>
      <c r="K76" s="16" t="s">
        <v>39</v>
      </c>
      <c r="L76" s="16" t="s">
        <v>30</v>
      </c>
      <c r="M76" s="16" t="s">
        <v>31</v>
      </c>
      <c r="N76" s="16" t="s">
        <v>991</v>
      </c>
      <c r="Q76" s="17">
        <f>S76/T76</f>
        <v>0.33333333333333331</v>
      </c>
      <c r="S76" s="16">
        <f>MID(D76,FIND("x",D76)+7,4)*1</f>
        <v>2000</v>
      </c>
      <c r="T76" s="16">
        <v>6000</v>
      </c>
    </row>
    <row r="77" spans="1:20" x14ac:dyDescent="0.55000000000000004">
      <c r="A77" t="s">
        <v>403</v>
      </c>
      <c r="C77" t="s">
        <v>3423</v>
      </c>
      <c r="D77" t="s">
        <v>3424</v>
      </c>
      <c r="E77" t="s">
        <v>35</v>
      </c>
      <c r="F77" t="s">
        <v>30</v>
      </c>
      <c r="G77" t="s">
        <v>31</v>
      </c>
      <c r="H77" t="s">
        <v>36</v>
      </c>
      <c r="I77" t="s">
        <v>3425</v>
      </c>
      <c r="J77" t="s">
        <v>3426</v>
      </c>
      <c r="K77" t="s">
        <v>39</v>
      </c>
      <c r="L77" t="s">
        <v>30</v>
      </c>
      <c r="M77" t="s">
        <v>31</v>
      </c>
      <c r="N77" t="s">
        <v>991</v>
      </c>
      <c r="Q77" s="4">
        <v>1</v>
      </c>
      <c r="S77">
        <v>1200</v>
      </c>
    </row>
    <row r="78" spans="1:20" x14ac:dyDescent="0.55000000000000004">
      <c r="A78" t="s">
        <v>408</v>
      </c>
      <c r="C78" t="s">
        <v>3425</v>
      </c>
      <c r="D78" t="s">
        <v>3426</v>
      </c>
      <c r="E78" t="s">
        <v>39</v>
      </c>
      <c r="F78" t="s">
        <v>30</v>
      </c>
      <c r="G78" t="s">
        <v>31</v>
      </c>
      <c r="H78" s="11" t="s">
        <v>991</v>
      </c>
      <c r="I78" t="s">
        <v>1863</v>
      </c>
      <c r="J78" t="s">
        <v>1864</v>
      </c>
      <c r="K78" t="s">
        <v>362</v>
      </c>
      <c r="L78" t="s">
        <v>30</v>
      </c>
      <c r="M78" t="s">
        <v>31</v>
      </c>
      <c r="Q78" s="4">
        <v>1</v>
      </c>
      <c r="S78">
        <v>1300</v>
      </c>
    </row>
    <row r="79" spans="1:20" x14ac:dyDescent="0.55000000000000004">
      <c r="A79" t="s">
        <v>413</v>
      </c>
      <c r="C79" t="s">
        <v>3425</v>
      </c>
      <c r="D79" t="s">
        <v>3426</v>
      </c>
      <c r="E79" t="s">
        <v>39</v>
      </c>
      <c r="F79" t="s">
        <v>30</v>
      </c>
      <c r="G79" t="s">
        <v>31</v>
      </c>
      <c r="H79" s="11" t="s">
        <v>991</v>
      </c>
      <c r="I79" t="s">
        <v>3721</v>
      </c>
      <c r="J79" t="s">
        <v>3722</v>
      </c>
      <c r="K79" t="s">
        <v>39</v>
      </c>
      <c r="L79" t="s">
        <v>30</v>
      </c>
      <c r="M79" t="s">
        <v>31</v>
      </c>
      <c r="N79" t="s">
        <v>991</v>
      </c>
      <c r="Q79" s="4">
        <v>1</v>
      </c>
      <c r="S79">
        <v>1400</v>
      </c>
    </row>
    <row r="80" spans="1:20" s="16" customFormat="1" ht="18.5" thickBot="1" x14ac:dyDescent="0.6">
      <c r="A80" s="16" t="s">
        <v>418</v>
      </c>
      <c r="C80" s="16" t="s">
        <v>3721</v>
      </c>
      <c r="D80" s="16" t="s">
        <v>3722</v>
      </c>
      <c r="E80" s="16" t="s">
        <v>39</v>
      </c>
      <c r="F80" s="16" t="s">
        <v>30</v>
      </c>
      <c r="G80" s="16" t="s">
        <v>31</v>
      </c>
      <c r="H80" s="16" t="s">
        <v>991</v>
      </c>
      <c r="I80" s="16" t="s">
        <v>2291</v>
      </c>
      <c r="J80" s="16" t="s">
        <v>2292</v>
      </c>
      <c r="K80" s="16" t="s">
        <v>39</v>
      </c>
      <c r="L80" s="16" t="s">
        <v>30</v>
      </c>
      <c r="M80" s="16" t="s">
        <v>31</v>
      </c>
      <c r="N80" s="16" t="s">
        <v>991</v>
      </c>
      <c r="Q80" s="17">
        <f>S80/T80</f>
        <v>0.35</v>
      </c>
      <c r="S80" s="16">
        <f>MID(D80,FIND("x",D80)+7,4)*1</f>
        <v>2100</v>
      </c>
      <c r="T80" s="16">
        <v>6000</v>
      </c>
    </row>
    <row r="81" spans="1:20" x14ac:dyDescent="0.55000000000000004">
      <c r="A81" t="s">
        <v>423</v>
      </c>
      <c r="C81" t="s">
        <v>3427</v>
      </c>
      <c r="D81" t="s">
        <v>3428</v>
      </c>
      <c r="E81" t="s">
        <v>35</v>
      </c>
      <c r="F81" t="s">
        <v>30</v>
      </c>
      <c r="G81" t="s">
        <v>31</v>
      </c>
      <c r="H81" t="s">
        <v>36</v>
      </c>
      <c r="I81" t="s">
        <v>3429</v>
      </c>
      <c r="J81" t="s">
        <v>3430</v>
      </c>
      <c r="K81" t="s">
        <v>39</v>
      </c>
      <c r="L81" t="s">
        <v>30</v>
      </c>
      <c r="M81" t="s">
        <v>31</v>
      </c>
      <c r="N81" t="s">
        <v>991</v>
      </c>
      <c r="Q81" s="4">
        <v>1</v>
      </c>
      <c r="S81">
        <v>1600</v>
      </c>
    </row>
    <row r="82" spans="1:20" x14ac:dyDescent="0.55000000000000004">
      <c r="A82" t="s">
        <v>428</v>
      </c>
      <c r="C82" t="s">
        <v>3429</v>
      </c>
      <c r="D82" t="s">
        <v>3430</v>
      </c>
      <c r="E82" t="s">
        <v>39</v>
      </c>
      <c r="F82" t="s">
        <v>30</v>
      </c>
      <c r="G82" t="s">
        <v>31</v>
      </c>
      <c r="H82" s="11" t="s">
        <v>991</v>
      </c>
      <c r="I82" t="s">
        <v>1863</v>
      </c>
      <c r="J82" t="s">
        <v>1864</v>
      </c>
      <c r="K82" t="s">
        <v>362</v>
      </c>
      <c r="L82" t="s">
        <v>30</v>
      </c>
      <c r="M82" t="s">
        <v>31</v>
      </c>
      <c r="Q82" s="4">
        <v>1</v>
      </c>
      <c r="S82">
        <v>1700</v>
      </c>
    </row>
    <row r="83" spans="1:20" x14ac:dyDescent="0.55000000000000004">
      <c r="A83" t="s">
        <v>433</v>
      </c>
      <c r="C83" t="s">
        <v>3429</v>
      </c>
      <c r="D83" t="s">
        <v>3430</v>
      </c>
      <c r="E83" t="s">
        <v>39</v>
      </c>
      <c r="F83" t="s">
        <v>30</v>
      </c>
      <c r="G83" t="s">
        <v>31</v>
      </c>
      <c r="H83" s="11" t="s">
        <v>991</v>
      </c>
      <c r="I83" t="s">
        <v>3723</v>
      </c>
      <c r="J83" t="s">
        <v>3724</v>
      </c>
      <c r="K83" t="s">
        <v>39</v>
      </c>
      <c r="L83" t="s">
        <v>30</v>
      </c>
      <c r="M83" t="s">
        <v>31</v>
      </c>
      <c r="N83" t="s">
        <v>991</v>
      </c>
      <c r="Q83" s="4">
        <v>1</v>
      </c>
      <c r="S83">
        <v>1800</v>
      </c>
    </row>
    <row r="84" spans="1:20" s="16" customFormat="1" ht="18.5" thickBot="1" x14ac:dyDescent="0.6">
      <c r="A84" s="16" t="s">
        <v>438</v>
      </c>
      <c r="C84" s="16" t="s">
        <v>3723</v>
      </c>
      <c r="D84" s="16" t="s">
        <v>3724</v>
      </c>
      <c r="E84" s="16" t="s">
        <v>39</v>
      </c>
      <c r="F84" s="16" t="s">
        <v>30</v>
      </c>
      <c r="G84" s="16" t="s">
        <v>31</v>
      </c>
      <c r="H84" s="16" t="s">
        <v>991</v>
      </c>
      <c r="I84" s="16" t="s">
        <v>2291</v>
      </c>
      <c r="J84" s="16" t="s">
        <v>2292</v>
      </c>
      <c r="K84" s="16" t="s">
        <v>39</v>
      </c>
      <c r="L84" s="16" t="s">
        <v>30</v>
      </c>
      <c r="M84" s="16" t="s">
        <v>31</v>
      </c>
      <c r="N84" s="16" t="s">
        <v>991</v>
      </c>
      <c r="Q84" s="17">
        <f>S84/T84</f>
        <v>0.36666666666666664</v>
      </c>
      <c r="S84" s="16">
        <f>MID(D84,FIND("x",D84)+7,4)*1</f>
        <v>2200</v>
      </c>
      <c r="T84" s="16">
        <v>6000</v>
      </c>
    </row>
    <row r="85" spans="1:20" x14ac:dyDescent="0.55000000000000004">
      <c r="A85" t="s">
        <v>443</v>
      </c>
      <c r="C85" t="s">
        <v>3431</v>
      </c>
      <c r="D85" t="s">
        <v>3432</v>
      </c>
      <c r="E85" t="s">
        <v>35</v>
      </c>
      <c r="F85" t="s">
        <v>30</v>
      </c>
      <c r="G85" t="s">
        <v>31</v>
      </c>
      <c r="H85" t="s">
        <v>36</v>
      </c>
      <c r="I85" t="s">
        <v>3433</v>
      </c>
      <c r="J85" t="s">
        <v>3434</v>
      </c>
      <c r="K85" t="s">
        <v>39</v>
      </c>
      <c r="L85" t="s">
        <v>30</v>
      </c>
      <c r="M85" t="s">
        <v>31</v>
      </c>
      <c r="N85" t="s">
        <v>991</v>
      </c>
      <c r="Q85" s="4">
        <v>1</v>
      </c>
      <c r="S85">
        <v>2000</v>
      </c>
    </row>
    <row r="86" spans="1:20" x14ac:dyDescent="0.55000000000000004">
      <c r="A86" t="s">
        <v>448</v>
      </c>
      <c r="C86" t="s">
        <v>3433</v>
      </c>
      <c r="D86" t="s">
        <v>3434</v>
      </c>
      <c r="E86" t="s">
        <v>39</v>
      </c>
      <c r="F86" t="s">
        <v>30</v>
      </c>
      <c r="G86" t="s">
        <v>31</v>
      </c>
      <c r="H86" s="11" t="s">
        <v>991</v>
      </c>
      <c r="I86" t="s">
        <v>1863</v>
      </c>
      <c r="J86" t="s">
        <v>1864</v>
      </c>
      <c r="K86" t="s">
        <v>362</v>
      </c>
      <c r="L86" t="s">
        <v>30</v>
      </c>
      <c r="M86" t="s">
        <v>31</v>
      </c>
      <c r="Q86" s="4">
        <v>1</v>
      </c>
      <c r="S86">
        <v>2100</v>
      </c>
    </row>
    <row r="87" spans="1:20" x14ac:dyDescent="0.55000000000000004">
      <c r="A87" t="s">
        <v>453</v>
      </c>
      <c r="C87" t="s">
        <v>3433</v>
      </c>
      <c r="D87" t="s">
        <v>3434</v>
      </c>
      <c r="E87" t="s">
        <v>39</v>
      </c>
      <c r="F87" t="s">
        <v>30</v>
      </c>
      <c r="G87" t="s">
        <v>31</v>
      </c>
      <c r="H87" s="11" t="s">
        <v>991</v>
      </c>
      <c r="I87" t="s">
        <v>3725</v>
      </c>
      <c r="J87" t="s">
        <v>3726</v>
      </c>
      <c r="K87" t="s">
        <v>39</v>
      </c>
      <c r="L87" t="s">
        <v>30</v>
      </c>
      <c r="M87" t="s">
        <v>31</v>
      </c>
      <c r="N87" t="s">
        <v>991</v>
      </c>
      <c r="Q87" s="4">
        <v>1</v>
      </c>
      <c r="S87">
        <v>2200</v>
      </c>
    </row>
    <row r="88" spans="1:20" s="16" customFormat="1" ht="18.5" thickBot="1" x14ac:dyDescent="0.6">
      <c r="A88" s="16" t="s">
        <v>458</v>
      </c>
      <c r="C88" s="16" t="s">
        <v>3725</v>
      </c>
      <c r="D88" s="16" t="s">
        <v>3726</v>
      </c>
      <c r="E88" s="16" t="s">
        <v>39</v>
      </c>
      <c r="F88" s="16" t="s">
        <v>30</v>
      </c>
      <c r="G88" s="16" t="s">
        <v>31</v>
      </c>
      <c r="H88" s="16" t="s">
        <v>991</v>
      </c>
      <c r="I88" s="16" t="s">
        <v>2291</v>
      </c>
      <c r="J88" s="16" t="s">
        <v>2292</v>
      </c>
      <c r="K88" s="16" t="s">
        <v>39</v>
      </c>
      <c r="L88" s="16" t="s">
        <v>30</v>
      </c>
      <c r="M88" s="16" t="s">
        <v>31</v>
      </c>
      <c r="N88" s="16" t="s">
        <v>991</v>
      </c>
      <c r="Q88" s="17">
        <f>S88/T88</f>
        <v>0.38333333333333336</v>
      </c>
      <c r="S88" s="16">
        <f>MID(D88,FIND("x",D88)+7,4)*1</f>
        <v>2300</v>
      </c>
      <c r="T88" s="16">
        <v>6000</v>
      </c>
    </row>
    <row r="89" spans="1:20" x14ac:dyDescent="0.55000000000000004">
      <c r="A89" t="s">
        <v>463</v>
      </c>
      <c r="C89" t="s">
        <v>3435</v>
      </c>
      <c r="D89" t="s">
        <v>3436</v>
      </c>
      <c r="E89" t="s">
        <v>35</v>
      </c>
      <c r="F89" t="s">
        <v>30</v>
      </c>
      <c r="G89" t="s">
        <v>31</v>
      </c>
      <c r="H89" t="s">
        <v>36</v>
      </c>
      <c r="I89" t="s">
        <v>3437</v>
      </c>
      <c r="J89" t="s">
        <v>3438</v>
      </c>
      <c r="K89" t="s">
        <v>39</v>
      </c>
      <c r="L89" t="s">
        <v>30</v>
      </c>
      <c r="M89" t="s">
        <v>31</v>
      </c>
      <c r="N89" t="s">
        <v>991</v>
      </c>
      <c r="Q89" s="4">
        <v>1</v>
      </c>
      <c r="S89">
        <v>2400</v>
      </c>
    </row>
    <row r="90" spans="1:20" x14ac:dyDescent="0.55000000000000004">
      <c r="A90" t="s">
        <v>468</v>
      </c>
      <c r="C90" t="s">
        <v>3437</v>
      </c>
      <c r="D90" t="s">
        <v>3438</v>
      </c>
      <c r="E90" t="s">
        <v>39</v>
      </c>
      <c r="F90" t="s">
        <v>30</v>
      </c>
      <c r="G90" t="s">
        <v>31</v>
      </c>
      <c r="H90" s="11" t="s">
        <v>991</v>
      </c>
      <c r="I90" t="s">
        <v>1863</v>
      </c>
      <c r="J90" t="s">
        <v>1864</v>
      </c>
      <c r="K90" t="s">
        <v>362</v>
      </c>
      <c r="L90" t="s">
        <v>30</v>
      </c>
      <c r="M90" t="s">
        <v>31</v>
      </c>
      <c r="Q90" s="4">
        <v>1</v>
      </c>
      <c r="S90">
        <v>2500</v>
      </c>
    </row>
    <row r="91" spans="1:20" x14ac:dyDescent="0.55000000000000004">
      <c r="A91" t="s">
        <v>473</v>
      </c>
      <c r="C91" t="s">
        <v>3437</v>
      </c>
      <c r="D91" t="s">
        <v>3438</v>
      </c>
      <c r="E91" t="s">
        <v>39</v>
      </c>
      <c r="F91" t="s">
        <v>30</v>
      </c>
      <c r="G91" t="s">
        <v>31</v>
      </c>
      <c r="H91" s="11" t="s">
        <v>991</v>
      </c>
      <c r="I91" t="s">
        <v>3727</v>
      </c>
      <c r="J91" t="s">
        <v>3728</v>
      </c>
      <c r="K91" t="s">
        <v>39</v>
      </c>
      <c r="L91" t="s">
        <v>30</v>
      </c>
      <c r="M91" t="s">
        <v>31</v>
      </c>
      <c r="N91" t="s">
        <v>991</v>
      </c>
      <c r="Q91" s="4">
        <v>1</v>
      </c>
      <c r="S91">
        <v>2600</v>
      </c>
    </row>
    <row r="92" spans="1:20" s="16" customFormat="1" ht="18.5" thickBot="1" x14ac:dyDescent="0.6">
      <c r="A92" s="16" t="s">
        <v>478</v>
      </c>
      <c r="C92" s="16" t="s">
        <v>3727</v>
      </c>
      <c r="D92" s="16" t="s">
        <v>3728</v>
      </c>
      <c r="E92" s="16" t="s">
        <v>39</v>
      </c>
      <c r="F92" s="16" t="s">
        <v>30</v>
      </c>
      <c r="G92" s="16" t="s">
        <v>31</v>
      </c>
      <c r="H92" s="16" t="s">
        <v>991</v>
      </c>
      <c r="I92" s="16" t="s">
        <v>2291</v>
      </c>
      <c r="J92" s="16" t="s">
        <v>2292</v>
      </c>
      <c r="K92" s="16" t="s">
        <v>39</v>
      </c>
      <c r="L92" s="16" t="s">
        <v>30</v>
      </c>
      <c r="M92" s="16" t="s">
        <v>31</v>
      </c>
      <c r="N92" s="16" t="s">
        <v>991</v>
      </c>
      <c r="Q92" s="17">
        <f>S92/T92</f>
        <v>0.4</v>
      </c>
      <c r="S92" s="16">
        <f>MID(D92,FIND("x",D92)+7,4)*1</f>
        <v>2400</v>
      </c>
      <c r="T92" s="16">
        <v>6000</v>
      </c>
    </row>
    <row r="93" spans="1:20" x14ac:dyDescent="0.55000000000000004">
      <c r="A93" t="s">
        <v>483</v>
      </c>
      <c r="C93" t="s">
        <v>3439</v>
      </c>
      <c r="D93" t="s">
        <v>3440</v>
      </c>
      <c r="E93" t="s">
        <v>35</v>
      </c>
      <c r="F93" t="s">
        <v>30</v>
      </c>
      <c r="G93" t="s">
        <v>31</v>
      </c>
      <c r="H93" t="s">
        <v>36</v>
      </c>
      <c r="I93" t="s">
        <v>3441</v>
      </c>
      <c r="J93" t="s">
        <v>3442</v>
      </c>
      <c r="K93" t="s">
        <v>39</v>
      </c>
      <c r="L93" t="s">
        <v>30</v>
      </c>
      <c r="M93" t="s">
        <v>31</v>
      </c>
      <c r="N93" t="s">
        <v>991</v>
      </c>
      <c r="Q93" s="4">
        <v>1</v>
      </c>
      <c r="S93">
        <v>2800</v>
      </c>
    </row>
    <row r="94" spans="1:20" x14ac:dyDescent="0.55000000000000004">
      <c r="A94" t="s">
        <v>488</v>
      </c>
      <c r="C94" t="s">
        <v>3441</v>
      </c>
      <c r="D94" t="s">
        <v>3442</v>
      </c>
      <c r="E94" t="s">
        <v>39</v>
      </c>
      <c r="F94" t="s">
        <v>30</v>
      </c>
      <c r="G94" t="s">
        <v>31</v>
      </c>
      <c r="H94" s="11" t="s">
        <v>991</v>
      </c>
      <c r="I94" t="s">
        <v>1863</v>
      </c>
      <c r="J94" t="s">
        <v>1864</v>
      </c>
      <c r="K94" t="s">
        <v>362</v>
      </c>
      <c r="L94" t="s">
        <v>30</v>
      </c>
      <c r="M94" t="s">
        <v>31</v>
      </c>
      <c r="Q94" s="4">
        <v>1</v>
      </c>
      <c r="S94">
        <v>2900</v>
      </c>
    </row>
    <row r="95" spans="1:20" x14ac:dyDescent="0.55000000000000004">
      <c r="A95" t="s">
        <v>493</v>
      </c>
      <c r="C95" t="s">
        <v>3441</v>
      </c>
      <c r="D95" t="s">
        <v>3442</v>
      </c>
      <c r="E95" t="s">
        <v>39</v>
      </c>
      <c r="F95" t="s">
        <v>30</v>
      </c>
      <c r="G95" t="s">
        <v>31</v>
      </c>
      <c r="H95" s="11" t="s">
        <v>991</v>
      </c>
      <c r="I95" t="s">
        <v>3729</v>
      </c>
      <c r="J95" t="s">
        <v>3730</v>
      </c>
      <c r="K95" t="s">
        <v>39</v>
      </c>
      <c r="L95" t="s">
        <v>30</v>
      </c>
      <c r="M95" t="s">
        <v>31</v>
      </c>
      <c r="N95" t="s">
        <v>991</v>
      </c>
      <c r="Q95" s="4">
        <v>1</v>
      </c>
      <c r="S95">
        <v>3000</v>
      </c>
    </row>
    <row r="96" spans="1:20" s="16" customFormat="1" ht="18.5" thickBot="1" x14ac:dyDescent="0.6">
      <c r="A96" s="16" t="s">
        <v>498</v>
      </c>
      <c r="C96" s="16" t="s">
        <v>3729</v>
      </c>
      <c r="D96" s="16" t="s">
        <v>3730</v>
      </c>
      <c r="E96" s="16" t="s">
        <v>39</v>
      </c>
      <c r="F96" s="16" t="s">
        <v>30</v>
      </c>
      <c r="G96" s="16" t="s">
        <v>31</v>
      </c>
      <c r="H96" s="16" t="s">
        <v>991</v>
      </c>
      <c r="I96" s="16" t="s">
        <v>2291</v>
      </c>
      <c r="J96" s="16" t="s">
        <v>2292</v>
      </c>
      <c r="K96" s="16" t="s">
        <v>39</v>
      </c>
      <c r="L96" s="16" t="s">
        <v>30</v>
      </c>
      <c r="M96" s="16" t="s">
        <v>31</v>
      </c>
      <c r="N96" s="16" t="s">
        <v>991</v>
      </c>
      <c r="Q96" s="17">
        <f>S96/T96</f>
        <v>0.41666666666666669</v>
      </c>
      <c r="S96" s="16">
        <f>MID(D96,FIND("x",D96)+7,4)*1</f>
        <v>2500</v>
      </c>
      <c r="T96" s="16">
        <v>6000</v>
      </c>
    </row>
    <row r="97" spans="1:20" x14ac:dyDescent="0.55000000000000004">
      <c r="A97" t="s">
        <v>503</v>
      </c>
      <c r="C97" t="s">
        <v>3443</v>
      </c>
      <c r="D97" t="s">
        <v>3444</v>
      </c>
      <c r="E97" t="s">
        <v>35</v>
      </c>
      <c r="F97" t="s">
        <v>30</v>
      </c>
      <c r="G97" t="s">
        <v>31</v>
      </c>
      <c r="H97" t="s">
        <v>36</v>
      </c>
      <c r="I97" t="s">
        <v>3445</v>
      </c>
      <c r="J97" t="s">
        <v>3446</v>
      </c>
      <c r="K97" t="s">
        <v>39</v>
      </c>
      <c r="L97" t="s">
        <v>30</v>
      </c>
      <c r="M97" t="s">
        <v>31</v>
      </c>
      <c r="N97" t="s">
        <v>991</v>
      </c>
      <c r="Q97" s="4">
        <v>1</v>
      </c>
    </row>
    <row r="98" spans="1:20" x14ac:dyDescent="0.55000000000000004">
      <c r="A98" t="s">
        <v>508</v>
      </c>
      <c r="C98" t="s">
        <v>3445</v>
      </c>
      <c r="D98" t="s">
        <v>3446</v>
      </c>
      <c r="E98" t="s">
        <v>39</v>
      </c>
      <c r="F98" t="s">
        <v>30</v>
      </c>
      <c r="G98" t="s">
        <v>31</v>
      </c>
      <c r="H98" s="11" t="s">
        <v>991</v>
      </c>
      <c r="I98" t="s">
        <v>1863</v>
      </c>
      <c r="J98" t="s">
        <v>1864</v>
      </c>
      <c r="K98" t="s">
        <v>362</v>
      </c>
      <c r="L98" t="s">
        <v>30</v>
      </c>
      <c r="M98" t="s">
        <v>31</v>
      </c>
      <c r="Q98" s="4">
        <v>1</v>
      </c>
    </row>
    <row r="99" spans="1:20" x14ac:dyDescent="0.55000000000000004">
      <c r="A99" t="s">
        <v>513</v>
      </c>
      <c r="C99" t="s">
        <v>3445</v>
      </c>
      <c r="D99" t="s">
        <v>3446</v>
      </c>
      <c r="E99" t="s">
        <v>39</v>
      </c>
      <c r="F99" t="s">
        <v>30</v>
      </c>
      <c r="G99" t="s">
        <v>31</v>
      </c>
      <c r="H99" s="11" t="s">
        <v>991</v>
      </c>
      <c r="I99" t="s">
        <v>3731</v>
      </c>
      <c r="J99" t="s">
        <v>3732</v>
      </c>
      <c r="K99" t="s">
        <v>39</v>
      </c>
      <c r="L99" t="s">
        <v>30</v>
      </c>
      <c r="M99" t="s">
        <v>31</v>
      </c>
      <c r="N99" t="s">
        <v>991</v>
      </c>
      <c r="Q99" s="4">
        <v>1</v>
      </c>
    </row>
    <row r="100" spans="1:20" s="16" customFormat="1" ht="18.5" thickBot="1" x14ac:dyDescent="0.6">
      <c r="A100" s="16" t="s">
        <v>518</v>
      </c>
      <c r="C100" s="16" t="s">
        <v>3731</v>
      </c>
      <c r="D100" s="16" t="s">
        <v>3732</v>
      </c>
      <c r="E100" s="16" t="s">
        <v>39</v>
      </c>
      <c r="F100" s="16" t="s">
        <v>30</v>
      </c>
      <c r="G100" s="16" t="s">
        <v>31</v>
      </c>
      <c r="H100" s="16" t="s">
        <v>991</v>
      </c>
      <c r="I100" s="16" t="s">
        <v>2291</v>
      </c>
      <c r="J100" s="16" t="s">
        <v>2292</v>
      </c>
      <c r="K100" s="16" t="s">
        <v>39</v>
      </c>
      <c r="L100" s="16" t="s">
        <v>30</v>
      </c>
      <c r="M100" s="16" t="s">
        <v>31</v>
      </c>
      <c r="N100" s="16" t="s">
        <v>991</v>
      </c>
      <c r="Q100" s="17">
        <f>S100/T100</f>
        <v>0.43333333333333335</v>
      </c>
      <c r="S100" s="16">
        <f>MID(D100,FIND("x",D100)+7,4)*1</f>
        <v>2600</v>
      </c>
      <c r="T100" s="16">
        <v>6000</v>
      </c>
    </row>
    <row r="101" spans="1:20" x14ac:dyDescent="0.55000000000000004">
      <c r="A101" t="s">
        <v>523</v>
      </c>
      <c r="C101" t="s">
        <v>3447</v>
      </c>
      <c r="D101" t="s">
        <v>3448</v>
      </c>
      <c r="E101" t="s">
        <v>35</v>
      </c>
      <c r="F101" t="s">
        <v>30</v>
      </c>
      <c r="G101" t="s">
        <v>31</v>
      </c>
      <c r="H101" t="s">
        <v>36</v>
      </c>
      <c r="I101" t="s">
        <v>3449</v>
      </c>
      <c r="J101" t="s">
        <v>3450</v>
      </c>
      <c r="K101" t="s">
        <v>39</v>
      </c>
      <c r="L101" t="s">
        <v>30</v>
      </c>
      <c r="M101" t="s">
        <v>31</v>
      </c>
      <c r="N101" t="s">
        <v>991</v>
      </c>
      <c r="Q101" s="4">
        <v>1</v>
      </c>
    </row>
    <row r="102" spans="1:20" x14ac:dyDescent="0.55000000000000004">
      <c r="A102" t="s">
        <v>528</v>
      </c>
      <c r="C102" t="s">
        <v>3449</v>
      </c>
      <c r="D102" t="s">
        <v>3450</v>
      </c>
      <c r="E102" t="s">
        <v>39</v>
      </c>
      <c r="F102" t="s">
        <v>30</v>
      </c>
      <c r="G102" t="s">
        <v>31</v>
      </c>
      <c r="H102" s="11" t="s">
        <v>991</v>
      </c>
      <c r="I102" t="s">
        <v>1863</v>
      </c>
      <c r="J102" t="s">
        <v>1864</v>
      </c>
      <c r="K102" t="s">
        <v>362</v>
      </c>
      <c r="L102" t="s">
        <v>30</v>
      </c>
      <c r="M102" t="s">
        <v>31</v>
      </c>
      <c r="Q102" s="4">
        <v>1</v>
      </c>
    </row>
    <row r="103" spans="1:20" x14ac:dyDescent="0.55000000000000004">
      <c r="A103" t="s">
        <v>533</v>
      </c>
      <c r="C103" t="s">
        <v>3449</v>
      </c>
      <c r="D103" t="s">
        <v>3450</v>
      </c>
      <c r="E103" t="s">
        <v>39</v>
      </c>
      <c r="F103" t="s">
        <v>30</v>
      </c>
      <c r="G103" t="s">
        <v>31</v>
      </c>
      <c r="H103" s="11" t="s">
        <v>991</v>
      </c>
      <c r="I103" t="s">
        <v>3733</v>
      </c>
      <c r="J103" t="s">
        <v>3734</v>
      </c>
      <c r="K103" t="s">
        <v>39</v>
      </c>
      <c r="L103" t="s">
        <v>30</v>
      </c>
      <c r="M103" t="s">
        <v>31</v>
      </c>
      <c r="N103" t="s">
        <v>991</v>
      </c>
      <c r="Q103" s="4">
        <v>1</v>
      </c>
    </row>
    <row r="104" spans="1:20" s="16" customFormat="1" ht="18.5" thickBot="1" x14ac:dyDescent="0.6">
      <c r="A104" s="16" t="s">
        <v>538</v>
      </c>
      <c r="C104" s="16" t="s">
        <v>3733</v>
      </c>
      <c r="D104" s="16" t="s">
        <v>3734</v>
      </c>
      <c r="E104" s="16" t="s">
        <v>39</v>
      </c>
      <c r="F104" s="16" t="s">
        <v>30</v>
      </c>
      <c r="G104" s="16" t="s">
        <v>31</v>
      </c>
      <c r="H104" s="16" t="s">
        <v>991</v>
      </c>
      <c r="I104" s="16" t="s">
        <v>2291</v>
      </c>
      <c r="J104" s="16" t="s">
        <v>2292</v>
      </c>
      <c r="K104" s="16" t="s">
        <v>39</v>
      </c>
      <c r="L104" s="16" t="s">
        <v>30</v>
      </c>
      <c r="M104" s="16" t="s">
        <v>31</v>
      </c>
      <c r="N104" s="16" t="s">
        <v>991</v>
      </c>
      <c r="Q104" s="17">
        <f>S104/T104</f>
        <v>0.45</v>
      </c>
      <c r="S104" s="16">
        <f>MID(D104,FIND("x",D104)+7,4)*1</f>
        <v>2700</v>
      </c>
      <c r="T104" s="16">
        <v>6000</v>
      </c>
    </row>
    <row r="105" spans="1:20" x14ac:dyDescent="0.55000000000000004">
      <c r="A105" t="s">
        <v>543</v>
      </c>
      <c r="C105" t="s">
        <v>3451</v>
      </c>
      <c r="D105" t="s">
        <v>3452</v>
      </c>
      <c r="E105" t="s">
        <v>35</v>
      </c>
      <c r="F105" t="s">
        <v>30</v>
      </c>
      <c r="G105" t="s">
        <v>31</v>
      </c>
      <c r="H105" t="s">
        <v>36</v>
      </c>
      <c r="I105" t="s">
        <v>3453</v>
      </c>
      <c r="J105" t="s">
        <v>3454</v>
      </c>
      <c r="K105" t="s">
        <v>39</v>
      </c>
      <c r="L105" t="s">
        <v>30</v>
      </c>
      <c r="M105" t="s">
        <v>31</v>
      </c>
      <c r="N105" t="s">
        <v>991</v>
      </c>
      <c r="Q105" s="4">
        <v>1</v>
      </c>
    </row>
    <row r="106" spans="1:20" x14ac:dyDescent="0.55000000000000004">
      <c r="A106" t="s">
        <v>548</v>
      </c>
      <c r="C106" t="s">
        <v>3453</v>
      </c>
      <c r="D106" t="s">
        <v>3454</v>
      </c>
      <c r="E106" t="s">
        <v>39</v>
      </c>
      <c r="F106" t="s">
        <v>30</v>
      </c>
      <c r="G106" t="s">
        <v>31</v>
      </c>
      <c r="H106" s="11" t="s">
        <v>991</v>
      </c>
      <c r="I106" t="s">
        <v>1863</v>
      </c>
      <c r="J106" t="s">
        <v>1864</v>
      </c>
      <c r="K106" t="s">
        <v>362</v>
      </c>
      <c r="L106" t="s">
        <v>30</v>
      </c>
      <c r="M106" t="s">
        <v>31</v>
      </c>
      <c r="Q106" s="4">
        <v>1</v>
      </c>
    </row>
    <row r="107" spans="1:20" x14ac:dyDescent="0.55000000000000004">
      <c r="A107" t="s">
        <v>553</v>
      </c>
      <c r="C107" t="s">
        <v>3453</v>
      </c>
      <c r="D107" t="s">
        <v>3454</v>
      </c>
      <c r="E107" t="s">
        <v>39</v>
      </c>
      <c r="F107" t="s">
        <v>30</v>
      </c>
      <c r="G107" t="s">
        <v>31</v>
      </c>
      <c r="H107" s="11" t="s">
        <v>991</v>
      </c>
      <c r="I107" t="s">
        <v>3735</v>
      </c>
      <c r="J107" t="s">
        <v>3736</v>
      </c>
      <c r="K107" t="s">
        <v>39</v>
      </c>
      <c r="L107" t="s">
        <v>30</v>
      </c>
      <c r="M107" t="s">
        <v>31</v>
      </c>
      <c r="N107" t="s">
        <v>991</v>
      </c>
      <c r="Q107" s="4">
        <v>1</v>
      </c>
    </row>
    <row r="108" spans="1:20" s="16" customFormat="1" ht="18.5" thickBot="1" x14ac:dyDescent="0.6">
      <c r="A108" s="16" t="s">
        <v>558</v>
      </c>
      <c r="C108" s="16" t="s">
        <v>3735</v>
      </c>
      <c r="D108" s="16" t="s">
        <v>3736</v>
      </c>
      <c r="E108" s="16" t="s">
        <v>39</v>
      </c>
      <c r="F108" s="16" t="s">
        <v>30</v>
      </c>
      <c r="G108" s="16" t="s">
        <v>31</v>
      </c>
      <c r="H108" s="16" t="s">
        <v>991</v>
      </c>
      <c r="I108" s="16" t="s">
        <v>2291</v>
      </c>
      <c r="J108" s="16" t="s">
        <v>2292</v>
      </c>
      <c r="K108" s="16" t="s">
        <v>39</v>
      </c>
      <c r="L108" s="16" t="s">
        <v>30</v>
      </c>
      <c r="M108" s="16" t="s">
        <v>31</v>
      </c>
      <c r="N108" s="16" t="s">
        <v>991</v>
      </c>
      <c r="Q108" s="17">
        <f>S108/T108</f>
        <v>0.46666666666666667</v>
      </c>
      <c r="S108" s="16">
        <f>MID(D108,FIND("x",D108)+7,4)*1</f>
        <v>2800</v>
      </c>
      <c r="T108" s="16">
        <v>6000</v>
      </c>
    </row>
    <row r="109" spans="1:20" x14ac:dyDescent="0.55000000000000004">
      <c r="A109" t="s">
        <v>563</v>
      </c>
      <c r="C109" t="s">
        <v>3455</v>
      </c>
      <c r="D109" t="s">
        <v>3456</v>
      </c>
      <c r="E109" t="s">
        <v>35</v>
      </c>
      <c r="F109" t="s">
        <v>30</v>
      </c>
      <c r="G109" t="s">
        <v>31</v>
      </c>
      <c r="H109" t="s">
        <v>36</v>
      </c>
      <c r="I109" t="s">
        <v>3457</v>
      </c>
      <c r="J109" t="s">
        <v>3458</v>
      </c>
      <c r="K109" t="s">
        <v>39</v>
      </c>
      <c r="L109" t="s">
        <v>30</v>
      </c>
      <c r="M109" t="s">
        <v>31</v>
      </c>
      <c r="N109" t="s">
        <v>991</v>
      </c>
      <c r="Q109" s="4">
        <v>1</v>
      </c>
    </row>
    <row r="110" spans="1:20" x14ac:dyDescent="0.55000000000000004">
      <c r="A110" t="s">
        <v>568</v>
      </c>
      <c r="C110" t="s">
        <v>3457</v>
      </c>
      <c r="D110" t="s">
        <v>3458</v>
      </c>
      <c r="E110" t="s">
        <v>39</v>
      </c>
      <c r="F110" t="s">
        <v>30</v>
      </c>
      <c r="G110" t="s">
        <v>31</v>
      </c>
      <c r="H110" s="11" t="s">
        <v>991</v>
      </c>
      <c r="I110" t="s">
        <v>1863</v>
      </c>
      <c r="J110" t="s">
        <v>1864</v>
      </c>
      <c r="K110" t="s">
        <v>362</v>
      </c>
      <c r="L110" t="s">
        <v>30</v>
      </c>
      <c r="M110" t="s">
        <v>31</v>
      </c>
      <c r="Q110" s="4">
        <v>1</v>
      </c>
    </row>
    <row r="111" spans="1:20" x14ac:dyDescent="0.55000000000000004">
      <c r="A111" t="s">
        <v>573</v>
      </c>
      <c r="C111" t="s">
        <v>3457</v>
      </c>
      <c r="D111" t="s">
        <v>3458</v>
      </c>
      <c r="E111" t="s">
        <v>39</v>
      </c>
      <c r="F111" t="s">
        <v>30</v>
      </c>
      <c r="G111" t="s">
        <v>31</v>
      </c>
      <c r="H111" s="11" t="s">
        <v>991</v>
      </c>
      <c r="I111" t="s">
        <v>3737</v>
      </c>
      <c r="J111" t="s">
        <v>3738</v>
      </c>
      <c r="K111" t="s">
        <v>39</v>
      </c>
      <c r="L111" t="s">
        <v>30</v>
      </c>
      <c r="M111" t="s">
        <v>31</v>
      </c>
      <c r="N111" t="s">
        <v>991</v>
      </c>
      <c r="Q111" s="4">
        <v>1</v>
      </c>
    </row>
    <row r="112" spans="1:20" s="16" customFormat="1" ht="18.5" thickBot="1" x14ac:dyDescent="0.6">
      <c r="A112" s="16" t="s">
        <v>578</v>
      </c>
      <c r="C112" s="16" t="s">
        <v>3737</v>
      </c>
      <c r="D112" s="16" t="s">
        <v>3738</v>
      </c>
      <c r="E112" s="16" t="s">
        <v>39</v>
      </c>
      <c r="F112" s="16" t="s">
        <v>30</v>
      </c>
      <c r="G112" s="16" t="s">
        <v>31</v>
      </c>
      <c r="H112" s="16" t="s">
        <v>991</v>
      </c>
      <c r="I112" s="16" t="s">
        <v>2291</v>
      </c>
      <c r="J112" s="16" t="s">
        <v>2292</v>
      </c>
      <c r="K112" s="16" t="s">
        <v>39</v>
      </c>
      <c r="L112" s="16" t="s">
        <v>30</v>
      </c>
      <c r="M112" s="16" t="s">
        <v>31</v>
      </c>
      <c r="N112" s="16" t="s">
        <v>991</v>
      </c>
      <c r="Q112" s="17">
        <f>S112/T112</f>
        <v>0.48333333333333334</v>
      </c>
      <c r="S112" s="16">
        <f>MID(D112,FIND("x",D112)+7,4)*1</f>
        <v>2900</v>
      </c>
      <c r="T112" s="16">
        <v>6000</v>
      </c>
    </row>
    <row r="113" spans="1:20" x14ac:dyDescent="0.55000000000000004">
      <c r="A113" t="s">
        <v>583</v>
      </c>
      <c r="C113" t="s">
        <v>3459</v>
      </c>
      <c r="D113" t="s">
        <v>3460</v>
      </c>
      <c r="E113" t="s">
        <v>35</v>
      </c>
      <c r="F113" t="s">
        <v>30</v>
      </c>
      <c r="G113" t="s">
        <v>31</v>
      </c>
      <c r="H113" t="s">
        <v>36</v>
      </c>
      <c r="I113" t="s">
        <v>3461</v>
      </c>
      <c r="J113" t="s">
        <v>3462</v>
      </c>
      <c r="K113" t="s">
        <v>39</v>
      </c>
      <c r="L113" t="s">
        <v>30</v>
      </c>
      <c r="M113" t="s">
        <v>31</v>
      </c>
      <c r="N113" t="s">
        <v>991</v>
      </c>
      <c r="Q113" s="4">
        <v>1</v>
      </c>
    </row>
    <row r="114" spans="1:20" x14ac:dyDescent="0.55000000000000004">
      <c r="A114" t="s">
        <v>588</v>
      </c>
      <c r="C114" t="s">
        <v>3461</v>
      </c>
      <c r="D114" t="s">
        <v>3462</v>
      </c>
      <c r="E114" t="s">
        <v>39</v>
      </c>
      <c r="F114" t="s">
        <v>30</v>
      </c>
      <c r="G114" t="s">
        <v>31</v>
      </c>
      <c r="H114" s="11" t="s">
        <v>991</v>
      </c>
      <c r="I114" t="s">
        <v>1863</v>
      </c>
      <c r="J114" t="s">
        <v>1864</v>
      </c>
      <c r="K114" t="s">
        <v>362</v>
      </c>
      <c r="L114" t="s">
        <v>30</v>
      </c>
      <c r="M114" t="s">
        <v>31</v>
      </c>
      <c r="Q114" s="4">
        <v>1</v>
      </c>
    </row>
    <row r="115" spans="1:20" x14ac:dyDescent="0.55000000000000004">
      <c r="A115" t="s">
        <v>593</v>
      </c>
      <c r="C115" t="s">
        <v>3461</v>
      </c>
      <c r="D115" t="s">
        <v>3462</v>
      </c>
      <c r="E115" t="s">
        <v>39</v>
      </c>
      <c r="F115" t="s">
        <v>30</v>
      </c>
      <c r="G115" t="s">
        <v>31</v>
      </c>
      <c r="H115" s="11" t="s">
        <v>991</v>
      </c>
      <c r="I115" t="s">
        <v>3739</v>
      </c>
      <c r="J115" t="s">
        <v>3740</v>
      </c>
      <c r="K115" t="s">
        <v>39</v>
      </c>
      <c r="L115" t="s">
        <v>30</v>
      </c>
      <c r="M115" t="s">
        <v>31</v>
      </c>
      <c r="N115" t="s">
        <v>991</v>
      </c>
      <c r="Q115" s="4">
        <v>1</v>
      </c>
    </row>
    <row r="116" spans="1:20" s="16" customFormat="1" ht="18.5" thickBot="1" x14ac:dyDescent="0.6">
      <c r="A116" s="16" t="s">
        <v>598</v>
      </c>
      <c r="C116" s="16" t="s">
        <v>3739</v>
      </c>
      <c r="D116" s="16" t="s">
        <v>3740</v>
      </c>
      <c r="E116" s="16" t="s">
        <v>39</v>
      </c>
      <c r="F116" s="16" t="s">
        <v>30</v>
      </c>
      <c r="G116" s="16" t="s">
        <v>31</v>
      </c>
      <c r="H116" s="16" t="s">
        <v>991</v>
      </c>
      <c r="I116" s="16" t="s">
        <v>2291</v>
      </c>
      <c r="J116" s="16" t="s">
        <v>2292</v>
      </c>
      <c r="K116" s="16" t="s">
        <v>39</v>
      </c>
      <c r="L116" s="16" t="s">
        <v>30</v>
      </c>
      <c r="M116" s="16" t="s">
        <v>31</v>
      </c>
      <c r="N116" s="16" t="s">
        <v>991</v>
      </c>
      <c r="Q116" s="17">
        <f>S116/T116</f>
        <v>0.5</v>
      </c>
      <c r="S116" s="16">
        <f>MID(D116,FIND("x",D116)+7,4)*1</f>
        <v>3000</v>
      </c>
      <c r="T116" s="16">
        <v>6000</v>
      </c>
    </row>
    <row r="117" spans="1:20" x14ac:dyDescent="0.55000000000000004">
      <c r="A117" t="s">
        <v>603</v>
      </c>
      <c r="C117" t="s">
        <v>3463</v>
      </c>
      <c r="D117" t="s">
        <v>3464</v>
      </c>
      <c r="E117" t="s">
        <v>35</v>
      </c>
      <c r="F117" t="s">
        <v>30</v>
      </c>
      <c r="G117" t="s">
        <v>31</v>
      </c>
      <c r="H117" t="s">
        <v>36</v>
      </c>
      <c r="I117" t="s">
        <v>3465</v>
      </c>
      <c r="J117" t="s">
        <v>3466</v>
      </c>
      <c r="K117" t="s">
        <v>39</v>
      </c>
      <c r="L117" t="s">
        <v>30</v>
      </c>
      <c r="M117" t="s">
        <v>31</v>
      </c>
      <c r="N117" t="s">
        <v>991</v>
      </c>
      <c r="Q117" s="4">
        <v>1</v>
      </c>
    </row>
    <row r="118" spans="1:20" x14ac:dyDescent="0.55000000000000004">
      <c r="A118" t="s">
        <v>608</v>
      </c>
      <c r="C118" t="s">
        <v>3465</v>
      </c>
      <c r="D118" t="s">
        <v>3466</v>
      </c>
      <c r="E118" t="s">
        <v>39</v>
      </c>
      <c r="F118" t="s">
        <v>30</v>
      </c>
      <c r="G118" t="s">
        <v>31</v>
      </c>
      <c r="H118" s="11" t="s">
        <v>991</v>
      </c>
      <c r="I118" t="s">
        <v>1863</v>
      </c>
      <c r="J118" t="s">
        <v>1864</v>
      </c>
      <c r="K118" t="s">
        <v>362</v>
      </c>
      <c r="L118" t="s">
        <v>30</v>
      </c>
      <c r="M118" t="s">
        <v>31</v>
      </c>
      <c r="Q118" s="4">
        <v>1</v>
      </c>
    </row>
    <row r="119" spans="1:20" x14ac:dyDescent="0.55000000000000004">
      <c r="A119" t="s">
        <v>613</v>
      </c>
      <c r="C119" t="s">
        <v>3465</v>
      </c>
      <c r="D119" t="s">
        <v>3466</v>
      </c>
      <c r="E119" t="s">
        <v>39</v>
      </c>
      <c r="F119" t="s">
        <v>30</v>
      </c>
      <c r="G119" t="s">
        <v>31</v>
      </c>
      <c r="H119" s="11" t="s">
        <v>991</v>
      </c>
      <c r="I119" t="s">
        <v>3741</v>
      </c>
      <c r="J119" t="s">
        <v>3742</v>
      </c>
      <c r="K119" t="s">
        <v>39</v>
      </c>
      <c r="L119" t="s">
        <v>30</v>
      </c>
      <c r="M119" t="s">
        <v>31</v>
      </c>
      <c r="N119" t="s">
        <v>991</v>
      </c>
      <c r="Q119" s="4">
        <v>1</v>
      </c>
    </row>
    <row r="120" spans="1:20" s="16" customFormat="1" ht="18.5" thickBot="1" x14ac:dyDescent="0.6">
      <c r="A120" s="16" t="s">
        <v>618</v>
      </c>
      <c r="C120" s="16" t="s">
        <v>3741</v>
      </c>
      <c r="D120" s="16" t="s">
        <v>3742</v>
      </c>
      <c r="E120" s="16" t="s">
        <v>39</v>
      </c>
      <c r="F120" s="16" t="s">
        <v>30</v>
      </c>
      <c r="G120" s="16" t="s">
        <v>31</v>
      </c>
      <c r="H120" s="16" t="s">
        <v>991</v>
      </c>
      <c r="I120" s="16" t="s">
        <v>2291</v>
      </c>
      <c r="J120" s="16" t="s">
        <v>2292</v>
      </c>
      <c r="K120" s="16" t="s">
        <v>39</v>
      </c>
      <c r="L120" s="16" t="s">
        <v>30</v>
      </c>
      <c r="M120" s="16" t="s">
        <v>31</v>
      </c>
      <c r="N120" s="16" t="s">
        <v>991</v>
      </c>
      <c r="Q120" s="17">
        <f>S120/T120</f>
        <v>0.51666666666666672</v>
      </c>
      <c r="S120" s="16">
        <f>MID(D120,FIND("x",D120)+7,4)*1</f>
        <v>3100</v>
      </c>
      <c r="T120" s="16">
        <v>6000</v>
      </c>
    </row>
    <row r="121" spans="1:20" x14ac:dyDescent="0.55000000000000004">
      <c r="A121" t="s">
        <v>623</v>
      </c>
      <c r="C121" t="s">
        <v>92</v>
      </c>
      <c r="D121" t="s">
        <v>93</v>
      </c>
      <c r="E121" t="s">
        <v>35</v>
      </c>
      <c r="F121" t="s">
        <v>30</v>
      </c>
      <c r="G121" t="s">
        <v>31</v>
      </c>
      <c r="H121" t="s">
        <v>36</v>
      </c>
      <c r="I121" t="s">
        <v>94</v>
      </c>
      <c r="J121" t="s">
        <v>3998</v>
      </c>
      <c r="K121" t="s">
        <v>39</v>
      </c>
      <c r="L121" t="s">
        <v>30</v>
      </c>
      <c r="M121" t="s">
        <v>31</v>
      </c>
      <c r="N121" t="s">
        <v>4003</v>
      </c>
      <c r="Q121" s="4">
        <v>1</v>
      </c>
    </row>
    <row r="122" spans="1:20" x14ac:dyDescent="0.55000000000000004">
      <c r="A122" t="s">
        <v>628</v>
      </c>
      <c r="C122" t="s">
        <v>94</v>
      </c>
      <c r="D122" t="s">
        <v>3998</v>
      </c>
      <c r="E122" t="s">
        <v>39</v>
      </c>
      <c r="F122" t="s">
        <v>30</v>
      </c>
      <c r="G122" t="s">
        <v>31</v>
      </c>
      <c r="H122" s="11" t="s">
        <v>991</v>
      </c>
      <c r="I122" t="s">
        <v>1909</v>
      </c>
      <c r="J122" t="s">
        <v>1910</v>
      </c>
      <c r="K122" t="s">
        <v>362</v>
      </c>
      <c r="L122" t="s">
        <v>30</v>
      </c>
      <c r="M122" t="s">
        <v>31</v>
      </c>
      <c r="Q122" s="4">
        <v>1</v>
      </c>
    </row>
    <row r="123" spans="1:20" x14ac:dyDescent="0.55000000000000004">
      <c r="A123" t="s">
        <v>633</v>
      </c>
      <c r="C123" t="s">
        <v>94</v>
      </c>
      <c r="D123" t="s">
        <v>95</v>
      </c>
      <c r="E123" t="s">
        <v>39</v>
      </c>
      <c r="F123" t="s">
        <v>30</v>
      </c>
      <c r="G123" t="s">
        <v>31</v>
      </c>
      <c r="H123" s="11" t="s">
        <v>991</v>
      </c>
      <c r="I123" t="s">
        <v>1906</v>
      </c>
      <c r="J123" t="s">
        <v>5674</v>
      </c>
      <c r="K123" t="s">
        <v>39</v>
      </c>
      <c r="L123" t="s">
        <v>30</v>
      </c>
      <c r="M123" t="s">
        <v>31</v>
      </c>
      <c r="N123" t="s">
        <v>991</v>
      </c>
      <c r="Q123" s="4">
        <v>1</v>
      </c>
    </row>
    <row r="124" spans="1:20" x14ac:dyDescent="0.55000000000000004">
      <c r="A124" t="s">
        <v>638</v>
      </c>
      <c r="C124" t="s">
        <v>1906</v>
      </c>
      <c r="D124" t="s">
        <v>1907</v>
      </c>
      <c r="E124" t="s">
        <v>39</v>
      </c>
      <c r="F124" t="s">
        <v>30</v>
      </c>
      <c r="G124" t="s">
        <v>31</v>
      </c>
      <c r="H124" t="s">
        <v>991</v>
      </c>
      <c r="I124" t="s">
        <v>2251</v>
      </c>
      <c r="J124" t="s">
        <v>2252</v>
      </c>
      <c r="K124" t="s">
        <v>39</v>
      </c>
      <c r="L124" t="s">
        <v>30</v>
      </c>
      <c r="M124" t="s">
        <v>31</v>
      </c>
      <c r="N124" t="s">
        <v>991</v>
      </c>
      <c r="Q124" s="15">
        <f>S124/T124</f>
        <v>0.05</v>
      </c>
      <c r="S124">
        <f>MID(D124,FIND("x",D124)+6,3)*1</f>
        <v>300</v>
      </c>
      <c r="T124">
        <v>6000</v>
      </c>
    </row>
    <row r="125" spans="1:20" s="1" customFormat="1" ht="18.5" thickBot="1" x14ac:dyDescent="0.6">
      <c r="A125" t="s">
        <v>643</v>
      </c>
      <c r="C125" s="1" t="s">
        <v>2251</v>
      </c>
      <c r="D125" s="1" t="s">
        <v>2252</v>
      </c>
      <c r="E125" s="1" t="s">
        <v>39</v>
      </c>
      <c r="F125" s="1" t="s">
        <v>30</v>
      </c>
      <c r="G125" s="1" t="s">
        <v>31</v>
      </c>
      <c r="H125" s="1" t="s">
        <v>991</v>
      </c>
      <c r="I125" s="1" t="s">
        <v>2324</v>
      </c>
      <c r="J125" s="1" t="s">
        <v>2325</v>
      </c>
      <c r="K125" s="1" t="s">
        <v>362</v>
      </c>
      <c r="L125" s="1" t="s">
        <v>30</v>
      </c>
      <c r="M125" s="1" t="s">
        <v>31</v>
      </c>
      <c r="N125" s="3" t="s">
        <v>991</v>
      </c>
      <c r="Q125" s="13">
        <v>1</v>
      </c>
    </row>
    <row r="126" spans="1:20" x14ac:dyDescent="0.55000000000000004">
      <c r="A126" t="s">
        <v>648</v>
      </c>
      <c r="C126" t="s">
        <v>97</v>
      </c>
      <c r="D126" t="s">
        <v>98</v>
      </c>
      <c r="E126" t="s">
        <v>35</v>
      </c>
      <c r="F126" t="s">
        <v>30</v>
      </c>
      <c r="G126" t="s">
        <v>31</v>
      </c>
      <c r="H126" t="s">
        <v>36</v>
      </c>
      <c r="I126" t="s">
        <v>99</v>
      </c>
      <c r="J126" t="s">
        <v>100</v>
      </c>
      <c r="K126" t="s">
        <v>39</v>
      </c>
      <c r="L126" t="s">
        <v>30</v>
      </c>
      <c r="M126" t="s">
        <v>31</v>
      </c>
      <c r="N126" t="s">
        <v>4003</v>
      </c>
      <c r="Q126" s="4">
        <v>1</v>
      </c>
    </row>
    <row r="127" spans="1:20" x14ac:dyDescent="0.55000000000000004">
      <c r="A127" t="s">
        <v>653</v>
      </c>
      <c r="C127" t="s">
        <v>99</v>
      </c>
      <c r="D127" t="s">
        <v>100</v>
      </c>
      <c r="E127" t="s">
        <v>39</v>
      </c>
      <c r="F127" t="s">
        <v>30</v>
      </c>
      <c r="G127" t="s">
        <v>31</v>
      </c>
      <c r="H127" s="11" t="s">
        <v>991</v>
      </c>
      <c r="I127" t="s">
        <v>1909</v>
      </c>
      <c r="J127" t="s">
        <v>1910</v>
      </c>
      <c r="K127" t="s">
        <v>362</v>
      </c>
      <c r="L127" t="s">
        <v>30</v>
      </c>
      <c r="M127" t="s">
        <v>31</v>
      </c>
      <c r="Q127" s="4">
        <v>1</v>
      </c>
    </row>
    <row r="128" spans="1:20" x14ac:dyDescent="0.55000000000000004">
      <c r="A128" t="s">
        <v>658</v>
      </c>
      <c r="C128" t="s">
        <v>99</v>
      </c>
      <c r="D128" t="s">
        <v>100</v>
      </c>
      <c r="E128" t="s">
        <v>39</v>
      </c>
      <c r="F128" t="s">
        <v>30</v>
      </c>
      <c r="G128" t="s">
        <v>31</v>
      </c>
      <c r="H128" s="11" t="s">
        <v>991</v>
      </c>
      <c r="I128" t="s">
        <v>1912</v>
      </c>
      <c r="J128" t="s">
        <v>1913</v>
      </c>
      <c r="K128" t="s">
        <v>39</v>
      </c>
      <c r="L128" t="s">
        <v>30</v>
      </c>
      <c r="M128" t="s">
        <v>31</v>
      </c>
      <c r="N128" t="s">
        <v>991</v>
      </c>
      <c r="Q128" s="4">
        <v>1</v>
      </c>
    </row>
    <row r="129" spans="1:20" s="16" customFormat="1" ht="18.5" thickBot="1" x14ac:dyDescent="0.6">
      <c r="A129" s="16" t="s">
        <v>663</v>
      </c>
      <c r="C129" s="16" t="s">
        <v>1912</v>
      </c>
      <c r="D129" s="16" t="s">
        <v>1913</v>
      </c>
      <c r="E129" s="16" t="s">
        <v>39</v>
      </c>
      <c r="F129" s="16" t="s">
        <v>30</v>
      </c>
      <c r="G129" s="16" t="s">
        <v>31</v>
      </c>
      <c r="H129" s="16" t="s">
        <v>991</v>
      </c>
      <c r="I129" s="16" t="s">
        <v>2251</v>
      </c>
      <c r="J129" s="16" t="s">
        <v>2252</v>
      </c>
      <c r="K129" s="16" t="s">
        <v>39</v>
      </c>
      <c r="L129" s="16" t="s">
        <v>30</v>
      </c>
      <c r="M129" s="16" t="s">
        <v>31</v>
      </c>
      <c r="N129" s="16" t="s">
        <v>991</v>
      </c>
      <c r="Q129" s="17">
        <f>S129/T129</f>
        <v>6.6666666666666666E-2</v>
      </c>
      <c r="S129" s="16">
        <f>MID(D129,FIND("x",D129)+6,3)*1</f>
        <v>400</v>
      </c>
      <c r="T129" s="16">
        <v>6000</v>
      </c>
    </row>
    <row r="130" spans="1:20" x14ac:dyDescent="0.55000000000000004">
      <c r="A130" t="s">
        <v>668</v>
      </c>
      <c r="C130" t="s">
        <v>102</v>
      </c>
      <c r="D130" t="s">
        <v>103</v>
      </c>
      <c r="E130" t="s">
        <v>35</v>
      </c>
      <c r="F130" t="s">
        <v>30</v>
      </c>
      <c r="G130" t="s">
        <v>31</v>
      </c>
      <c r="H130" t="s">
        <v>36</v>
      </c>
      <c r="I130" t="s">
        <v>104</v>
      </c>
      <c r="J130" t="s">
        <v>105</v>
      </c>
      <c r="K130" t="s">
        <v>39</v>
      </c>
      <c r="L130" t="s">
        <v>30</v>
      </c>
      <c r="M130" t="s">
        <v>31</v>
      </c>
      <c r="N130" t="s">
        <v>4003</v>
      </c>
      <c r="Q130" s="4">
        <v>1</v>
      </c>
    </row>
    <row r="131" spans="1:20" x14ac:dyDescent="0.55000000000000004">
      <c r="A131" t="s">
        <v>673</v>
      </c>
      <c r="C131" t="s">
        <v>104</v>
      </c>
      <c r="D131" t="s">
        <v>105</v>
      </c>
      <c r="E131" t="s">
        <v>39</v>
      </c>
      <c r="F131" t="s">
        <v>30</v>
      </c>
      <c r="G131" t="s">
        <v>31</v>
      </c>
      <c r="H131" s="11" t="s">
        <v>991</v>
      </c>
      <c r="I131" t="s">
        <v>1909</v>
      </c>
      <c r="J131" t="s">
        <v>1910</v>
      </c>
      <c r="K131" t="s">
        <v>362</v>
      </c>
      <c r="L131" t="s">
        <v>30</v>
      </c>
      <c r="M131" t="s">
        <v>31</v>
      </c>
      <c r="Q131" s="4">
        <v>1</v>
      </c>
    </row>
    <row r="132" spans="1:20" x14ac:dyDescent="0.55000000000000004">
      <c r="A132" t="s">
        <v>678</v>
      </c>
      <c r="C132" t="s">
        <v>104</v>
      </c>
      <c r="D132" t="s">
        <v>105</v>
      </c>
      <c r="E132" t="s">
        <v>39</v>
      </c>
      <c r="F132" t="s">
        <v>30</v>
      </c>
      <c r="G132" t="s">
        <v>31</v>
      </c>
      <c r="H132" s="11" t="s">
        <v>991</v>
      </c>
      <c r="I132" t="s">
        <v>1916</v>
      </c>
      <c r="J132" t="s">
        <v>1917</v>
      </c>
      <c r="K132" t="s">
        <v>39</v>
      </c>
      <c r="L132" t="s">
        <v>30</v>
      </c>
      <c r="M132" t="s">
        <v>31</v>
      </c>
      <c r="N132" t="s">
        <v>991</v>
      </c>
      <c r="Q132" s="4">
        <v>1</v>
      </c>
    </row>
    <row r="133" spans="1:20" s="16" customFormat="1" ht="18.5" thickBot="1" x14ac:dyDescent="0.6">
      <c r="A133" s="16" t="s">
        <v>683</v>
      </c>
      <c r="C133" s="16" t="s">
        <v>1916</v>
      </c>
      <c r="D133" s="16" t="s">
        <v>1917</v>
      </c>
      <c r="E133" s="16" t="s">
        <v>39</v>
      </c>
      <c r="F133" s="16" t="s">
        <v>30</v>
      </c>
      <c r="G133" s="16" t="s">
        <v>31</v>
      </c>
      <c r="H133" s="16" t="s">
        <v>991</v>
      </c>
      <c r="I133" s="16" t="s">
        <v>2251</v>
      </c>
      <c r="J133" s="16" t="s">
        <v>2252</v>
      </c>
      <c r="K133" s="16" t="s">
        <v>39</v>
      </c>
      <c r="L133" s="16" t="s">
        <v>30</v>
      </c>
      <c r="M133" s="16" t="s">
        <v>31</v>
      </c>
      <c r="N133" s="16" t="s">
        <v>991</v>
      </c>
      <c r="Q133" s="17">
        <f>S133/T133</f>
        <v>8.3333333333333329E-2</v>
      </c>
      <c r="S133" s="16">
        <f>MID(D133,FIND("x",D133)+6,3)*1</f>
        <v>500</v>
      </c>
      <c r="T133" s="16">
        <v>6000</v>
      </c>
    </row>
    <row r="134" spans="1:20" x14ac:dyDescent="0.55000000000000004">
      <c r="A134" t="s">
        <v>688</v>
      </c>
      <c r="C134" t="s">
        <v>107</v>
      </c>
      <c r="D134" t="s">
        <v>108</v>
      </c>
      <c r="E134" t="s">
        <v>35</v>
      </c>
      <c r="F134" t="s">
        <v>30</v>
      </c>
      <c r="G134" t="s">
        <v>31</v>
      </c>
      <c r="H134" t="s">
        <v>36</v>
      </c>
      <c r="I134" t="s">
        <v>109</v>
      </c>
      <c r="J134" t="s">
        <v>110</v>
      </c>
      <c r="K134" t="s">
        <v>39</v>
      </c>
      <c r="L134" t="s">
        <v>30</v>
      </c>
      <c r="M134" t="s">
        <v>31</v>
      </c>
      <c r="N134" t="s">
        <v>4003</v>
      </c>
      <c r="Q134" s="4">
        <v>1</v>
      </c>
    </row>
    <row r="135" spans="1:20" x14ac:dyDescent="0.55000000000000004">
      <c r="A135" t="s">
        <v>693</v>
      </c>
      <c r="C135" t="s">
        <v>109</v>
      </c>
      <c r="D135" t="s">
        <v>110</v>
      </c>
      <c r="E135" t="s">
        <v>39</v>
      </c>
      <c r="F135" t="s">
        <v>30</v>
      </c>
      <c r="G135" t="s">
        <v>31</v>
      </c>
      <c r="H135" s="11" t="s">
        <v>991</v>
      </c>
      <c r="I135" t="s">
        <v>1909</v>
      </c>
      <c r="J135" t="s">
        <v>1910</v>
      </c>
      <c r="K135" t="s">
        <v>362</v>
      </c>
      <c r="L135" t="s">
        <v>30</v>
      </c>
      <c r="M135" t="s">
        <v>31</v>
      </c>
      <c r="Q135" s="4">
        <v>1</v>
      </c>
    </row>
    <row r="136" spans="1:20" x14ac:dyDescent="0.55000000000000004">
      <c r="A136" t="s">
        <v>698</v>
      </c>
      <c r="C136" t="s">
        <v>109</v>
      </c>
      <c r="D136" t="s">
        <v>110</v>
      </c>
      <c r="E136" t="s">
        <v>39</v>
      </c>
      <c r="F136" t="s">
        <v>30</v>
      </c>
      <c r="G136" t="s">
        <v>31</v>
      </c>
      <c r="H136" s="11" t="s">
        <v>991</v>
      </c>
      <c r="I136" t="s">
        <v>1920</v>
      </c>
      <c r="J136" t="s">
        <v>1921</v>
      </c>
      <c r="K136" t="s">
        <v>39</v>
      </c>
      <c r="L136" t="s">
        <v>30</v>
      </c>
      <c r="M136" t="s">
        <v>31</v>
      </c>
      <c r="N136" t="s">
        <v>991</v>
      </c>
      <c r="Q136" s="4">
        <v>1</v>
      </c>
    </row>
    <row r="137" spans="1:20" s="16" customFormat="1" ht="18.5" thickBot="1" x14ac:dyDescent="0.6">
      <c r="A137" s="16" t="s">
        <v>703</v>
      </c>
      <c r="C137" s="16" t="s">
        <v>1920</v>
      </c>
      <c r="D137" s="16" t="s">
        <v>1921</v>
      </c>
      <c r="E137" s="16" t="s">
        <v>39</v>
      </c>
      <c r="F137" s="16" t="s">
        <v>30</v>
      </c>
      <c r="G137" s="16" t="s">
        <v>31</v>
      </c>
      <c r="H137" s="16" t="s">
        <v>991</v>
      </c>
      <c r="I137" s="16" t="s">
        <v>2251</v>
      </c>
      <c r="J137" s="16" t="s">
        <v>2252</v>
      </c>
      <c r="K137" s="16" t="s">
        <v>39</v>
      </c>
      <c r="L137" s="16" t="s">
        <v>30</v>
      </c>
      <c r="M137" s="16" t="s">
        <v>31</v>
      </c>
      <c r="N137" s="16" t="s">
        <v>991</v>
      </c>
      <c r="Q137" s="17">
        <f>S137/T137</f>
        <v>0.1</v>
      </c>
      <c r="S137" s="16">
        <f>MID(D137,FIND("x",D137)+6,3)*1</f>
        <v>600</v>
      </c>
      <c r="T137" s="16">
        <v>6000</v>
      </c>
    </row>
    <row r="138" spans="1:20" x14ac:dyDescent="0.55000000000000004">
      <c r="A138" t="s">
        <v>708</v>
      </c>
      <c r="C138" t="s">
        <v>112</v>
      </c>
      <c r="D138" t="s">
        <v>113</v>
      </c>
      <c r="E138" t="s">
        <v>35</v>
      </c>
      <c r="F138" t="s">
        <v>30</v>
      </c>
      <c r="G138" t="s">
        <v>31</v>
      </c>
      <c r="H138" t="s">
        <v>36</v>
      </c>
      <c r="I138" t="s">
        <v>114</v>
      </c>
      <c r="J138" t="s">
        <v>115</v>
      </c>
      <c r="K138" t="s">
        <v>39</v>
      </c>
      <c r="L138" t="s">
        <v>30</v>
      </c>
      <c r="M138" t="s">
        <v>31</v>
      </c>
      <c r="N138" t="s">
        <v>4003</v>
      </c>
      <c r="Q138" s="4">
        <v>1</v>
      </c>
    </row>
    <row r="139" spans="1:20" x14ac:dyDescent="0.55000000000000004">
      <c r="A139" t="s">
        <v>713</v>
      </c>
      <c r="C139" t="s">
        <v>114</v>
      </c>
      <c r="D139" t="s">
        <v>115</v>
      </c>
      <c r="E139" t="s">
        <v>39</v>
      </c>
      <c r="F139" t="s">
        <v>30</v>
      </c>
      <c r="G139" t="s">
        <v>31</v>
      </c>
      <c r="H139" s="11" t="s">
        <v>991</v>
      </c>
      <c r="I139" t="s">
        <v>1909</v>
      </c>
      <c r="J139" t="s">
        <v>1910</v>
      </c>
      <c r="K139" t="s">
        <v>362</v>
      </c>
      <c r="L139" t="s">
        <v>30</v>
      </c>
      <c r="M139" t="s">
        <v>31</v>
      </c>
      <c r="Q139" s="4">
        <v>1</v>
      </c>
    </row>
    <row r="140" spans="1:20" x14ac:dyDescent="0.55000000000000004">
      <c r="A140" t="s">
        <v>718</v>
      </c>
      <c r="C140" t="s">
        <v>114</v>
      </c>
      <c r="D140" t="s">
        <v>115</v>
      </c>
      <c r="E140" t="s">
        <v>39</v>
      </c>
      <c r="F140" t="s">
        <v>30</v>
      </c>
      <c r="G140" t="s">
        <v>31</v>
      </c>
      <c r="H140" s="11" t="s">
        <v>991</v>
      </c>
      <c r="I140" t="s">
        <v>1924</v>
      </c>
      <c r="J140" t="s">
        <v>1925</v>
      </c>
      <c r="K140" t="s">
        <v>39</v>
      </c>
      <c r="L140" t="s">
        <v>30</v>
      </c>
      <c r="M140" t="s">
        <v>31</v>
      </c>
      <c r="N140" t="s">
        <v>991</v>
      </c>
      <c r="Q140" s="4">
        <v>1</v>
      </c>
    </row>
    <row r="141" spans="1:20" s="16" customFormat="1" ht="18.5" thickBot="1" x14ac:dyDescent="0.6">
      <c r="A141" s="16" t="s">
        <v>723</v>
      </c>
      <c r="C141" s="16" t="s">
        <v>1924</v>
      </c>
      <c r="D141" s="16" t="s">
        <v>1925</v>
      </c>
      <c r="E141" s="16" t="s">
        <v>39</v>
      </c>
      <c r="F141" s="16" t="s">
        <v>30</v>
      </c>
      <c r="G141" s="16" t="s">
        <v>31</v>
      </c>
      <c r="H141" s="16" t="s">
        <v>991</v>
      </c>
      <c r="I141" s="16" t="s">
        <v>2251</v>
      </c>
      <c r="J141" s="16" t="s">
        <v>2252</v>
      </c>
      <c r="K141" s="16" t="s">
        <v>39</v>
      </c>
      <c r="L141" s="16" t="s">
        <v>30</v>
      </c>
      <c r="M141" s="16" t="s">
        <v>31</v>
      </c>
      <c r="N141" s="16" t="s">
        <v>991</v>
      </c>
      <c r="Q141" s="17">
        <f>S141/T141</f>
        <v>0.11666666666666667</v>
      </c>
      <c r="S141" s="16">
        <f>MID(D141,FIND("x",D141)+6,3)*1</f>
        <v>700</v>
      </c>
      <c r="T141" s="16">
        <v>6000</v>
      </c>
    </row>
    <row r="142" spans="1:20" x14ac:dyDescent="0.55000000000000004">
      <c r="A142" t="s">
        <v>728</v>
      </c>
      <c r="C142" t="s">
        <v>117</v>
      </c>
      <c r="D142" t="s">
        <v>118</v>
      </c>
      <c r="E142" t="s">
        <v>35</v>
      </c>
      <c r="F142" t="s">
        <v>30</v>
      </c>
      <c r="G142" t="s">
        <v>31</v>
      </c>
      <c r="H142" t="s">
        <v>36</v>
      </c>
      <c r="I142" t="s">
        <v>119</v>
      </c>
      <c r="J142" t="s">
        <v>120</v>
      </c>
      <c r="K142" t="s">
        <v>39</v>
      </c>
      <c r="L142" t="s">
        <v>30</v>
      </c>
      <c r="M142" t="s">
        <v>31</v>
      </c>
      <c r="N142" t="s">
        <v>4003</v>
      </c>
      <c r="Q142" s="4">
        <v>1</v>
      </c>
    </row>
    <row r="143" spans="1:20" x14ac:dyDescent="0.55000000000000004">
      <c r="A143" t="s">
        <v>733</v>
      </c>
      <c r="C143" t="s">
        <v>119</v>
      </c>
      <c r="D143" t="s">
        <v>120</v>
      </c>
      <c r="E143" t="s">
        <v>39</v>
      </c>
      <c r="F143" t="s">
        <v>30</v>
      </c>
      <c r="G143" t="s">
        <v>31</v>
      </c>
      <c r="H143" s="11" t="s">
        <v>991</v>
      </c>
      <c r="I143" t="s">
        <v>1909</v>
      </c>
      <c r="J143" t="s">
        <v>1910</v>
      </c>
      <c r="K143" t="s">
        <v>362</v>
      </c>
      <c r="L143" t="s">
        <v>30</v>
      </c>
      <c r="M143" t="s">
        <v>31</v>
      </c>
      <c r="Q143" s="4">
        <v>1</v>
      </c>
    </row>
    <row r="144" spans="1:20" x14ac:dyDescent="0.55000000000000004">
      <c r="A144" t="s">
        <v>738</v>
      </c>
      <c r="C144" t="s">
        <v>119</v>
      </c>
      <c r="D144" t="s">
        <v>120</v>
      </c>
      <c r="E144" t="s">
        <v>39</v>
      </c>
      <c r="F144" t="s">
        <v>30</v>
      </c>
      <c r="G144" t="s">
        <v>31</v>
      </c>
      <c r="H144" s="11" t="s">
        <v>991</v>
      </c>
      <c r="I144" t="s">
        <v>1928</v>
      </c>
      <c r="J144" t="s">
        <v>1929</v>
      </c>
      <c r="K144" t="s">
        <v>39</v>
      </c>
      <c r="L144" t="s">
        <v>30</v>
      </c>
      <c r="M144" t="s">
        <v>31</v>
      </c>
      <c r="N144" t="s">
        <v>991</v>
      </c>
      <c r="Q144" s="4">
        <v>1</v>
      </c>
    </row>
    <row r="145" spans="1:20" s="16" customFormat="1" ht="18.5" thickBot="1" x14ac:dyDescent="0.6">
      <c r="A145" s="16" t="s">
        <v>743</v>
      </c>
      <c r="C145" s="16" t="s">
        <v>1928</v>
      </c>
      <c r="D145" s="16" t="s">
        <v>1929</v>
      </c>
      <c r="E145" s="16" t="s">
        <v>39</v>
      </c>
      <c r="F145" s="16" t="s">
        <v>30</v>
      </c>
      <c r="G145" s="16" t="s">
        <v>31</v>
      </c>
      <c r="H145" s="16" t="s">
        <v>991</v>
      </c>
      <c r="I145" s="16" t="s">
        <v>2251</v>
      </c>
      <c r="J145" s="16" t="s">
        <v>2252</v>
      </c>
      <c r="K145" s="16" t="s">
        <v>39</v>
      </c>
      <c r="L145" s="16" t="s">
        <v>30</v>
      </c>
      <c r="M145" s="16" t="s">
        <v>31</v>
      </c>
      <c r="N145" s="16" t="s">
        <v>991</v>
      </c>
      <c r="Q145" s="17">
        <f>S145/T145</f>
        <v>0.13333333333333333</v>
      </c>
      <c r="S145" s="16">
        <f>MID(D145,FIND("x",D145)+6,3)*1</f>
        <v>800</v>
      </c>
      <c r="T145" s="16">
        <v>6000</v>
      </c>
    </row>
    <row r="146" spans="1:20" x14ac:dyDescent="0.55000000000000004">
      <c r="A146" t="s">
        <v>748</v>
      </c>
      <c r="C146" t="s">
        <v>122</v>
      </c>
      <c r="D146" t="s">
        <v>123</v>
      </c>
      <c r="E146" t="s">
        <v>35</v>
      </c>
      <c r="F146" t="s">
        <v>30</v>
      </c>
      <c r="G146" t="s">
        <v>31</v>
      </c>
      <c r="H146" t="s">
        <v>36</v>
      </c>
      <c r="I146" t="s">
        <v>124</v>
      </c>
      <c r="J146" t="s">
        <v>125</v>
      </c>
      <c r="K146" t="s">
        <v>39</v>
      </c>
      <c r="L146" t="s">
        <v>30</v>
      </c>
      <c r="M146" t="s">
        <v>31</v>
      </c>
      <c r="N146" t="s">
        <v>4003</v>
      </c>
      <c r="Q146" s="4">
        <v>1</v>
      </c>
    </row>
    <row r="147" spans="1:20" x14ac:dyDescent="0.55000000000000004">
      <c r="A147" t="s">
        <v>753</v>
      </c>
      <c r="C147" t="s">
        <v>124</v>
      </c>
      <c r="D147" t="s">
        <v>125</v>
      </c>
      <c r="E147" t="s">
        <v>39</v>
      </c>
      <c r="F147" t="s">
        <v>30</v>
      </c>
      <c r="G147" t="s">
        <v>31</v>
      </c>
      <c r="H147" s="11" t="s">
        <v>991</v>
      </c>
      <c r="I147" t="s">
        <v>1909</v>
      </c>
      <c r="J147" t="s">
        <v>1910</v>
      </c>
      <c r="K147" t="s">
        <v>362</v>
      </c>
      <c r="L147" t="s">
        <v>30</v>
      </c>
      <c r="M147" t="s">
        <v>31</v>
      </c>
      <c r="Q147" s="4">
        <v>1</v>
      </c>
    </row>
    <row r="148" spans="1:20" x14ac:dyDescent="0.55000000000000004">
      <c r="A148" t="s">
        <v>758</v>
      </c>
      <c r="C148" t="s">
        <v>124</v>
      </c>
      <c r="D148" t="s">
        <v>125</v>
      </c>
      <c r="E148" t="s">
        <v>39</v>
      </c>
      <c r="F148" t="s">
        <v>30</v>
      </c>
      <c r="G148" t="s">
        <v>31</v>
      </c>
      <c r="H148" s="11" t="s">
        <v>991</v>
      </c>
      <c r="I148" t="s">
        <v>1932</v>
      </c>
      <c r="J148" t="s">
        <v>1933</v>
      </c>
      <c r="K148" t="s">
        <v>39</v>
      </c>
      <c r="L148" t="s">
        <v>30</v>
      </c>
      <c r="M148" t="s">
        <v>31</v>
      </c>
      <c r="N148" t="s">
        <v>991</v>
      </c>
      <c r="Q148" s="4">
        <v>1</v>
      </c>
    </row>
    <row r="149" spans="1:20" s="16" customFormat="1" ht="18.5" thickBot="1" x14ac:dyDescent="0.6">
      <c r="A149" s="16" t="s">
        <v>763</v>
      </c>
      <c r="C149" s="16" t="s">
        <v>1932</v>
      </c>
      <c r="D149" s="16" t="s">
        <v>1933</v>
      </c>
      <c r="E149" s="16" t="s">
        <v>39</v>
      </c>
      <c r="F149" s="16" t="s">
        <v>30</v>
      </c>
      <c r="G149" s="16" t="s">
        <v>31</v>
      </c>
      <c r="H149" s="16" t="s">
        <v>991</v>
      </c>
      <c r="I149" s="16" t="s">
        <v>2251</v>
      </c>
      <c r="J149" s="16" t="s">
        <v>2252</v>
      </c>
      <c r="K149" s="16" t="s">
        <v>39</v>
      </c>
      <c r="L149" s="16" t="s">
        <v>30</v>
      </c>
      <c r="M149" s="16" t="s">
        <v>31</v>
      </c>
      <c r="N149" s="16" t="s">
        <v>991</v>
      </c>
      <c r="Q149" s="17">
        <f>S149/T149</f>
        <v>0.15</v>
      </c>
      <c r="S149" s="16">
        <f>MID(D149,FIND("x",D149)+6,3)*1</f>
        <v>900</v>
      </c>
      <c r="T149" s="16">
        <v>6000</v>
      </c>
    </row>
    <row r="150" spans="1:20" x14ac:dyDescent="0.55000000000000004">
      <c r="A150" t="s">
        <v>768</v>
      </c>
      <c r="C150" t="s">
        <v>127</v>
      </c>
      <c r="D150" t="s">
        <v>128</v>
      </c>
      <c r="E150" t="s">
        <v>35</v>
      </c>
      <c r="F150" t="s">
        <v>30</v>
      </c>
      <c r="G150" t="s">
        <v>31</v>
      </c>
      <c r="H150" t="s">
        <v>36</v>
      </c>
      <c r="I150" t="s">
        <v>129</v>
      </c>
      <c r="J150" t="s">
        <v>130</v>
      </c>
      <c r="K150" t="s">
        <v>39</v>
      </c>
      <c r="L150" t="s">
        <v>30</v>
      </c>
      <c r="M150" t="s">
        <v>31</v>
      </c>
      <c r="N150" t="s">
        <v>4003</v>
      </c>
      <c r="Q150" s="4">
        <v>1</v>
      </c>
    </row>
    <row r="151" spans="1:20" x14ac:dyDescent="0.55000000000000004">
      <c r="A151" t="s">
        <v>773</v>
      </c>
      <c r="C151" t="s">
        <v>129</v>
      </c>
      <c r="D151" t="s">
        <v>130</v>
      </c>
      <c r="E151" t="s">
        <v>39</v>
      </c>
      <c r="F151" t="s">
        <v>30</v>
      </c>
      <c r="G151" t="s">
        <v>31</v>
      </c>
      <c r="H151" s="11" t="s">
        <v>991</v>
      </c>
      <c r="I151" t="s">
        <v>1909</v>
      </c>
      <c r="J151" t="s">
        <v>1910</v>
      </c>
      <c r="K151" t="s">
        <v>362</v>
      </c>
      <c r="L151" t="s">
        <v>30</v>
      </c>
      <c r="M151" t="s">
        <v>31</v>
      </c>
      <c r="Q151" s="4">
        <v>1</v>
      </c>
    </row>
    <row r="152" spans="1:20" x14ac:dyDescent="0.55000000000000004">
      <c r="A152" t="s">
        <v>778</v>
      </c>
      <c r="C152" t="s">
        <v>129</v>
      </c>
      <c r="D152" t="s">
        <v>130</v>
      </c>
      <c r="E152" t="s">
        <v>39</v>
      </c>
      <c r="F152" t="s">
        <v>30</v>
      </c>
      <c r="G152" t="s">
        <v>31</v>
      </c>
      <c r="H152" s="11" t="s">
        <v>991</v>
      </c>
      <c r="I152" t="s">
        <v>1936</v>
      </c>
      <c r="J152" t="s">
        <v>1937</v>
      </c>
      <c r="K152" t="s">
        <v>39</v>
      </c>
      <c r="L152" t="s">
        <v>30</v>
      </c>
      <c r="M152" t="s">
        <v>31</v>
      </c>
      <c r="N152" t="s">
        <v>991</v>
      </c>
      <c r="Q152" s="4">
        <v>1</v>
      </c>
    </row>
    <row r="153" spans="1:20" s="16" customFormat="1" ht="18.5" thickBot="1" x14ac:dyDescent="0.6">
      <c r="A153" s="16" t="s">
        <v>783</v>
      </c>
      <c r="C153" s="16" t="s">
        <v>1936</v>
      </c>
      <c r="D153" s="16" t="s">
        <v>1937</v>
      </c>
      <c r="E153" s="16" t="s">
        <v>39</v>
      </c>
      <c r="F153" s="16" t="s">
        <v>30</v>
      </c>
      <c r="G153" s="16" t="s">
        <v>31</v>
      </c>
      <c r="H153" s="16" t="s">
        <v>991</v>
      </c>
      <c r="I153" s="16" t="s">
        <v>2251</v>
      </c>
      <c r="J153" s="16" t="s">
        <v>2252</v>
      </c>
      <c r="K153" s="16" t="s">
        <v>39</v>
      </c>
      <c r="L153" s="16" t="s">
        <v>30</v>
      </c>
      <c r="M153" s="16" t="s">
        <v>31</v>
      </c>
      <c r="N153" s="16" t="s">
        <v>991</v>
      </c>
      <c r="Q153" s="17">
        <f>S153/T153</f>
        <v>0.16666666666666666</v>
      </c>
      <c r="S153" s="16">
        <f>MID(D153,FIND("x",D153)+7,4)*1</f>
        <v>1000</v>
      </c>
      <c r="T153" s="16">
        <v>6000</v>
      </c>
    </row>
    <row r="154" spans="1:20" x14ac:dyDescent="0.55000000000000004">
      <c r="A154" t="s">
        <v>788</v>
      </c>
      <c r="C154" t="s">
        <v>132</v>
      </c>
      <c r="D154" t="s">
        <v>133</v>
      </c>
      <c r="E154" t="s">
        <v>35</v>
      </c>
      <c r="F154" t="s">
        <v>30</v>
      </c>
      <c r="G154" t="s">
        <v>31</v>
      </c>
      <c r="H154" t="s">
        <v>36</v>
      </c>
      <c r="I154" t="s">
        <v>134</v>
      </c>
      <c r="J154" t="s">
        <v>135</v>
      </c>
      <c r="K154" t="s">
        <v>39</v>
      </c>
      <c r="L154" t="s">
        <v>30</v>
      </c>
      <c r="M154" t="s">
        <v>31</v>
      </c>
      <c r="N154" t="s">
        <v>4003</v>
      </c>
      <c r="Q154" s="4">
        <v>1</v>
      </c>
    </row>
    <row r="155" spans="1:20" x14ac:dyDescent="0.55000000000000004">
      <c r="A155" t="s">
        <v>793</v>
      </c>
      <c r="C155" t="s">
        <v>134</v>
      </c>
      <c r="D155" t="s">
        <v>135</v>
      </c>
      <c r="E155" t="s">
        <v>39</v>
      </c>
      <c r="F155" t="s">
        <v>30</v>
      </c>
      <c r="G155" t="s">
        <v>31</v>
      </c>
      <c r="H155" s="11" t="s">
        <v>991</v>
      </c>
      <c r="I155" t="s">
        <v>1909</v>
      </c>
      <c r="J155" t="s">
        <v>1910</v>
      </c>
      <c r="K155" t="s">
        <v>362</v>
      </c>
      <c r="L155" t="s">
        <v>30</v>
      </c>
      <c r="M155" t="s">
        <v>31</v>
      </c>
      <c r="Q155" s="4">
        <v>1</v>
      </c>
    </row>
    <row r="156" spans="1:20" x14ac:dyDescent="0.55000000000000004">
      <c r="A156" t="s">
        <v>798</v>
      </c>
      <c r="C156" t="s">
        <v>134</v>
      </c>
      <c r="D156" t="s">
        <v>135</v>
      </c>
      <c r="E156" t="s">
        <v>39</v>
      </c>
      <c r="F156" t="s">
        <v>30</v>
      </c>
      <c r="G156" t="s">
        <v>31</v>
      </c>
      <c r="H156" s="11" t="s">
        <v>991</v>
      </c>
      <c r="I156" t="s">
        <v>1940</v>
      </c>
      <c r="J156" t="s">
        <v>1941</v>
      </c>
      <c r="K156" t="s">
        <v>39</v>
      </c>
      <c r="L156" t="s">
        <v>30</v>
      </c>
      <c r="M156" t="s">
        <v>31</v>
      </c>
      <c r="N156" t="s">
        <v>991</v>
      </c>
      <c r="Q156" s="4">
        <v>1</v>
      </c>
    </row>
    <row r="157" spans="1:20" s="16" customFormat="1" ht="18.5" thickBot="1" x14ac:dyDescent="0.6">
      <c r="A157" s="16" t="s">
        <v>803</v>
      </c>
      <c r="C157" s="16" t="s">
        <v>1940</v>
      </c>
      <c r="D157" s="16" t="s">
        <v>1941</v>
      </c>
      <c r="E157" s="16" t="s">
        <v>39</v>
      </c>
      <c r="F157" s="16" t="s">
        <v>30</v>
      </c>
      <c r="G157" s="16" t="s">
        <v>31</v>
      </c>
      <c r="H157" s="16" t="s">
        <v>991</v>
      </c>
      <c r="I157" s="16" t="s">
        <v>2251</v>
      </c>
      <c r="J157" s="16" t="s">
        <v>2252</v>
      </c>
      <c r="K157" s="16" t="s">
        <v>39</v>
      </c>
      <c r="L157" s="16" t="s">
        <v>30</v>
      </c>
      <c r="M157" s="16" t="s">
        <v>31</v>
      </c>
      <c r="N157" s="16" t="s">
        <v>991</v>
      </c>
      <c r="Q157" s="17">
        <f>S157/T157</f>
        <v>0.18333333333333332</v>
      </c>
      <c r="S157" s="16">
        <f>MID(D157,FIND("x",D157)+7,4)*1</f>
        <v>1100</v>
      </c>
      <c r="T157" s="16">
        <v>6000</v>
      </c>
    </row>
    <row r="158" spans="1:20" x14ac:dyDescent="0.55000000000000004">
      <c r="A158" t="s">
        <v>808</v>
      </c>
      <c r="C158" t="s">
        <v>137</v>
      </c>
      <c r="D158" t="s">
        <v>138</v>
      </c>
      <c r="E158" t="s">
        <v>35</v>
      </c>
      <c r="F158" t="s">
        <v>30</v>
      </c>
      <c r="G158" t="s">
        <v>31</v>
      </c>
      <c r="H158" t="s">
        <v>36</v>
      </c>
      <c r="I158" t="s">
        <v>139</v>
      </c>
      <c r="J158" t="s">
        <v>140</v>
      </c>
      <c r="K158" t="s">
        <v>39</v>
      </c>
      <c r="L158" t="s">
        <v>30</v>
      </c>
      <c r="M158" t="s">
        <v>31</v>
      </c>
      <c r="N158" t="s">
        <v>4003</v>
      </c>
      <c r="Q158" s="4">
        <v>1</v>
      </c>
    </row>
    <row r="159" spans="1:20" x14ac:dyDescent="0.55000000000000004">
      <c r="A159" t="s">
        <v>813</v>
      </c>
      <c r="C159" t="s">
        <v>139</v>
      </c>
      <c r="D159" t="s">
        <v>140</v>
      </c>
      <c r="E159" t="s">
        <v>39</v>
      </c>
      <c r="F159" t="s">
        <v>30</v>
      </c>
      <c r="G159" t="s">
        <v>31</v>
      </c>
      <c r="H159" s="11" t="s">
        <v>991</v>
      </c>
      <c r="I159" t="s">
        <v>1909</v>
      </c>
      <c r="J159" t="s">
        <v>1910</v>
      </c>
      <c r="K159" t="s">
        <v>362</v>
      </c>
      <c r="L159" t="s">
        <v>30</v>
      </c>
      <c r="M159" t="s">
        <v>31</v>
      </c>
      <c r="Q159" s="4">
        <v>1</v>
      </c>
    </row>
    <row r="160" spans="1:20" x14ac:dyDescent="0.55000000000000004">
      <c r="A160" t="s">
        <v>818</v>
      </c>
      <c r="C160" t="s">
        <v>139</v>
      </c>
      <c r="D160" t="s">
        <v>140</v>
      </c>
      <c r="E160" t="s">
        <v>39</v>
      </c>
      <c r="F160" t="s">
        <v>30</v>
      </c>
      <c r="G160" t="s">
        <v>31</v>
      </c>
      <c r="H160" s="11" t="s">
        <v>991</v>
      </c>
      <c r="I160" t="s">
        <v>1944</v>
      </c>
      <c r="J160" t="s">
        <v>1945</v>
      </c>
      <c r="K160" t="s">
        <v>39</v>
      </c>
      <c r="L160" t="s">
        <v>30</v>
      </c>
      <c r="M160" t="s">
        <v>31</v>
      </c>
      <c r="N160" t="s">
        <v>991</v>
      </c>
      <c r="Q160" s="4">
        <v>1</v>
      </c>
    </row>
    <row r="161" spans="1:20" s="16" customFormat="1" ht="18.5" thickBot="1" x14ac:dyDescent="0.6">
      <c r="A161" s="16" t="s">
        <v>823</v>
      </c>
      <c r="C161" s="16" t="s">
        <v>1944</v>
      </c>
      <c r="D161" s="16" t="s">
        <v>1945</v>
      </c>
      <c r="E161" s="16" t="s">
        <v>39</v>
      </c>
      <c r="F161" s="16" t="s">
        <v>30</v>
      </c>
      <c r="G161" s="16" t="s">
        <v>31</v>
      </c>
      <c r="H161" s="16" t="s">
        <v>991</v>
      </c>
      <c r="I161" s="16" t="s">
        <v>2251</v>
      </c>
      <c r="J161" s="16" t="s">
        <v>2252</v>
      </c>
      <c r="K161" s="16" t="s">
        <v>39</v>
      </c>
      <c r="L161" s="16" t="s">
        <v>30</v>
      </c>
      <c r="M161" s="16" t="s">
        <v>31</v>
      </c>
      <c r="N161" s="16" t="s">
        <v>991</v>
      </c>
      <c r="Q161" s="17">
        <f>S161/T161</f>
        <v>0.2</v>
      </c>
      <c r="S161" s="16">
        <f>MID(D161,FIND("x",D161)+7,4)*1</f>
        <v>1200</v>
      </c>
      <c r="T161" s="16">
        <v>6000</v>
      </c>
    </row>
    <row r="162" spans="1:20" x14ac:dyDescent="0.55000000000000004">
      <c r="A162" t="s">
        <v>828</v>
      </c>
      <c r="C162" t="s">
        <v>142</v>
      </c>
      <c r="D162" t="s">
        <v>143</v>
      </c>
      <c r="E162" t="s">
        <v>35</v>
      </c>
      <c r="F162" t="s">
        <v>30</v>
      </c>
      <c r="G162" t="s">
        <v>31</v>
      </c>
      <c r="H162" t="s">
        <v>36</v>
      </c>
      <c r="I162" t="s">
        <v>144</v>
      </c>
      <c r="J162" t="s">
        <v>145</v>
      </c>
      <c r="K162" t="s">
        <v>39</v>
      </c>
      <c r="L162" t="s">
        <v>30</v>
      </c>
      <c r="M162" t="s">
        <v>31</v>
      </c>
      <c r="N162" t="s">
        <v>4003</v>
      </c>
      <c r="Q162" s="4">
        <v>1</v>
      </c>
    </row>
    <row r="163" spans="1:20" x14ac:dyDescent="0.55000000000000004">
      <c r="A163" t="s">
        <v>833</v>
      </c>
      <c r="C163" t="s">
        <v>144</v>
      </c>
      <c r="D163" t="s">
        <v>145</v>
      </c>
      <c r="E163" t="s">
        <v>39</v>
      </c>
      <c r="F163" t="s">
        <v>30</v>
      </c>
      <c r="G163" t="s">
        <v>31</v>
      </c>
      <c r="H163" s="11" t="s">
        <v>991</v>
      </c>
      <c r="I163" t="s">
        <v>1909</v>
      </c>
      <c r="J163" t="s">
        <v>1910</v>
      </c>
      <c r="K163" t="s">
        <v>362</v>
      </c>
      <c r="L163" t="s">
        <v>30</v>
      </c>
      <c r="M163" t="s">
        <v>31</v>
      </c>
      <c r="Q163" s="4">
        <v>1</v>
      </c>
    </row>
    <row r="164" spans="1:20" x14ac:dyDescent="0.55000000000000004">
      <c r="A164" t="s">
        <v>838</v>
      </c>
      <c r="C164" t="s">
        <v>144</v>
      </c>
      <c r="D164" t="s">
        <v>145</v>
      </c>
      <c r="E164" t="s">
        <v>39</v>
      </c>
      <c r="F164" t="s">
        <v>30</v>
      </c>
      <c r="G164" t="s">
        <v>31</v>
      </c>
      <c r="H164" s="11" t="s">
        <v>991</v>
      </c>
      <c r="I164" t="s">
        <v>1948</v>
      </c>
      <c r="J164" t="s">
        <v>1949</v>
      </c>
      <c r="K164" t="s">
        <v>39</v>
      </c>
      <c r="L164" t="s">
        <v>30</v>
      </c>
      <c r="M164" t="s">
        <v>31</v>
      </c>
      <c r="N164" t="s">
        <v>991</v>
      </c>
      <c r="Q164" s="4">
        <v>1</v>
      </c>
    </row>
    <row r="165" spans="1:20" s="16" customFormat="1" ht="18.5" thickBot="1" x14ac:dyDescent="0.6">
      <c r="A165" s="16" t="s">
        <v>843</v>
      </c>
      <c r="C165" s="16" t="s">
        <v>1948</v>
      </c>
      <c r="D165" s="16" t="s">
        <v>1949</v>
      </c>
      <c r="E165" s="16" t="s">
        <v>39</v>
      </c>
      <c r="F165" s="16" t="s">
        <v>30</v>
      </c>
      <c r="G165" s="16" t="s">
        <v>31</v>
      </c>
      <c r="H165" s="16" t="s">
        <v>991</v>
      </c>
      <c r="I165" s="16" t="s">
        <v>2251</v>
      </c>
      <c r="J165" s="16" t="s">
        <v>2252</v>
      </c>
      <c r="K165" s="16" t="s">
        <v>39</v>
      </c>
      <c r="L165" s="16" t="s">
        <v>30</v>
      </c>
      <c r="M165" s="16" t="s">
        <v>31</v>
      </c>
      <c r="N165" s="16" t="s">
        <v>991</v>
      </c>
      <c r="Q165" s="17">
        <f>S165/T165</f>
        <v>0.21666666666666667</v>
      </c>
      <c r="S165" s="16">
        <f>MID(D165,FIND("x",D165)+7,4)*1</f>
        <v>1300</v>
      </c>
      <c r="T165" s="16">
        <v>6000</v>
      </c>
    </row>
    <row r="166" spans="1:20" x14ac:dyDescent="0.55000000000000004">
      <c r="A166" t="s">
        <v>848</v>
      </c>
      <c r="C166" t="s">
        <v>3467</v>
      </c>
      <c r="D166" t="s">
        <v>3468</v>
      </c>
      <c r="E166" t="s">
        <v>35</v>
      </c>
      <c r="F166" t="s">
        <v>30</v>
      </c>
      <c r="G166" t="s">
        <v>31</v>
      </c>
      <c r="H166" t="s">
        <v>36</v>
      </c>
      <c r="I166" t="s">
        <v>3469</v>
      </c>
      <c r="J166" t="s">
        <v>3470</v>
      </c>
      <c r="K166" t="s">
        <v>39</v>
      </c>
      <c r="L166" t="s">
        <v>30</v>
      </c>
      <c r="M166" t="s">
        <v>31</v>
      </c>
      <c r="N166" t="s">
        <v>991</v>
      </c>
      <c r="Q166" s="4">
        <v>1</v>
      </c>
    </row>
    <row r="167" spans="1:20" x14ac:dyDescent="0.55000000000000004">
      <c r="A167" t="s">
        <v>853</v>
      </c>
      <c r="C167" t="s">
        <v>3469</v>
      </c>
      <c r="D167" t="s">
        <v>3470</v>
      </c>
      <c r="E167" t="s">
        <v>39</v>
      </c>
      <c r="F167" t="s">
        <v>30</v>
      </c>
      <c r="G167" t="s">
        <v>31</v>
      </c>
      <c r="H167" s="11" t="s">
        <v>991</v>
      </c>
      <c r="I167" t="s">
        <v>1909</v>
      </c>
      <c r="J167" t="s">
        <v>1910</v>
      </c>
      <c r="K167" t="s">
        <v>362</v>
      </c>
      <c r="L167" t="s">
        <v>30</v>
      </c>
      <c r="M167" t="s">
        <v>31</v>
      </c>
      <c r="Q167" s="4">
        <v>1</v>
      </c>
    </row>
    <row r="168" spans="1:20" x14ac:dyDescent="0.55000000000000004">
      <c r="A168" t="s">
        <v>858</v>
      </c>
      <c r="C168" t="s">
        <v>3469</v>
      </c>
      <c r="D168" t="s">
        <v>3470</v>
      </c>
      <c r="E168" t="s">
        <v>39</v>
      </c>
      <c r="F168" t="s">
        <v>30</v>
      </c>
      <c r="G168" t="s">
        <v>31</v>
      </c>
      <c r="H168" s="11" t="s">
        <v>991</v>
      </c>
      <c r="I168" t="s">
        <v>3743</v>
      </c>
      <c r="J168" t="s">
        <v>3744</v>
      </c>
      <c r="K168" t="s">
        <v>39</v>
      </c>
      <c r="L168" t="s">
        <v>30</v>
      </c>
      <c r="M168" t="s">
        <v>31</v>
      </c>
      <c r="N168" t="s">
        <v>991</v>
      </c>
      <c r="Q168" s="4">
        <v>1</v>
      </c>
    </row>
    <row r="169" spans="1:20" s="16" customFormat="1" ht="18.5" thickBot="1" x14ac:dyDescent="0.6">
      <c r="A169" s="16" t="s">
        <v>863</v>
      </c>
      <c r="C169" s="16" t="s">
        <v>3743</v>
      </c>
      <c r="D169" s="16" t="s">
        <v>3744</v>
      </c>
      <c r="E169" s="16" t="s">
        <v>39</v>
      </c>
      <c r="F169" s="16" t="s">
        <v>30</v>
      </c>
      <c r="G169" s="16" t="s">
        <v>31</v>
      </c>
      <c r="H169" s="16" t="s">
        <v>991</v>
      </c>
      <c r="I169" s="16" t="s">
        <v>2251</v>
      </c>
      <c r="J169" s="16" t="s">
        <v>2252</v>
      </c>
      <c r="K169" s="16" t="s">
        <v>39</v>
      </c>
      <c r="L169" s="16" t="s">
        <v>30</v>
      </c>
      <c r="M169" s="16" t="s">
        <v>31</v>
      </c>
      <c r="N169" s="16" t="s">
        <v>991</v>
      </c>
      <c r="Q169" s="17">
        <f>S169/T169</f>
        <v>0.23333333333333334</v>
      </c>
      <c r="S169" s="16">
        <f>MID(D169,FIND("x",D169)+7,4)*1</f>
        <v>1400</v>
      </c>
      <c r="T169" s="16">
        <v>6000</v>
      </c>
    </row>
    <row r="170" spans="1:20" x14ac:dyDescent="0.55000000000000004">
      <c r="A170" t="s">
        <v>868</v>
      </c>
      <c r="C170" t="s">
        <v>3471</v>
      </c>
      <c r="D170" t="s">
        <v>3472</v>
      </c>
      <c r="E170" t="s">
        <v>35</v>
      </c>
      <c r="F170" t="s">
        <v>30</v>
      </c>
      <c r="G170" t="s">
        <v>31</v>
      </c>
      <c r="H170" t="s">
        <v>36</v>
      </c>
      <c r="I170" t="s">
        <v>3473</v>
      </c>
      <c r="J170" t="s">
        <v>3474</v>
      </c>
      <c r="K170" t="s">
        <v>39</v>
      </c>
      <c r="L170" t="s">
        <v>30</v>
      </c>
      <c r="M170" t="s">
        <v>31</v>
      </c>
      <c r="N170" t="s">
        <v>991</v>
      </c>
      <c r="Q170" s="4">
        <v>1</v>
      </c>
    </row>
    <row r="171" spans="1:20" x14ac:dyDescent="0.55000000000000004">
      <c r="A171" t="s">
        <v>873</v>
      </c>
      <c r="C171" t="s">
        <v>3473</v>
      </c>
      <c r="D171" t="s">
        <v>3474</v>
      </c>
      <c r="E171" t="s">
        <v>39</v>
      </c>
      <c r="F171" t="s">
        <v>30</v>
      </c>
      <c r="G171" t="s">
        <v>31</v>
      </c>
      <c r="H171" s="11" t="s">
        <v>991</v>
      </c>
      <c r="I171" t="s">
        <v>1909</v>
      </c>
      <c r="J171" t="s">
        <v>1910</v>
      </c>
      <c r="K171" t="s">
        <v>362</v>
      </c>
      <c r="L171" t="s">
        <v>30</v>
      </c>
      <c r="M171" t="s">
        <v>31</v>
      </c>
      <c r="Q171" s="4">
        <v>1</v>
      </c>
    </row>
    <row r="172" spans="1:20" x14ac:dyDescent="0.55000000000000004">
      <c r="A172" t="s">
        <v>878</v>
      </c>
      <c r="C172" t="s">
        <v>3473</v>
      </c>
      <c r="D172" t="s">
        <v>3474</v>
      </c>
      <c r="E172" t="s">
        <v>39</v>
      </c>
      <c r="F172" t="s">
        <v>30</v>
      </c>
      <c r="G172" t="s">
        <v>31</v>
      </c>
      <c r="H172" s="11" t="s">
        <v>991</v>
      </c>
      <c r="I172" t="s">
        <v>3745</v>
      </c>
      <c r="J172" t="s">
        <v>3746</v>
      </c>
      <c r="K172" t="s">
        <v>39</v>
      </c>
      <c r="L172" t="s">
        <v>30</v>
      </c>
      <c r="M172" t="s">
        <v>31</v>
      </c>
      <c r="N172" t="s">
        <v>991</v>
      </c>
      <c r="Q172" s="4">
        <v>1</v>
      </c>
    </row>
    <row r="173" spans="1:20" s="16" customFormat="1" ht="18.5" thickBot="1" x14ac:dyDescent="0.6">
      <c r="A173" s="16" t="s">
        <v>883</v>
      </c>
      <c r="C173" s="16" t="s">
        <v>3745</v>
      </c>
      <c r="D173" s="16" t="s">
        <v>3746</v>
      </c>
      <c r="E173" s="16" t="s">
        <v>39</v>
      </c>
      <c r="F173" s="16" t="s">
        <v>30</v>
      </c>
      <c r="G173" s="16" t="s">
        <v>31</v>
      </c>
      <c r="H173" s="16" t="s">
        <v>991</v>
      </c>
      <c r="I173" s="16" t="s">
        <v>2251</v>
      </c>
      <c r="J173" s="16" t="s">
        <v>2252</v>
      </c>
      <c r="K173" s="16" t="s">
        <v>39</v>
      </c>
      <c r="L173" s="16" t="s">
        <v>30</v>
      </c>
      <c r="M173" s="16" t="s">
        <v>31</v>
      </c>
      <c r="N173" s="16" t="s">
        <v>991</v>
      </c>
      <c r="Q173" s="17">
        <f>S173/T173</f>
        <v>0.25</v>
      </c>
      <c r="S173" s="16">
        <f>MID(D173,FIND("x",D173)+7,4)*1</f>
        <v>1500</v>
      </c>
      <c r="T173" s="16">
        <v>6000</v>
      </c>
    </row>
    <row r="174" spans="1:20" x14ac:dyDescent="0.55000000000000004">
      <c r="A174" t="s">
        <v>888</v>
      </c>
      <c r="C174" t="s">
        <v>3475</v>
      </c>
      <c r="D174" t="s">
        <v>3476</v>
      </c>
      <c r="E174" t="s">
        <v>35</v>
      </c>
      <c r="F174" t="s">
        <v>30</v>
      </c>
      <c r="G174" t="s">
        <v>31</v>
      </c>
      <c r="H174" t="s">
        <v>36</v>
      </c>
      <c r="I174" t="s">
        <v>3477</v>
      </c>
      <c r="J174" t="s">
        <v>3478</v>
      </c>
      <c r="K174" t="s">
        <v>39</v>
      </c>
      <c r="L174" t="s">
        <v>30</v>
      </c>
      <c r="M174" t="s">
        <v>31</v>
      </c>
      <c r="N174" t="s">
        <v>991</v>
      </c>
      <c r="Q174" s="4">
        <v>1</v>
      </c>
    </row>
    <row r="175" spans="1:20" x14ac:dyDescent="0.55000000000000004">
      <c r="A175" t="s">
        <v>893</v>
      </c>
      <c r="C175" t="s">
        <v>3477</v>
      </c>
      <c r="D175" t="s">
        <v>3478</v>
      </c>
      <c r="E175" t="s">
        <v>39</v>
      </c>
      <c r="F175" t="s">
        <v>30</v>
      </c>
      <c r="G175" t="s">
        <v>31</v>
      </c>
      <c r="H175" s="11" t="s">
        <v>991</v>
      </c>
      <c r="I175" t="s">
        <v>1909</v>
      </c>
      <c r="J175" t="s">
        <v>1910</v>
      </c>
      <c r="K175" t="s">
        <v>362</v>
      </c>
      <c r="L175" t="s">
        <v>30</v>
      </c>
      <c r="M175" t="s">
        <v>31</v>
      </c>
      <c r="Q175" s="4">
        <v>1</v>
      </c>
    </row>
    <row r="176" spans="1:20" x14ac:dyDescent="0.55000000000000004">
      <c r="A176" t="s">
        <v>898</v>
      </c>
      <c r="C176" t="s">
        <v>3477</v>
      </c>
      <c r="D176" t="s">
        <v>3478</v>
      </c>
      <c r="E176" t="s">
        <v>39</v>
      </c>
      <c r="F176" t="s">
        <v>30</v>
      </c>
      <c r="G176" t="s">
        <v>31</v>
      </c>
      <c r="H176" s="11" t="s">
        <v>991</v>
      </c>
      <c r="I176" t="s">
        <v>3747</v>
      </c>
      <c r="J176" t="s">
        <v>3748</v>
      </c>
      <c r="K176" t="s">
        <v>39</v>
      </c>
      <c r="L176" t="s">
        <v>30</v>
      </c>
      <c r="M176" t="s">
        <v>31</v>
      </c>
      <c r="N176" t="s">
        <v>991</v>
      </c>
      <c r="Q176" s="4">
        <v>1</v>
      </c>
    </row>
    <row r="177" spans="1:20" s="16" customFormat="1" ht="18.5" thickBot="1" x14ac:dyDescent="0.6">
      <c r="A177" s="16" t="s">
        <v>903</v>
      </c>
      <c r="C177" s="16" t="s">
        <v>3747</v>
      </c>
      <c r="D177" s="16" t="s">
        <v>3748</v>
      </c>
      <c r="E177" s="16" t="s">
        <v>39</v>
      </c>
      <c r="F177" s="16" t="s">
        <v>30</v>
      </c>
      <c r="G177" s="16" t="s">
        <v>31</v>
      </c>
      <c r="H177" s="16" t="s">
        <v>991</v>
      </c>
      <c r="I177" s="16" t="s">
        <v>2251</v>
      </c>
      <c r="J177" s="16" t="s">
        <v>2252</v>
      </c>
      <c r="K177" s="16" t="s">
        <v>39</v>
      </c>
      <c r="L177" s="16" t="s">
        <v>30</v>
      </c>
      <c r="M177" s="16" t="s">
        <v>31</v>
      </c>
      <c r="N177" s="16" t="s">
        <v>991</v>
      </c>
      <c r="Q177" s="17">
        <f>S177/T177</f>
        <v>0.26666666666666666</v>
      </c>
      <c r="S177" s="16">
        <f>MID(D177,FIND("x",D177)+7,4)*1</f>
        <v>1600</v>
      </c>
      <c r="T177" s="16">
        <v>6000</v>
      </c>
    </row>
    <row r="178" spans="1:20" x14ac:dyDescent="0.55000000000000004">
      <c r="A178" t="s">
        <v>908</v>
      </c>
      <c r="C178" t="s">
        <v>3479</v>
      </c>
      <c r="D178" t="s">
        <v>3480</v>
      </c>
      <c r="E178" t="s">
        <v>35</v>
      </c>
      <c r="F178" t="s">
        <v>30</v>
      </c>
      <c r="G178" t="s">
        <v>31</v>
      </c>
      <c r="H178" t="s">
        <v>36</v>
      </c>
      <c r="I178" t="s">
        <v>3481</v>
      </c>
      <c r="J178" t="s">
        <v>3482</v>
      </c>
      <c r="K178" t="s">
        <v>39</v>
      </c>
      <c r="L178" t="s">
        <v>30</v>
      </c>
      <c r="M178" t="s">
        <v>31</v>
      </c>
      <c r="N178" t="s">
        <v>991</v>
      </c>
      <c r="Q178" s="4">
        <v>1</v>
      </c>
    </row>
    <row r="179" spans="1:20" x14ac:dyDescent="0.55000000000000004">
      <c r="A179" t="s">
        <v>913</v>
      </c>
      <c r="C179" t="s">
        <v>3481</v>
      </c>
      <c r="D179" t="s">
        <v>3482</v>
      </c>
      <c r="E179" t="s">
        <v>39</v>
      </c>
      <c r="F179" t="s">
        <v>30</v>
      </c>
      <c r="G179" t="s">
        <v>31</v>
      </c>
      <c r="H179" s="11" t="s">
        <v>991</v>
      </c>
      <c r="I179" t="s">
        <v>1909</v>
      </c>
      <c r="J179" t="s">
        <v>1910</v>
      </c>
      <c r="K179" t="s">
        <v>362</v>
      </c>
      <c r="L179" t="s">
        <v>30</v>
      </c>
      <c r="M179" t="s">
        <v>31</v>
      </c>
      <c r="Q179" s="4">
        <v>1</v>
      </c>
    </row>
    <row r="180" spans="1:20" x14ac:dyDescent="0.55000000000000004">
      <c r="A180" t="s">
        <v>918</v>
      </c>
      <c r="C180" t="s">
        <v>3481</v>
      </c>
      <c r="D180" t="s">
        <v>3482</v>
      </c>
      <c r="E180" t="s">
        <v>39</v>
      </c>
      <c r="F180" t="s">
        <v>30</v>
      </c>
      <c r="G180" t="s">
        <v>31</v>
      </c>
      <c r="H180" s="11" t="s">
        <v>991</v>
      </c>
      <c r="I180" t="s">
        <v>3749</v>
      </c>
      <c r="J180" t="s">
        <v>3750</v>
      </c>
      <c r="K180" t="s">
        <v>39</v>
      </c>
      <c r="L180" t="s">
        <v>30</v>
      </c>
      <c r="M180" t="s">
        <v>31</v>
      </c>
      <c r="N180" t="s">
        <v>991</v>
      </c>
      <c r="Q180" s="4">
        <v>1</v>
      </c>
    </row>
    <row r="181" spans="1:20" s="16" customFormat="1" ht="18.5" thickBot="1" x14ac:dyDescent="0.6">
      <c r="A181" s="16" t="s">
        <v>923</v>
      </c>
      <c r="C181" s="16" t="s">
        <v>3749</v>
      </c>
      <c r="D181" s="16" t="s">
        <v>3750</v>
      </c>
      <c r="E181" s="16" t="s">
        <v>39</v>
      </c>
      <c r="F181" s="16" t="s">
        <v>30</v>
      </c>
      <c r="G181" s="16" t="s">
        <v>31</v>
      </c>
      <c r="H181" s="16" t="s">
        <v>991</v>
      </c>
      <c r="I181" s="16" t="s">
        <v>2251</v>
      </c>
      <c r="J181" s="16" t="s">
        <v>2252</v>
      </c>
      <c r="K181" s="16" t="s">
        <v>39</v>
      </c>
      <c r="L181" s="16" t="s">
        <v>30</v>
      </c>
      <c r="M181" s="16" t="s">
        <v>31</v>
      </c>
      <c r="N181" s="16" t="s">
        <v>991</v>
      </c>
      <c r="Q181" s="17">
        <f>S181/T181</f>
        <v>0.28333333333333333</v>
      </c>
      <c r="S181" s="16">
        <f>MID(D181,FIND("x",D181)+7,4)*1</f>
        <v>1700</v>
      </c>
      <c r="T181" s="16">
        <v>6000</v>
      </c>
    </row>
    <row r="182" spans="1:20" x14ac:dyDescent="0.55000000000000004">
      <c r="A182" t="s">
        <v>928</v>
      </c>
      <c r="C182" t="s">
        <v>3483</v>
      </c>
      <c r="D182" t="s">
        <v>3484</v>
      </c>
      <c r="E182" t="s">
        <v>35</v>
      </c>
      <c r="F182" t="s">
        <v>30</v>
      </c>
      <c r="G182" t="s">
        <v>31</v>
      </c>
      <c r="H182" t="s">
        <v>36</v>
      </c>
      <c r="I182" t="s">
        <v>3485</v>
      </c>
      <c r="J182" t="s">
        <v>3486</v>
      </c>
      <c r="K182" t="s">
        <v>39</v>
      </c>
      <c r="L182" t="s">
        <v>30</v>
      </c>
      <c r="M182" t="s">
        <v>31</v>
      </c>
      <c r="N182" t="s">
        <v>991</v>
      </c>
      <c r="Q182" s="4">
        <v>1</v>
      </c>
    </row>
    <row r="183" spans="1:20" x14ac:dyDescent="0.55000000000000004">
      <c r="A183" t="s">
        <v>933</v>
      </c>
      <c r="C183" t="s">
        <v>3485</v>
      </c>
      <c r="D183" t="s">
        <v>3486</v>
      </c>
      <c r="E183" t="s">
        <v>39</v>
      </c>
      <c r="F183" t="s">
        <v>30</v>
      </c>
      <c r="G183" t="s">
        <v>31</v>
      </c>
      <c r="H183" s="11" t="s">
        <v>991</v>
      </c>
      <c r="I183" t="s">
        <v>1909</v>
      </c>
      <c r="J183" t="s">
        <v>1910</v>
      </c>
      <c r="K183" t="s">
        <v>362</v>
      </c>
      <c r="L183" t="s">
        <v>30</v>
      </c>
      <c r="M183" t="s">
        <v>31</v>
      </c>
      <c r="Q183" s="4">
        <v>1</v>
      </c>
    </row>
    <row r="184" spans="1:20" x14ac:dyDescent="0.55000000000000004">
      <c r="A184" t="s">
        <v>938</v>
      </c>
      <c r="C184" t="s">
        <v>3485</v>
      </c>
      <c r="D184" t="s">
        <v>3486</v>
      </c>
      <c r="E184" t="s">
        <v>39</v>
      </c>
      <c r="F184" t="s">
        <v>30</v>
      </c>
      <c r="G184" t="s">
        <v>31</v>
      </c>
      <c r="H184" s="11" t="s">
        <v>991</v>
      </c>
      <c r="I184" t="s">
        <v>3751</v>
      </c>
      <c r="J184" t="s">
        <v>3752</v>
      </c>
      <c r="K184" t="s">
        <v>39</v>
      </c>
      <c r="L184" t="s">
        <v>30</v>
      </c>
      <c r="M184" t="s">
        <v>31</v>
      </c>
      <c r="N184" t="s">
        <v>991</v>
      </c>
      <c r="Q184" s="4">
        <v>1</v>
      </c>
    </row>
    <row r="185" spans="1:20" s="16" customFormat="1" ht="18.5" thickBot="1" x14ac:dyDescent="0.6">
      <c r="A185" s="16" t="s">
        <v>943</v>
      </c>
      <c r="C185" s="16" t="s">
        <v>3751</v>
      </c>
      <c r="D185" s="16" t="s">
        <v>3752</v>
      </c>
      <c r="E185" s="16" t="s">
        <v>39</v>
      </c>
      <c r="F185" s="16" t="s">
        <v>30</v>
      </c>
      <c r="G185" s="16" t="s">
        <v>31</v>
      </c>
      <c r="H185" s="16" t="s">
        <v>991</v>
      </c>
      <c r="I185" s="16" t="s">
        <v>2251</v>
      </c>
      <c r="J185" s="16" t="s">
        <v>2252</v>
      </c>
      <c r="K185" s="16" t="s">
        <v>39</v>
      </c>
      <c r="L185" s="16" t="s">
        <v>30</v>
      </c>
      <c r="M185" s="16" t="s">
        <v>31</v>
      </c>
      <c r="N185" s="16" t="s">
        <v>991</v>
      </c>
      <c r="Q185" s="17">
        <f>S185/T185</f>
        <v>0.3</v>
      </c>
      <c r="S185" s="16">
        <f>MID(D185,FIND("x",D185)+7,4)*1</f>
        <v>1800</v>
      </c>
      <c r="T185" s="16">
        <v>6000</v>
      </c>
    </row>
    <row r="186" spans="1:20" x14ac:dyDescent="0.55000000000000004">
      <c r="A186" t="s">
        <v>948</v>
      </c>
      <c r="C186" t="s">
        <v>3487</v>
      </c>
      <c r="D186" t="s">
        <v>3488</v>
      </c>
      <c r="E186" t="s">
        <v>35</v>
      </c>
      <c r="F186" t="s">
        <v>30</v>
      </c>
      <c r="G186" t="s">
        <v>31</v>
      </c>
      <c r="H186" t="s">
        <v>36</v>
      </c>
      <c r="I186" t="s">
        <v>3489</v>
      </c>
      <c r="J186" t="s">
        <v>3490</v>
      </c>
      <c r="K186" t="s">
        <v>39</v>
      </c>
      <c r="L186" t="s">
        <v>30</v>
      </c>
      <c r="M186" t="s">
        <v>31</v>
      </c>
      <c r="N186" t="s">
        <v>991</v>
      </c>
      <c r="Q186" s="4">
        <v>1</v>
      </c>
    </row>
    <row r="187" spans="1:20" x14ac:dyDescent="0.55000000000000004">
      <c r="A187" t="s">
        <v>953</v>
      </c>
      <c r="C187" t="s">
        <v>3489</v>
      </c>
      <c r="D187" t="s">
        <v>3490</v>
      </c>
      <c r="E187" t="s">
        <v>39</v>
      </c>
      <c r="F187" t="s">
        <v>30</v>
      </c>
      <c r="G187" t="s">
        <v>31</v>
      </c>
      <c r="H187" s="11" t="s">
        <v>991</v>
      </c>
      <c r="I187" t="s">
        <v>1909</v>
      </c>
      <c r="J187" t="s">
        <v>1910</v>
      </c>
      <c r="K187" t="s">
        <v>362</v>
      </c>
      <c r="L187" t="s">
        <v>30</v>
      </c>
      <c r="M187" t="s">
        <v>31</v>
      </c>
      <c r="Q187" s="4">
        <v>1</v>
      </c>
    </row>
    <row r="188" spans="1:20" x14ac:dyDescent="0.55000000000000004">
      <c r="A188" t="s">
        <v>958</v>
      </c>
      <c r="C188" t="s">
        <v>3489</v>
      </c>
      <c r="D188" t="s">
        <v>3490</v>
      </c>
      <c r="E188" t="s">
        <v>39</v>
      </c>
      <c r="F188" t="s">
        <v>30</v>
      </c>
      <c r="G188" t="s">
        <v>31</v>
      </c>
      <c r="H188" s="11" t="s">
        <v>991</v>
      </c>
      <c r="I188" t="s">
        <v>3753</v>
      </c>
      <c r="J188" t="s">
        <v>3754</v>
      </c>
      <c r="K188" t="s">
        <v>39</v>
      </c>
      <c r="L188" t="s">
        <v>30</v>
      </c>
      <c r="M188" t="s">
        <v>31</v>
      </c>
      <c r="N188" t="s">
        <v>991</v>
      </c>
      <c r="Q188" s="4">
        <v>1</v>
      </c>
    </row>
    <row r="189" spans="1:20" s="16" customFormat="1" ht="18.5" thickBot="1" x14ac:dyDescent="0.6">
      <c r="A189" s="16" t="s">
        <v>963</v>
      </c>
      <c r="C189" s="16" t="s">
        <v>3753</v>
      </c>
      <c r="D189" s="16" t="s">
        <v>3754</v>
      </c>
      <c r="E189" s="16" t="s">
        <v>39</v>
      </c>
      <c r="F189" s="16" t="s">
        <v>30</v>
      </c>
      <c r="G189" s="16" t="s">
        <v>31</v>
      </c>
      <c r="H189" s="16" t="s">
        <v>991</v>
      </c>
      <c r="I189" s="16" t="s">
        <v>2251</v>
      </c>
      <c r="J189" s="16" t="s">
        <v>2252</v>
      </c>
      <c r="K189" s="16" t="s">
        <v>39</v>
      </c>
      <c r="L189" s="16" t="s">
        <v>30</v>
      </c>
      <c r="M189" s="16" t="s">
        <v>31</v>
      </c>
      <c r="N189" s="16" t="s">
        <v>991</v>
      </c>
      <c r="Q189" s="17">
        <f>S189/T189</f>
        <v>0.31666666666666665</v>
      </c>
      <c r="S189" s="16">
        <f>MID(D189,FIND("x",D189)+7,4)*1</f>
        <v>1900</v>
      </c>
      <c r="T189" s="16">
        <v>6000</v>
      </c>
    </row>
    <row r="190" spans="1:20" x14ac:dyDescent="0.55000000000000004">
      <c r="A190" t="s">
        <v>968</v>
      </c>
      <c r="C190" t="s">
        <v>3491</v>
      </c>
      <c r="D190" t="s">
        <v>3492</v>
      </c>
      <c r="E190" t="s">
        <v>35</v>
      </c>
      <c r="F190" t="s">
        <v>30</v>
      </c>
      <c r="G190" t="s">
        <v>31</v>
      </c>
      <c r="H190" t="s">
        <v>36</v>
      </c>
      <c r="I190" t="s">
        <v>3493</v>
      </c>
      <c r="J190" t="s">
        <v>3494</v>
      </c>
      <c r="K190" t="s">
        <v>39</v>
      </c>
      <c r="L190" t="s">
        <v>30</v>
      </c>
      <c r="M190" t="s">
        <v>31</v>
      </c>
      <c r="N190" t="s">
        <v>991</v>
      </c>
      <c r="Q190" s="4">
        <v>1</v>
      </c>
    </row>
    <row r="191" spans="1:20" x14ac:dyDescent="0.55000000000000004">
      <c r="A191" t="s">
        <v>973</v>
      </c>
      <c r="C191" t="s">
        <v>3493</v>
      </c>
      <c r="D191" t="s">
        <v>3494</v>
      </c>
      <c r="E191" t="s">
        <v>39</v>
      </c>
      <c r="F191" t="s">
        <v>30</v>
      </c>
      <c r="G191" t="s">
        <v>31</v>
      </c>
      <c r="H191" s="11" t="s">
        <v>991</v>
      </c>
      <c r="I191" t="s">
        <v>1909</v>
      </c>
      <c r="J191" t="s">
        <v>1910</v>
      </c>
      <c r="K191" t="s">
        <v>362</v>
      </c>
      <c r="L191" t="s">
        <v>30</v>
      </c>
      <c r="M191" t="s">
        <v>31</v>
      </c>
      <c r="Q191" s="4">
        <v>1</v>
      </c>
    </row>
    <row r="192" spans="1:20" x14ac:dyDescent="0.55000000000000004">
      <c r="A192" t="s">
        <v>978</v>
      </c>
      <c r="C192" t="s">
        <v>3493</v>
      </c>
      <c r="D192" t="s">
        <v>3494</v>
      </c>
      <c r="E192" t="s">
        <v>39</v>
      </c>
      <c r="F192" t="s">
        <v>30</v>
      </c>
      <c r="G192" t="s">
        <v>31</v>
      </c>
      <c r="H192" s="11" t="s">
        <v>991</v>
      </c>
      <c r="I192" t="s">
        <v>3755</v>
      </c>
      <c r="J192" t="s">
        <v>3756</v>
      </c>
      <c r="K192" t="s">
        <v>39</v>
      </c>
      <c r="L192" t="s">
        <v>30</v>
      </c>
      <c r="M192" t="s">
        <v>31</v>
      </c>
      <c r="N192" t="s">
        <v>991</v>
      </c>
      <c r="Q192" s="4">
        <v>1</v>
      </c>
    </row>
    <row r="193" spans="1:20" s="16" customFormat="1" ht="18.5" thickBot="1" x14ac:dyDescent="0.6">
      <c r="A193" s="16" t="s">
        <v>983</v>
      </c>
      <c r="C193" s="16" t="s">
        <v>3755</v>
      </c>
      <c r="D193" s="16" t="s">
        <v>3756</v>
      </c>
      <c r="E193" s="16" t="s">
        <v>39</v>
      </c>
      <c r="F193" s="16" t="s">
        <v>30</v>
      </c>
      <c r="G193" s="16" t="s">
        <v>31</v>
      </c>
      <c r="H193" s="16" t="s">
        <v>991</v>
      </c>
      <c r="I193" s="16" t="s">
        <v>2251</v>
      </c>
      <c r="J193" s="16" t="s">
        <v>2252</v>
      </c>
      <c r="K193" s="16" t="s">
        <v>39</v>
      </c>
      <c r="L193" s="16" t="s">
        <v>30</v>
      </c>
      <c r="M193" s="16" t="s">
        <v>31</v>
      </c>
      <c r="N193" s="16" t="s">
        <v>991</v>
      </c>
      <c r="Q193" s="17">
        <f>S193/T193</f>
        <v>0.33333333333333331</v>
      </c>
      <c r="S193" s="16">
        <f>MID(D193,FIND("x",D193)+7,4)*1</f>
        <v>2000</v>
      </c>
      <c r="T193" s="16">
        <v>6000</v>
      </c>
    </row>
    <row r="194" spans="1:20" x14ac:dyDescent="0.55000000000000004">
      <c r="A194" t="s">
        <v>988</v>
      </c>
      <c r="C194" t="s">
        <v>3495</v>
      </c>
      <c r="D194" t="s">
        <v>3496</v>
      </c>
      <c r="E194" t="s">
        <v>35</v>
      </c>
      <c r="F194" t="s">
        <v>30</v>
      </c>
      <c r="G194" t="s">
        <v>31</v>
      </c>
      <c r="H194" t="s">
        <v>36</v>
      </c>
      <c r="I194" t="s">
        <v>3497</v>
      </c>
      <c r="J194" t="s">
        <v>3498</v>
      </c>
      <c r="K194" t="s">
        <v>39</v>
      </c>
      <c r="L194" t="s">
        <v>30</v>
      </c>
      <c r="M194" t="s">
        <v>31</v>
      </c>
      <c r="N194" t="s">
        <v>991</v>
      </c>
      <c r="Q194" s="4">
        <v>1</v>
      </c>
    </row>
    <row r="195" spans="1:20" x14ac:dyDescent="0.55000000000000004">
      <c r="A195" t="s">
        <v>992</v>
      </c>
      <c r="C195" t="s">
        <v>3497</v>
      </c>
      <c r="D195" t="s">
        <v>3498</v>
      </c>
      <c r="E195" t="s">
        <v>39</v>
      </c>
      <c r="F195" t="s">
        <v>30</v>
      </c>
      <c r="G195" t="s">
        <v>31</v>
      </c>
      <c r="H195" s="11" t="s">
        <v>991</v>
      </c>
      <c r="I195" t="s">
        <v>1909</v>
      </c>
      <c r="J195" t="s">
        <v>1910</v>
      </c>
      <c r="K195" t="s">
        <v>362</v>
      </c>
      <c r="L195" t="s">
        <v>30</v>
      </c>
      <c r="M195" t="s">
        <v>31</v>
      </c>
      <c r="Q195" s="4">
        <v>1</v>
      </c>
    </row>
    <row r="196" spans="1:20" x14ac:dyDescent="0.55000000000000004">
      <c r="A196" t="s">
        <v>995</v>
      </c>
      <c r="C196" t="s">
        <v>3497</v>
      </c>
      <c r="D196" t="s">
        <v>3498</v>
      </c>
      <c r="E196" t="s">
        <v>39</v>
      </c>
      <c r="F196" t="s">
        <v>30</v>
      </c>
      <c r="G196" t="s">
        <v>31</v>
      </c>
      <c r="H196" s="11" t="s">
        <v>991</v>
      </c>
      <c r="I196" t="s">
        <v>3757</v>
      </c>
      <c r="J196" t="s">
        <v>3758</v>
      </c>
      <c r="K196" t="s">
        <v>39</v>
      </c>
      <c r="L196" t="s">
        <v>30</v>
      </c>
      <c r="M196" t="s">
        <v>31</v>
      </c>
      <c r="N196" t="s">
        <v>991</v>
      </c>
      <c r="Q196" s="4">
        <v>1</v>
      </c>
    </row>
    <row r="197" spans="1:20" s="16" customFormat="1" ht="18.5" thickBot="1" x14ac:dyDescent="0.6">
      <c r="A197" s="16" t="s">
        <v>998</v>
      </c>
      <c r="C197" s="16" t="s">
        <v>3757</v>
      </c>
      <c r="D197" s="16" t="s">
        <v>3758</v>
      </c>
      <c r="E197" s="16" t="s">
        <v>39</v>
      </c>
      <c r="F197" s="16" t="s">
        <v>30</v>
      </c>
      <c r="G197" s="16" t="s">
        <v>31</v>
      </c>
      <c r="H197" s="16" t="s">
        <v>991</v>
      </c>
      <c r="I197" s="16" t="s">
        <v>2251</v>
      </c>
      <c r="J197" s="16" t="s">
        <v>2252</v>
      </c>
      <c r="K197" s="16" t="s">
        <v>39</v>
      </c>
      <c r="L197" s="16" t="s">
        <v>30</v>
      </c>
      <c r="M197" s="16" t="s">
        <v>31</v>
      </c>
      <c r="N197" s="16" t="s">
        <v>991</v>
      </c>
      <c r="Q197" s="17">
        <f>S197/T197</f>
        <v>0.35</v>
      </c>
      <c r="S197" s="16">
        <f>MID(D197,FIND("x",D197)+7,4)*1</f>
        <v>2100</v>
      </c>
      <c r="T197" s="16">
        <v>6000</v>
      </c>
    </row>
    <row r="198" spans="1:20" x14ac:dyDescent="0.55000000000000004">
      <c r="A198" t="s">
        <v>1001</v>
      </c>
      <c r="C198" t="s">
        <v>3499</v>
      </c>
      <c r="D198" t="s">
        <v>3500</v>
      </c>
      <c r="E198" t="s">
        <v>35</v>
      </c>
      <c r="F198" t="s">
        <v>30</v>
      </c>
      <c r="G198" t="s">
        <v>31</v>
      </c>
      <c r="H198" t="s">
        <v>36</v>
      </c>
      <c r="I198" t="s">
        <v>3501</v>
      </c>
      <c r="J198" t="s">
        <v>3502</v>
      </c>
      <c r="K198" t="s">
        <v>39</v>
      </c>
      <c r="L198" t="s">
        <v>30</v>
      </c>
      <c r="M198" t="s">
        <v>31</v>
      </c>
      <c r="N198" t="s">
        <v>991</v>
      </c>
      <c r="Q198" s="4">
        <v>1</v>
      </c>
    </row>
    <row r="199" spans="1:20" x14ac:dyDescent="0.55000000000000004">
      <c r="A199" t="s">
        <v>1004</v>
      </c>
      <c r="C199" t="s">
        <v>3501</v>
      </c>
      <c r="D199" t="s">
        <v>3502</v>
      </c>
      <c r="E199" t="s">
        <v>39</v>
      </c>
      <c r="F199" t="s">
        <v>30</v>
      </c>
      <c r="G199" t="s">
        <v>31</v>
      </c>
      <c r="H199" s="11" t="s">
        <v>991</v>
      </c>
      <c r="I199" t="s">
        <v>1909</v>
      </c>
      <c r="J199" t="s">
        <v>1910</v>
      </c>
      <c r="K199" t="s">
        <v>362</v>
      </c>
      <c r="L199" t="s">
        <v>30</v>
      </c>
      <c r="M199" t="s">
        <v>31</v>
      </c>
      <c r="Q199" s="4">
        <v>1</v>
      </c>
    </row>
    <row r="200" spans="1:20" x14ac:dyDescent="0.55000000000000004">
      <c r="A200" t="s">
        <v>1007</v>
      </c>
      <c r="C200" t="s">
        <v>3501</v>
      </c>
      <c r="D200" t="s">
        <v>3502</v>
      </c>
      <c r="E200" t="s">
        <v>39</v>
      </c>
      <c r="F200" t="s">
        <v>30</v>
      </c>
      <c r="G200" t="s">
        <v>31</v>
      </c>
      <c r="H200" s="11" t="s">
        <v>991</v>
      </c>
      <c r="I200" t="s">
        <v>3759</v>
      </c>
      <c r="J200" t="s">
        <v>3760</v>
      </c>
      <c r="K200" t="s">
        <v>39</v>
      </c>
      <c r="L200" t="s">
        <v>30</v>
      </c>
      <c r="M200" t="s">
        <v>31</v>
      </c>
      <c r="N200" t="s">
        <v>991</v>
      </c>
      <c r="Q200" s="4">
        <v>1</v>
      </c>
    </row>
    <row r="201" spans="1:20" s="16" customFormat="1" ht="18.5" thickBot="1" x14ac:dyDescent="0.6">
      <c r="A201" s="16" t="s">
        <v>1010</v>
      </c>
      <c r="C201" s="16" t="s">
        <v>3759</v>
      </c>
      <c r="D201" s="16" t="s">
        <v>3760</v>
      </c>
      <c r="E201" s="16" t="s">
        <v>39</v>
      </c>
      <c r="F201" s="16" t="s">
        <v>30</v>
      </c>
      <c r="G201" s="16" t="s">
        <v>31</v>
      </c>
      <c r="H201" s="16" t="s">
        <v>991</v>
      </c>
      <c r="I201" s="16" t="s">
        <v>2251</v>
      </c>
      <c r="J201" s="16" t="s">
        <v>2252</v>
      </c>
      <c r="K201" s="16" t="s">
        <v>39</v>
      </c>
      <c r="L201" s="16" t="s">
        <v>30</v>
      </c>
      <c r="M201" s="16" t="s">
        <v>31</v>
      </c>
      <c r="N201" s="16" t="s">
        <v>991</v>
      </c>
      <c r="Q201" s="17">
        <f>S201/T201</f>
        <v>0.36666666666666664</v>
      </c>
      <c r="S201" s="16">
        <f>MID(D201,FIND("x",D201)+7,4)*1</f>
        <v>2200</v>
      </c>
      <c r="T201" s="16">
        <v>6000</v>
      </c>
    </row>
    <row r="202" spans="1:20" x14ac:dyDescent="0.55000000000000004">
      <c r="A202" t="s">
        <v>1013</v>
      </c>
      <c r="C202" t="s">
        <v>3503</v>
      </c>
      <c r="D202" t="s">
        <v>3504</v>
      </c>
      <c r="E202" t="s">
        <v>35</v>
      </c>
      <c r="F202" t="s">
        <v>30</v>
      </c>
      <c r="G202" t="s">
        <v>31</v>
      </c>
      <c r="H202" t="s">
        <v>36</v>
      </c>
      <c r="I202" t="s">
        <v>3505</v>
      </c>
      <c r="J202" t="s">
        <v>3506</v>
      </c>
      <c r="K202" t="s">
        <v>39</v>
      </c>
      <c r="L202" t="s">
        <v>30</v>
      </c>
      <c r="M202" t="s">
        <v>31</v>
      </c>
      <c r="N202" t="s">
        <v>991</v>
      </c>
      <c r="Q202" s="4">
        <v>1</v>
      </c>
    </row>
    <row r="203" spans="1:20" x14ac:dyDescent="0.55000000000000004">
      <c r="A203" t="s">
        <v>1016</v>
      </c>
      <c r="C203" t="s">
        <v>3505</v>
      </c>
      <c r="D203" t="s">
        <v>3506</v>
      </c>
      <c r="E203" t="s">
        <v>39</v>
      </c>
      <c r="F203" t="s">
        <v>30</v>
      </c>
      <c r="G203" t="s">
        <v>31</v>
      </c>
      <c r="H203" s="11" t="s">
        <v>991</v>
      </c>
      <c r="I203" t="s">
        <v>1909</v>
      </c>
      <c r="J203" t="s">
        <v>1910</v>
      </c>
      <c r="K203" t="s">
        <v>362</v>
      </c>
      <c r="L203" t="s">
        <v>30</v>
      </c>
      <c r="M203" t="s">
        <v>31</v>
      </c>
      <c r="Q203" s="4">
        <v>1</v>
      </c>
    </row>
    <row r="204" spans="1:20" x14ac:dyDescent="0.55000000000000004">
      <c r="A204" t="s">
        <v>1019</v>
      </c>
      <c r="C204" t="s">
        <v>3505</v>
      </c>
      <c r="D204" t="s">
        <v>3506</v>
      </c>
      <c r="E204" t="s">
        <v>39</v>
      </c>
      <c r="F204" t="s">
        <v>30</v>
      </c>
      <c r="G204" t="s">
        <v>31</v>
      </c>
      <c r="H204" s="11" t="s">
        <v>991</v>
      </c>
      <c r="I204" t="s">
        <v>3761</v>
      </c>
      <c r="J204" t="s">
        <v>3762</v>
      </c>
      <c r="K204" t="s">
        <v>39</v>
      </c>
      <c r="L204" t="s">
        <v>30</v>
      </c>
      <c r="M204" t="s">
        <v>31</v>
      </c>
      <c r="N204" t="s">
        <v>991</v>
      </c>
      <c r="Q204" s="4">
        <v>1</v>
      </c>
    </row>
    <row r="205" spans="1:20" s="16" customFormat="1" ht="18.5" thickBot="1" x14ac:dyDescent="0.6">
      <c r="A205" s="16" t="s">
        <v>1022</v>
      </c>
      <c r="C205" s="16" t="s">
        <v>3761</v>
      </c>
      <c r="D205" s="16" t="s">
        <v>3762</v>
      </c>
      <c r="E205" s="16" t="s">
        <v>39</v>
      </c>
      <c r="F205" s="16" t="s">
        <v>30</v>
      </c>
      <c r="G205" s="16" t="s">
        <v>31</v>
      </c>
      <c r="H205" s="16" t="s">
        <v>991</v>
      </c>
      <c r="I205" s="16" t="s">
        <v>2251</v>
      </c>
      <c r="J205" s="16" t="s">
        <v>2252</v>
      </c>
      <c r="K205" s="16" t="s">
        <v>39</v>
      </c>
      <c r="L205" s="16" t="s">
        <v>30</v>
      </c>
      <c r="M205" s="16" t="s">
        <v>31</v>
      </c>
      <c r="N205" s="16" t="s">
        <v>991</v>
      </c>
      <c r="Q205" s="17">
        <f>S205/T205</f>
        <v>0.38333333333333336</v>
      </c>
      <c r="S205" s="16">
        <f>MID(D205,FIND("x",D205)+7,4)*1</f>
        <v>2300</v>
      </c>
      <c r="T205" s="16">
        <v>6000</v>
      </c>
    </row>
    <row r="206" spans="1:20" x14ac:dyDescent="0.55000000000000004">
      <c r="A206" t="s">
        <v>1025</v>
      </c>
      <c r="C206" t="s">
        <v>3507</v>
      </c>
      <c r="D206" t="s">
        <v>3508</v>
      </c>
      <c r="E206" t="s">
        <v>35</v>
      </c>
      <c r="F206" t="s">
        <v>30</v>
      </c>
      <c r="G206" t="s">
        <v>31</v>
      </c>
      <c r="H206" t="s">
        <v>36</v>
      </c>
      <c r="I206" t="s">
        <v>3509</v>
      </c>
      <c r="J206" t="s">
        <v>3510</v>
      </c>
      <c r="K206" t="s">
        <v>39</v>
      </c>
      <c r="L206" t="s">
        <v>30</v>
      </c>
      <c r="M206" t="s">
        <v>31</v>
      </c>
      <c r="N206" t="s">
        <v>991</v>
      </c>
      <c r="Q206" s="4">
        <v>1</v>
      </c>
    </row>
    <row r="207" spans="1:20" x14ac:dyDescent="0.55000000000000004">
      <c r="A207" t="s">
        <v>1028</v>
      </c>
      <c r="C207" t="s">
        <v>3509</v>
      </c>
      <c r="D207" t="s">
        <v>3510</v>
      </c>
      <c r="E207" t="s">
        <v>39</v>
      </c>
      <c r="F207" t="s">
        <v>30</v>
      </c>
      <c r="G207" t="s">
        <v>31</v>
      </c>
      <c r="H207" s="11" t="s">
        <v>991</v>
      </c>
      <c r="I207" t="s">
        <v>1909</v>
      </c>
      <c r="J207" t="s">
        <v>1910</v>
      </c>
      <c r="K207" t="s">
        <v>362</v>
      </c>
      <c r="L207" t="s">
        <v>30</v>
      </c>
      <c r="M207" t="s">
        <v>31</v>
      </c>
      <c r="Q207" s="4">
        <v>1</v>
      </c>
    </row>
    <row r="208" spans="1:20" x14ac:dyDescent="0.55000000000000004">
      <c r="A208" t="s">
        <v>1031</v>
      </c>
      <c r="C208" t="s">
        <v>3509</v>
      </c>
      <c r="D208" t="s">
        <v>3510</v>
      </c>
      <c r="E208" t="s">
        <v>39</v>
      </c>
      <c r="F208" t="s">
        <v>30</v>
      </c>
      <c r="G208" t="s">
        <v>31</v>
      </c>
      <c r="H208" s="11" t="s">
        <v>991</v>
      </c>
      <c r="I208" t="s">
        <v>3763</v>
      </c>
      <c r="J208" t="s">
        <v>3764</v>
      </c>
      <c r="K208" t="s">
        <v>39</v>
      </c>
      <c r="L208" t="s">
        <v>30</v>
      </c>
      <c r="M208" t="s">
        <v>31</v>
      </c>
      <c r="N208" t="s">
        <v>991</v>
      </c>
      <c r="Q208" s="4">
        <v>1</v>
      </c>
    </row>
    <row r="209" spans="1:20" s="16" customFormat="1" ht="18.5" thickBot="1" x14ac:dyDescent="0.6">
      <c r="A209" s="16" t="s">
        <v>1034</v>
      </c>
      <c r="C209" s="16" t="s">
        <v>3763</v>
      </c>
      <c r="D209" s="16" t="s">
        <v>3764</v>
      </c>
      <c r="E209" s="16" t="s">
        <v>39</v>
      </c>
      <c r="F209" s="16" t="s">
        <v>30</v>
      </c>
      <c r="G209" s="16" t="s">
        <v>31</v>
      </c>
      <c r="H209" s="16" t="s">
        <v>991</v>
      </c>
      <c r="I209" s="16" t="s">
        <v>2251</v>
      </c>
      <c r="J209" s="16" t="s">
        <v>2252</v>
      </c>
      <c r="K209" s="16" t="s">
        <v>39</v>
      </c>
      <c r="L209" s="16" t="s">
        <v>30</v>
      </c>
      <c r="M209" s="16" t="s">
        <v>31</v>
      </c>
      <c r="N209" s="16" t="s">
        <v>991</v>
      </c>
      <c r="Q209" s="17">
        <f>S209/T209</f>
        <v>0.4</v>
      </c>
      <c r="S209" s="16">
        <f>MID(D209,FIND("x",D209)+7,4)*1</f>
        <v>2400</v>
      </c>
      <c r="T209" s="16">
        <v>6000</v>
      </c>
    </row>
    <row r="210" spans="1:20" x14ac:dyDescent="0.55000000000000004">
      <c r="A210" t="s">
        <v>1037</v>
      </c>
      <c r="C210" t="s">
        <v>3511</v>
      </c>
      <c r="D210" t="s">
        <v>3512</v>
      </c>
      <c r="E210" t="s">
        <v>35</v>
      </c>
      <c r="F210" t="s">
        <v>30</v>
      </c>
      <c r="G210" t="s">
        <v>31</v>
      </c>
      <c r="H210" t="s">
        <v>36</v>
      </c>
      <c r="I210" t="s">
        <v>3513</v>
      </c>
      <c r="J210" t="s">
        <v>3514</v>
      </c>
      <c r="K210" t="s">
        <v>39</v>
      </c>
      <c r="L210" t="s">
        <v>30</v>
      </c>
      <c r="M210" t="s">
        <v>31</v>
      </c>
      <c r="N210" t="s">
        <v>991</v>
      </c>
      <c r="Q210" s="4">
        <v>1</v>
      </c>
    </row>
    <row r="211" spans="1:20" x14ac:dyDescent="0.55000000000000004">
      <c r="A211" t="s">
        <v>1040</v>
      </c>
      <c r="C211" t="s">
        <v>3513</v>
      </c>
      <c r="D211" t="s">
        <v>3514</v>
      </c>
      <c r="E211" t="s">
        <v>39</v>
      </c>
      <c r="F211" t="s">
        <v>30</v>
      </c>
      <c r="G211" t="s">
        <v>31</v>
      </c>
      <c r="H211" s="11" t="s">
        <v>991</v>
      </c>
      <c r="I211" t="s">
        <v>1909</v>
      </c>
      <c r="J211" t="s">
        <v>1910</v>
      </c>
      <c r="K211" t="s">
        <v>362</v>
      </c>
      <c r="L211" t="s">
        <v>30</v>
      </c>
      <c r="M211" t="s">
        <v>31</v>
      </c>
      <c r="Q211" s="4">
        <v>1</v>
      </c>
    </row>
    <row r="212" spans="1:20" x14ac:dyDescent="0.55000000000000004">
      <c r="A212" t="s">
        <v>1043</v>
      </c>
      <c r="C212" t="s">
        <v>3513</v>
      </c>
      <c r="D212" t="s">
        <v>3514</v>
      </c>
      <c r="E212" t="s">
        <v>39</v>
      </c>
      <c r="F212" t="s">
        <v>30</v>
      </c>
      <c r="G212" t="s">
        <v>31</v>
      </c>
      <c r="H212" s="11" t="s">
        <v>991</v>
      </c>
      <c r="I212" t="s">
        <v>3765</v>
      </c>
      <c r="J212" t="s">
        <v>3766</v>
      </c>
      <c r="K212" t="s">
        <v>39</v>
      </c>
      <c r="L212" t="s">
        <v>30</v>
      </c>
      <c r="M212" t="s">
        <v>31</v>
      </c>
      <c r="N212" t="s">
        <v>991</v>
      </c>
      <c r="Q212" s="4">
        <v>1</v>
      </c>
    </row>
    <row r="213" spans="1:20" s="16" customFormat="1" ht="18.5" thickBot="1" x14ac:dyDescent="0.6">
      <c r="A213" s="16" t="s">
        <v>1046</v>
      </c>
      <c r="C213" s="16" t="s">
        <v>3765</v>
      </c>
      <c r="D213" s="16" t="s">
        <v>3766</v>
      </c>
      <c r="E213" s="16" t="s">
        <v>39</v>
      </c>
      <c r="F213" s="16" t="s">
        <v>30</v>
      </c>
      <c r="G213" s="16" t="s">
        <v>31</v>
      </c>
      <c r="H213" s="16" t="s">
        <v>991</v>
      </c>
      <c r="I213" s="16" t="s">
        <v>2251</v>
      </c>
      <c r="J213" s="16" t="s">
        <v>2252</v>
      </c>
      <c r="K213" s="16" t="s">
        <v>39</v>
      </c>
      <c r="L213" s="16" t="s">
        <v>30</v>
      </c>
      <c r="M213" s="16" t="s">
        <v>31</v>
      </c>
      <c r="N213" s="16" t="s">
        <v>991</v>
      </c>
      <c r="Q213" s="17">
        <f>S213/T213</f>
        <v>0.41666666666666669</v>
      </c>
      <c r="S213" s="16">
        <f>MID(D213,FIND("x",D213)+7,4)*1</f>
        <v>2500</v>
      </c>
      <c r="T213" s="16">
        <v>6000</v>
      </c>
    </row>
    <row r="214" spans="1:20" x14ac:dyDescent="0.55000000000000004">
      <c r="A214" t="s">
        <v>1049</v>
      </c>
      <c r="C214" t="s">
        <v>3515</v>
      </c>
      <c r="D214" t="s">
        <v>3516</v>
      </c>
      <c r="E214" t="s">
        <v>35</v>
      </c>
      <c r="F214" t="s">
        <v>30</v>
      </c>
      <c r="G214" t="s">
        <v>31</v>
      </c>
      <c r="H214" t="s">
        <v>36</v>
      </c>
      <c r="I214" t="s">
        <v>3517</v>
      </c>
      <c r="J214" t="s">
        <v>3518</v>
      </c>
      <c r="K214" t="s">
        <v>39</v>
      </c>
      <c r="L214" t="s">
        <v>30</v>
      </c>
      <c r="M214" t="s">
        <v>31</v>
      </c>
      <c r="N214" t="s">
        <v>991</v>
      </c>
      <c r="Q214" s="4">
        <v>1</v>
      </c>
    </row>
    <row r="215" spans="1:20" x14ac:dyDescent="0.55000000000000004">
      <c r="A215" t="s">
        <v>1052</v>
      </c>
      <c r="C215" t="s">
        <v>3517</v>
      </c>
      <c r="D215" t="s">
        <v>3518</v>
      </c>
      <c r="E215" t="s">
        <v>39</v>
      </c>
      <c r="F215" t="s">
        <v>30</v>
      </c>
      <c r="G215" t="s">
        <v>31</v>
      </c>
      <c r="H215" s="11" t="s">
        <v>991</v>
      </c>
      <c r="I215" t="s">
        <v>1909</v>
      </c>
      <c r="J215" t="s">
        <v>1910</v>
      </c>
      <c r="K215" t="s">
        <v>362</v>
      </c>
      <c r="L215" t="s">
        <v>30</v>
      </c>
      <c r="M215" t="s">
        <v>31</v>
      </c>
      <c r="Q215" s="4">
        <v>1</v>
      </c>
    </row>
    <row r="216" spans="1:20" x14ac:dyDescent="0.55000000000000004">
      <c r="A216" t="s">
        <v>1055</v>
      </c>
      <c r="C216" t="s">
        <v>3517</v>
      </c>
      <c r="D216" t="s">
        <v>3518</v>
      </c>
      <c r="E216" t="s">
        <v>39</v>
      </c>
      <c r="F216" t="s">
        <v>30</v>
      </c>
      <c r="G216" t="s">
        <v>31</v>
      </c>
      <c r="H216" s="11" t="s">
        <v>991</v>
      </c>
      <c r="I216" t="s">
        <v>3767</v>
      </c>
      <c r="J216" t="s">
        <v>3768</v>
      </c>
      <c r="K216" t="s">
        <v>39</v>
      </c>
      <c r="L216" t="s">
        <v>30</v>
      </c>
      <c r="M216" t="s">
        <v>31</v>
      </c>
      <c r="N216" t="s">
        <v>991</v>
      </c>
      <c r="Q216" s="4">
        <v>1</v>
      </c>
    </row>
    <row r="217" spans="1:20" s="16" customFormat="1" ht="18.5" thickBot="1" x14ac:dyDescent="0.6">
      <c r="A217" s="16" t="s">
        <v>1058</v>
      </c>
      <c r="C217" s="16" t="s">
        <v>3767</v>
      </c>
      <c r="D217" s="16" t="s">
        <v>3768</v>
      </c>
      <c r="E217" s="16" t="s">
        <v>39</v>
      </c>
      <c r="F217" s="16" t="s">
        <v>30</v>
      </c>
      <c r="G217" s="16" t="s">
        <v>31</v>
      </c>
      <c r="H217" s="16" t="s">
        <v>991</v>
      </c>
      <c r="I217" s="16" t="s">
        <v>2251</v>
      </c>
      <c r="J217" s="16" t="s">
        <v>2252</v>
      </c>
      <c r="K217" s="16" t="s">
        <v>39</v>
      </c>
      <c r="L217" s="16" t="s">
        <v>30</v>
      </c>
      <c r="M217" s="16" t="s">
        <v>31</v>
      </c>
      <c r="N217" s="16" t="s">
        <v>991</v>
      </c>
      <c r="Q217" s="17">
        <f>S217/T217</f>
        <v>0.43333333333333335</v>
      </c>
      <c r="S217" s="16">
        <f>MID(D217,FIND("x",D217)+7,4)*1</f>
        <v>2600</v>
      </c>
      <c r="T217" s="16">
        <v>6000</v>
      </c>
    </row>
    <row r="218" spans="1:20" x14ac:dyDescent="0.55000000000000004">
      <c r="A218" t="s">
        <v>1061</v>
      </c>
      <c r="C218" t="s">
        <v>3519</v>
      </c>
      <c r="D218" t="s">
        <v>3520</v>
      </c>
      <c r="E218" t="s">
        <v>35</v>
      </c>
      <c r="F218" t="s">
        <v>30</v>
      </c>
      <c r="G218" t="s">
        <v>31</v>
      </c>
      <c r="H218" t="s">
        <v>36</v>
      </c>
      <c r="I218" t="s">
        <v>3521</v>
      </c>
      <c r="J218" t="s">
        <v>3522</v>
      </c>
      <c r="K218" t="s">
        <v>39</v>
      </c>
      <c r="L218" t="s">
        <v>30</v>
      </c>
      <c r="M218" t="s">
        <v>31</v>
      </c>
      <c r="N218" t="s">
        <v>991</v>
      </c>
      <c r="Q218" s="4">
        <v>1</v>
      </c>
    </row>
    <row r="219" spans="1:20" x14ac:dyDescent="0.55000000000000004">
      <c r="A219" t="s">
        <v>1064</v>
      </c>
      <c r="C219" t="s">
        <v>3521</v>
      </c>
      <c r="D219" t="s">
        <v>3522</v>
      </c>
      <c r="E219" t="s">
        <v>39</v>
      </c>
      <c r="F219" t="s">
        <v>30</v>
      </c>
      <c r="G219" t="s">
        <v>31</v>
      </c>
      <c r="H219" s="11" t="s">
        <v>991</v>
      </c>
      <c r="I219" t="s">
        <v>1909</v>
      </c>
      <c r="J219" t="s">
        <v>1910</v>
      </c>
      <c r="K219" t="s">
        <v>362</v>
      </c>
      <c r="L219" t="s">
        <v>30</v>
      </c>
      <c r="M219" t="s">
        <v>31</v>
      </c>
      <c r="Q219" s="4">
        <v>1</v>
      </c>
    </row>
    <row r="220" spans="1:20" x14ac:dyDescent="0.55000000000000004">
      <c r="A220" t="s">
        <v>1067</v>
      </c>
      <c r="C220" t="s">
        <v>3521</v>
      </c>
      <c r="D220" t="s">
        <v>3522</v>
      </c>
      <c r="E220" t="s">
        <v>39</v>
      </c>
      <c r="F220" t="s">
        <v>30</v>
      </c>
      <c r="G220" t="s">
        <v>31</v>
      </c>
      <c r="H220" s="11" t="s">
        <v>991</v>
      </c>
      <c r="I220" t="s">
        <v>3769</v>
      </c>
      <c r="J220" t="s">
        <v>3770</v>
      </c>
      <c r="K220" t="s">
        <v>39</v>
      </c>
      <c r="L220" t="s">
        <v>30</v>
      </c>
      <c r="M220" t="s">
        <v>31</v>
      </c>
      <c r="N220" t="s">
        <v>991</v>
      </c>
      <c r="Q220" s="4">
        <v>1</v>
      </c>
    </row>
    <row r="221" spans="1:20" s="16" customFormat="1" ht="18.5" thickBot="1" x14ac:dyDescent="0.6">
      <c r="A221" s="16" t="s">
        <v>1070</v>
      </c>
      <c r="C221" s="16" t="s">
        <v>3769</v>
      </c>
      <c r="D221" s="16" t="s">
        <v>3770</v>
      </c>
      <c r="E221" s="16" t="s">
        <v>39</v>
      </c>
      <c r="F221" s="16" t="s">
        <v>30</v>
      </c>
      <c r="G221" s="16" t="s">
        <v>31</v>
      </c>
      <c r="H221" s="16" t="s">
        <v>991</v>
      </c>
      <c r="I221" s="16" t="s">
        <v>2251</v>
      </c>
      <c r="J221" s="16" t="s">
        <v>2252</v>
      </c>
      <c r="K221" s="16" t="s">
        <v>39</v>
      </c>
      <c r="L221" s="16" t="s">
        <v>30</v>
      </c>
      <c r="M221" s="16" t="s">
        <v>31</v>
      </c>
      <c r="N221" s="16" t="s">
        <v>991</v>
      </c>
      <c r="Q221" s="17">
        <f>S221/T221</f>
        <v>0.45</v>
      </c>
      <c r="S221" s="16">
        <f>MID(D221,FIND("x",D221)+7,4)*1</f>
        <v>2700</v>
      </c>
      <c r="T221" s="16">
        <v>6000</v>
      </c>
    </row>
    <row r="222" spans="1:20" x14ac:dyDescent="0.55000000000000004">
      <c r="A222" t="s">
        <v>1073</v>
      </c>
      <c r="C222" t="s">
        <v>3523</v>
      </c>
      <c r="D222" t="s">
        <v>3524</v>
      </c>
      <c r="E222" t="s">
        <v>35</v>
      </c>
      <c r="F222" t="s">
        <v>30</v>
      </c>
      <c r="G222" t="s">
        <v>31</v>
      </c>
      <c r="H222" t="s">
        <v>36</v>
      </c>
      <c r="I222" t="s">
        <v>3525</v>
      </c>
      <c r="J222" t="s">
        <v>3526</v>
      </c>
      <c r="K222" t="s">
        <v>39</v>
      </c>
      <c r="L222" t="s">
        <v>30</v>
      </c>
      <c r="M222" t="s">
        <v>31</v>
      </c>
      <c r="N222" t="s">
        <v>991</v>
      </c>
      <c r="Q222" s="4">
        <v>1</v>
      </c>
    </row>
    <row r="223" spans="1:20" x14ac:dyDescent="0.55000000000000004">
      <c r="A223" t="s">
        <v>1076</v>
      </c>
      <c r="C223" t="s">
        <v>3525</v>
      </c>
      <c r="D223" t="s">
        <v>3526</v>
      </c>
      <c r="E223" t="s">
        <v>39</v>
      </c>
      <c r="F223" t="s">
        <v>30</v>
      </c>
      <c r="G223" t="s">
        <v>31</v>
      </c>
      <c r="H223" s="11" t="s">
        <v>991</v>
      </c>
      <c r="I223" t="s">
        <v>1909</v>
      </c>
      <c r="J223" t="s">
        <v>1910</v>
      </c>
      <c r="K223" t="s">
        <v>362</v>
      </c>
      <c r="L223" t="s">
        <v>30</v>
      </c>
      <c r="M223" t="s">
        <v>31</v>
      </c>
      <c r="Q223" s="4">
        <v>1</v>
      </c>
    </row>
    <row r="224" spans="1:20" x14ac:dyDescent="0.55000000000000004">
      <c r="A224" t="s">
        <v>1079</v>
      </c>
      <c r="C224" t="s">
        <v>3525</v>
      </c>
      <c r="D224" t="s">
        <v>3526</v>
      </c>
      <c r="E224" t="s">
        <v>39</v>
      </c>
      <c r="F224" t="s">
        <v>30</v>
      </c>
      <c r="G224" t="s">
        <v>31</v>
      </c>
      <c r="H224" s="11" t="s">
        <v>991</v>
      </c>
      <c r="I224" t="s">
        <v>3771</v>
      </c>
      <c r="J224" t="s">
        <v>3772</v>
      </c>
      <c r="K224" t="s">
        <v>39</v>
      </c>
      <c r="L224" t="s">
        <v>30</v>
      </c>
      <c r="M224" t="s">
        <v>31</v>
      </c>
      <c r="N224" t="s">
        <v>991</v>
      </c>
      <c r="Q224" s="4">
        <v>1</v>
      </c>
    </row>
    <row r="225" spans="1:20" s="16" customFormat="1" ht="18.5" thickBot="1" x14ac:dyDescent="0.6">
      <c r="A225" s="16" t="s">
        <v>1082</v>
      </c>
      <c r="C225" s="16" t="s">
        <v>3771</v>
      </c>
      <c r="D225" s="16" t="s">
        <v>3772</v>
      </c>
      <c r="E225" s="16" t="s">
        <v>39</v>
      </c>
      <c r="F225" s="16" t="s">
        <v>30</v>
      </c>
      <c r="G225" s="16" t="s">
        <v>31</v>
      </c>
      <c r="H225" s="16" t="s">
        <v>991</v>
      </c>
      <c r="I225" s="16" t="s">
        <v>2251</v>
      </c>
      <c r="J225" s="16" t="s">
        <v>2252</v>
      </c>
      <c r="K225" s="16" t="s">
        <v>39</v>
      </c>
      <c r="L225" s="16" t="s">
        <v>30</v>
      </c>
      <c r="M225" s="16" t="s">
        <v>31</v>
      </c>
      <c r="N225" s="16" t="s">
        <v>991</v>
      </c>
      <c r="Q225" s="17">
        <f>S225/T225</f>
        <v>0.46666666666666667</v>
      </c>
      <c r="S225" s="16">
        <f>MID(D225,FIND("x",D225)+7,4)*1</f>
        <v>2800</v>
      </c>
      <c r="T225" s="16">
        <v>6000</v>
      </c>
    </row>
    <row r="226" spans="1:20" x14ac:dyDescent="0.55000000000000004">
      <c r="A226" t="s">
        <v>1085</v>
      </c>
      <c r="C226" t="s">
        <v>3527</v>
      </c>
      <c r="D226" t="s">
        <v>3528</v>
      </c>
      <c r="E226" t="s">
        <v>35</v>
      </c>
      <c r="F226" t="s">
        <v>30</v>
      </c>
      <c r="G226" t="s">
        <v>31</v>
      </c>
      <c r="H226" t="s">
        <v>36</v>
      </c>
      <c r="I226" t="s">
        <v>3529</v>
      </c>
      <c r="J226" t="s">
        <v>3530</v>
      </c>
      <c r="K226" t="s">
        <v>39</v>
      </c>
      <c r="L226" t="s">
        <v>30</v>
      </c>
      <c r="M226" t="s">
        <v>31</v>
      </c>
      <c r="N226" t="s">
        <v>991</v>
      </c>
      <c r="Q226" s="4">
        <v>1</v>
      </c>
    </row>
    <row r="227" spans="1:20" x14ac:dyDescent="0.55000000000000004">
      <c r="A227" t="s">
        <v>1088</v>
      </c>
      <c r="C227" t="s">
        <v>3529</v>
      </c>
      <c r="D227" t="s">
        <v>3530</v>
      </c>
      <c r="E227" t="s">
        <v>39</v>
      </c>
      <c r="F227" t="s">
        <v>30</v>
      </c>
      <c r="G227" t="s">
        <v>31</v>
      </c>
      <c r="H227" s="11" t="s">
        <v>991</v>
      </c>
      <c r="I227" t="s">
        <v>1909</v>
      </c>
      <c r="J227" t="s">
        <v>1910</v>
      </c>
      <c r="K227" t="s">
        <v>362</v>
      </c>
      <c r="L227" t="s">
        <v>30</v>
      </c>
      <c r="M227" t="s">
        <v>31</v>
      </c>
      <c r="Q227" s="4">
        <v>1</v>
      </c>
    </row>
    <row r="228" spans="1:20" x14ac:dyDescent="0.55000000000000004">
      <c r="A228" t="s">
        <v>1091</v>
      </c>
      <c r="C228" t="s">
        <v>3529</v>
      </c>
      <c r="D228" t="s">
        <v>3530</v>
      </c>
      <c r="E228" t="s">
        <v>39</v>
      </c>
      <c r="F228" t="s">
        <v>30</v>
      </c>
      <c r="G228" t="s">
        <v>31</v>
      </c>
      <c r="H228" s="11" t="s">
        <v>991</v>
      </c>
      <c r="I228" t="s">
        <v>3773</v>
      </c>
      <c r="J228" t="s">
        <v>3774</v>
      </c>
      <c r="K228" t="s">
        <v>39</v>
      </c>
      <c r="L228" t="s">
        <v>30</v>
      </c>
      <c r="M228" t="s">
        <v>31</v>
      </c>
      <c r="N228" t="s">
        <v>991</v>
      </c>
      <c r="Q228" s="4">
        <v>1</v>
      </c>
    </row>
    <row r="229" spans="1:20" s="16" customFormat="1" ht="18.5" thickBot="1" x14ac:dyDescent="0.6">
      <c r="A229" s="16" t="s">
        <v>1094</v>
      </c>
      <c r="C229" s="16" t="s">
        <v>3773</v>
      </c>
      <c r="D229" s="16" t="s">
        <v>3774</v>
      </c>
      <c r="E229" s="16" t="s">
        <v>39</v>
      </c>
      <c r="F229" s="16" t="s">
        <v>30</v>
      </c>
      <c r="G229" s="16" t="s">
        <v>31</v>
      </c>
      <c r="H229" s="16" t="s">
        <v>991</v>
      </c>
      <c r="I229" s="16" t="s">
        <v>2251</v>
      </c>
      <c r="J229" s="16" t="s">
        <v>2252</v>
      </c>
      <c r="K229" s="16" t="s">
        <v>39</v>
      </c>
      <c r="L229" s="16" t="s">
        <v>30</v>
      </c>
      <c r="M229" s="16" t="s">
        <v>31</v>
      </c>
      <c r="N229" s="16" t="s">
        <v>991</v>
      </c>
      <c r="Q229" s="17">
        <f>S229/T229</f>
        <v>0.48333333333333334</v>
      </c>
      <c r="S229" s="16">
        <f>MID(D229,FIND("x",D229)+7,4)*1</f>
        <v>2900</v>
      </c>
      <c r="T229" s="16">
        <v>6000</v>
      </c>
    </row>
    <row r="230" spans="1:20" x14ac:dyDescent="0.55000000000000004">
      <c r="A230" t="s">
        <v>1097</v>
      </c>
      <c r="C230" t="s">
        <v>3531</v>
      </c>
      <c r="D230" t="s">
        <v>3532</v>
      </c>
      <c r="E230" t="s">
        <v>35</v>
      </c>
      <c r="F230" t="s">
        <v>30</v>
      </c>
      <c r="G230" t="s">
        <v>31</v>
      </c>
      <c r="H230" t="s">
        <v>36</v>
      </c>
      <c r="I230" t="s">
        <v>3533</v>
      </c>
      <c r="J230" t="s">
        <v>3534</v>
      </c>
      <c r="K230" t="s">
        <v>39</v>
      </c>
      <c r="L230" t="s">
        <v>30</v>
      </c>
      <c r="M230" t="s">
        <v>31</v>
      </c>
      <c r="N230" t="s">
        <v>991</v>
      </c>
      <c r="Q230" s="4">
        <v>1</v>
      </c>
    </row>
    <row r="231" spans="1:20" x14ac:dyDescent="0.55000000000000004">
      <c r="A231" t="s">
        <v>1100</v>
      </c>
      <c r="C231" t="s">
        <v>3533</v>
      </c>
      <c r="D231" t="s">
        <v>3534</v>
      </c>
      <c r="E231" t="s">
        <v>39</v>
      </c>
      <c r="F231" t="s">
        <v>30</v>
      </c>
      <c r="G231" t="s">
        <v>31</v>
      </c>
      <c r="H231" s="11" t="s">
        <v>991</v>
      </c>
      <c r="I231" t="s">
        <v>1909</v>
      </c>
      <c r="J231" t="s">
        <v>1910</v>
      </c>
      <c r="K231" t="s">
        <v>362</v>
      </c>
      <c r="L231" t="s">
        <v>30</v>
      </c>
      <c r="M231" t="s">
        <v>31</v>
      </c>
      <c r="Q231" s="4">
        <v>1</v>
      </c>
    </row>
    <row r="232" spans="1:20" x14ac:dyDescent="0.55000000000000004">
      <c r="A232" t="s">
        <v>1103</v>
      </c>
      <c r="C232" t="s">
        <v>3533</v>
      </c>
      <c r="D232" t="s">
        <v>3534</v>
      </c>
      <c r="E232" t="s">
        <v>39</v>
      </c>
      <c r="F232" t="s">
        <v>30</v>
      </c>
      <c r="G232" t="s">
        <v>31</v>
      </c>
      <c r="H232" s="11" t="s">
        <v>991</v>
      </c>
      <c r="I232" t="s">
        <v>3775</v>
      </c>
      <c r="J232" t="s">
        <v>3776</v>
      </c>
      <c r="K232" t="s">
        <v>39</v>
      </c>
      <c r="L232" t="s">
        <v>30</v>
      </c>
      <c r="M232" t="s">
        <v>31</v>
      </c>
      <c r="N232" t="s">
        <v>991</v>
      </c>
      <c r="Q232" s="4">
        <v>1</v>
      </c>
    </row>
    <row r="233" spans="1:20" s="16" customFormat="1" ht="18.5" thickBot="1" x14ac:dyDescent="0.6">
      <c r="A233" s="16" t="s">
        <v>1106</v>
      </c>
      <c r="C233" s="16" t="s">
        <v>3775</v>
      </c>
      <c r="D233" s="16" t="s">
        <v>3776</v>
      </c>
      <c r="E233" s="16" t="s">
        <v>39</v>
      </c>
      <c r="F233" s="16" t="s">
        <v>30</v>
      </c>
      <c r="G233" s="16" t="s">
        <v>31</v>
      </c>
      <c r="H233" s="16" t="s">
        <v>991</v>
      </c>
      <c r="I233" s="16" t="s">
        <v>2251</v>
      </c>
      <c r="J233" s="16" t="s">
        <v>2252</v>
      </c>
      <c r="K233" s="16" t="s">
        <v>39</v>
      </c>
      <c r="L233" s="16" t="s">
        <v>30</v>
      </c>
      <c r="M233" s="16" t="s">
        <v>31</v>
      </c>
      <c r="N233" s="16" t="s">
        <v>991</v>
      </c>
      <c r="Q233" s="17">
        <f>S233/T233</f>
        <v>0.5</v>
      </c>
      <c r="S233" s="16">
        <f>MID(D233,FIND("x",D233)+7,4)*1</f>
        <v>3000</v>
      </c>
      <c r="T233" s="16">
        <v>6000</v>
      </c>
    </row>
    <row r="234" spans="1:20" x14ac:dyDescent="0.55000000000000004">
      <c r="A234" t="s">
        <v>1109</v>
      </c>
      <c r="C234" t="s">
        <v>3535</v>
      </c>
      <c r="D234" t="s">
        <v>3536</v>
      </c>
      <c r="E234" t="s">
        <v>35</v>
      </c>
      <c r="F234" t="s">
        <v>30</v>
      </c>
      <c r="G234" t="s">
        <v>31</v>
      </c>
      <c r="H234" t="s">
        <v>36</v>
      </c>
      <c r="I234" t="s">
        <v>3537</v>
      </c>
      <c r="J234" t="s">
        <v>3538</v>
      </c>
      <c r="K234" t="s">
        <v>39</v>
      </c>
      <c r="L234" t="s">
        <v>30</v>
      </c>
      <c r="M234" t="s">
        <v>31</v>
      </c>
      <c r="N234" t="s">
        <v>991</v>
      </c>
      <c r="Q234" s="4">
        <v>1</v>
      </c>
    </row>
    <row r="235" spans="1:20" x14ac:dyDescent="0.55000000000000004">
      <c r="A235" t="s">
        <v>1112</v>
      </c>
      <c r="C235" t="s">
        <v>3537</v>
      </c>
      <c r="D235" t="s">
        <v>3538</v>
      </c>
      <c r="E235" t="s">
        <v>39</v>
      </c>
      <c r="F235" t="s">
        <v>30</v>
      </c>
      <c r="G235" t="s">
        <v>31</v>
      </c>
      <c r="H235" s="11" t="s">
        <v>991</v>
      </c>
      <c r="I235" t="s">
        <v>1909</v>
      </c>
      <c r="J235" t="s">
        <v>1910</v>
      </c>
      <c r="K235" t="s">
        <v>362</v>
      </c>
      <c r="L235" t="s">
        <v>30</v>
      </c>
      <c r="M235" t="s">
        <v>31</v>
      </c>
      <c r="Q235" s="4">
        <v>1</v>
      </c>
    </row>
    <row r="236" spans="1:20" x14ac:dyDescent="0.55000000000000004">
      <c r="A236" t="s">
        <v>1115</v>
      </c>
      <c r="C236" t="s">
        <v>3537</v>
      </c>
      <c r="D236" t="s">
        <v>3538</v>
      </c>
      <c r="E236" t="s">
        <v>39</v>
      </c>
      <c r="F236" t="s">
        <v>30</v>
      </c>
      <c r="G236" t="s">
        <v>31</v>
      </c>
      <c r="H236" s="11" t="s">
        <v>991</v>
      </c>
      <c r="I236" t="s">
        <v>3777</v>
      </c>
      <c r="J236" t="s">
        <v>3778</v>
      </c>
      <c r="K236" t="s">
        <v>39</v>
      </c>
      <c r="L236" t="s">
        <v>30</v>
      </c>
      <c r="M236" t="s">
        <v>31</v>
      </c>
      <c r="N236" t="s">
        <v>991</v>
      </c>
      <c r="Q236" s="4">
        <v>1</v>
      </c>
    </row>
    <row r="237" spans="1:20" s="16" customFormat="1" ht="18.5" thickBot="1" x14ac:dyDescent="0.6">
      <c r="A237" s="16" t="s">
        <v>1118</v>
      </c>
      <c r="C237" s="16" t="s">
        <v>3777</v>
      </c>
      <c r="D237" s="16" t="s">
        <v>3778</v>
      </c>
      <c r="E237" s="16" t="s">
        <v>39</v>
      </c>
      <c r="F237" s="16" t="s">
        <v>30</v>
      </c>
      <c r="G237" s="16" t="s">
        <v>31</v>
      </c>
      <c r="H237" s="16" t="s">
        <v>991</v>
      </c>
      <c r="I237" s="16" t="s">
        <v>2251</v>
      </c>
      <c r="J237" s="16" t="s">
        <v>2252</v>
      </c>
      <c r="K237" s="16" t="s">
        <v>39</v>
      </c>
      <c r="L237" s="16" t="s">
        <v>30</v>
      </c>
      <c r="M237" s="16" t="s">
        <v>31</v>
      </c>
      <c r="N237" s="16" t="s">
        <v>991</v>
      </c>
      <c r="Q237" s="17">
        <f>S237/T237</f>
        <v>0.51666666666666672</v>
      </c>
      <c r="S237" s="16">
        <f>MID(D237,FIND("x",D237)+7,4)*1</f>
        <v>3100</v>
      </c>
      <c r="T237" s="16">
        <v>6000</v>
      </c>
    </row>
    <row r="238" spans="1:20" x14ac:dyDescent="0.55000000000000004">
      <c r="A238" t="s">
        <v>1121</v>
      </c>
      <c r="C238" t="s">
        <v>147</v>
      </c>
      <c r="D238" t="s">
        <v>148</v>
      </c>
      <c r="E238" t="s">
        <v>35</v>
      </c>
      <c r="F238" t="s">
        <v>30</v>
      </c>
      <c r="G238" t="s">
        <v>31</v>
      </c>
      <c r="H238" t="s">
        <v>36</v>
      </c>
      <c r="I238" t="s">
        <v>149</v>
      </c>
      <c r="J238" t="s">
        <v>3999</v>
      </c>
      <c r="K238" t="s">
        <v>39</v>
      </c>
      <c r="L238" t="s">
        <v>30</v>
      </c>
      <c r="M238" t="s">
        <v>31</v>
      </c>
      <c r="N238" t="s">
        <v>991</v>
      </c>
      <c r="Q238" s="4">
        <v>1</v>
      </c>
    </row>
    <row r="239" spans="1:20" x14ac:dyDescent="0.55000000000000004">
      <c r="A239" t="s">
        <v>1124</v>
      </c>
      <c r="C239" t="s">
        <v>149</v>
      </c>
      <c r="D239" t="s">
        <v>3999</v>
      </c>
      <c r="E239" t="s">
        <v>39</v>
      </c>
      <c r="F239" t="s">
        <v>30</v>
      </c>
      <c r="G239" t="s">
        <v>31</v>
      </c>
      <c r="H239" s="11" t="s">
        <v>991</v>
      </c>
      <c r="I239" t="s">
        <v>1955</v>
      </c>
      <c r="J239" t="s">
        <v>1956</v>
      </c>
      <c r="K239" t="s">
        <v>362</v>
      </c>
      <c r="L239" t="s">
        <v>30</v>
      </c>
      <c r="M239" t="s">
        <v>31</v>
      </c>
      <c r="Q239" s="4">
        <v>1</v>
      </c>
    </row>
    <row r="240" spans="1:20" x14ac:dyDescent="0.55000000000000004">
      <c r="A240" t="s">
        <v>1127</v>
      </c>
      <c r="C240" t="s">
        <v>149</v>
      </c>
      <c r="D240" t="s">
        <v>150</v>
      </c>
      <c r="E240" t="s">
        <v>39</v>
      </c>
      <c r="F240" t="s">
        <v>30</v>
      </c>
      <c r="G240" t="s">
        <v>31</v>
      </c>
      <c r="H240" s="11" t="s">
        <v>991</v>
      </c>
      <c r="I240" t="s">
        <v>1952</v>
      </c>
      <c r="J240" t="s">
        <v>1953</v>
      </c>
      <c r="K240" t="s">
        <v>39</v>
      </c>
      <c r="L240" t="s">
        <v>30</v>
      </c>
      <c r="M240" t="s">
        <v>31</v>
      </c>
      <c r="N240" t="s">
        <v>991</v>
      </c>
      <c r="Q240" s="4">
        <v>1</v>
      </c>
    </row>
    <row r="241" spans="1:20" x14ac:dyDescent="0.55000000000000004">
      <c r="A241" t="s">
        <v>1130</v>
      </c>
      <c r="C241" t="s">
        <v>1952</v>
      </c>
      <c r="D241" t="s">
        <v>1953</v>
      </c>
      <c r="E241" t="s">
        <v>39</v>
      </c>
      <c r="F241" t="s">
        <v>30</v>
      </c>
      <c r="G241" t="s">
        <v>31</v>
      </c>
      <c r="H241" t="s">
        <v>991</v>
      </c>
      <c r="I241" t="s">
        <v>2288</v>
      </c>
      <c r="J241" t="s">
        <v>2289</v>
      </c>
      <c r="K241" t="s">
        <v>39</v>
      </c>
      <c r="L241" t="s">
        <v>30</v>
      </c>
      <c r="M241" t="s">
        <v>31</v>
      </c>
      <c r="N241" t="s">
        <v>991</v>
      </c>
      <c r="Q241" s="15">
        <f>S241/T241</f>
        <v>0.05</v>
      </c>
      <c r="S241">
        <f>MID(D241,FIND("x",D241)+6,3)*1</f>
        <v>300</v>
      </c>
      <c r="T241">
        <v>6000</v>
      </c>
    </row>
    <row r="242" spans="1:20" s="1" customFormat="1" ht="18.5" thickBot="1" x14ac:dyDescent="0.6">
      <c r="A242" t="s">
        <v>1133</v>
      </c>
      <c r="C242" s="1" t="s">
        <v>2288</v>
      </c>
      <c r="D242" s="1" t="s">
        <v>2289</v>
      </c>
      <c r="E242" s="1" t="s">
        <v>39</v>
      </c>
      <c r="F242" s="1" t="s">
        <v>30</v>
      </c>
      <c r="G242" s="1" t="s">
        <v>31</v>
      </c>
      <c r="H242" s="1" t="s">
        <v>991</v>
      </c>
      <c r="I242" s="1" t="s">
        <v>2330</v>
      </c>
      <c r="J242" s="1" t="s">
        <v>2331</v>
      </c>
      <c r="K242" s="1" t="s">
        <v>362</v>
      </c>
      <c r="L242" s="1" t="s">
        <v>30</v>
      </c>
      <c r="M242" s="1" t="s">
        <v>31</v>
      </c>
      <c r="N242" s="3" t="s">
        <v>991</v>
      </c>
      <c r="Q242" s="14">
        <v>1</v>
      </c>
    </row>
    <row r="243" spans="1:20" x14ac:dyDescent="0.55000000000000004">
      <c r="A243" t="s">
        <v>1136</v>
      </c>
      <c r="C243" t="s">
        <v>152</v>
      </c>
      <c r="D243" t="s">
        <v>153</v>
      </c>
      <c r="E243" t="s">
        <v>35</v>
      </c>
      <c r="F243" t="s">
        <v>30</v>
      </c>
      <c r="G243" t="s">
        <v>31</v>
      </c>
      <c r="H243" t="s">
        <v>36</v>
      </c>
      <c r="I243" t="s">
        <v>154</v>
      </c>
      <c r="J243" t="s">
        <v>155</v>
      </c>
      <c r="K243" t="s">
        <v>39</v>
      </c>
      <c r="L243" t="s">
        <v>30</v>
      </c>
      <c r="M243" t="s">
        <v>31</v>
      </c>
      <c r="N243" t="s">
        <v>991</v>
      </c>
      <c r="Q243" s="4">
        <v>1</v>
      </c>
    </row>
    <row r="244" spans="1:20" x14ac:dyDescent="0.55000000000000004">
      <c r="A244" t="s">
        <v>1139</v>
      </c>
      <c r="C244" t="s">
        <v>154</v>
      </c>
      <c r="D244" t="s">
        <v>155</v>
      </c>
      <c r="E244" t="s">
        <v>39</v>
      </c>
      <c r="F244" t="s">
        <v>30</v>
      </c>
      <c r="G244" t="s">
        <v>31</v>
      </c>
      <c r="H244" s="11" t="s">
        <v>991</v>
      </c>
      <c r="I244" t="s">
        <v>1955</v>
      </c>
      <c r="J244" t="s">
        <v>1956</v>
      </c>
      <c r="K244" t="s">
        <v>362</v>
      </c>
      <c r="L244" t="s">
        <v>30</v>
      </c>
      <c r="M244" t="s">
        <v>31</v>
      </c>
      <c r="Q244" s="4">
        <v>1</v>
      </c>
    </row>
    <row r="245" spans="1:20" x14ac:dyDescent="0.55000000000000004">
      <c r="A245" t="s">
        <v>1142</v>
      </c>
      <c r="C245" t="s">
        <v>154</v>
      </c>
      <c r="D245" t="s">
        <v>155</v>
      </c>
      <c r="E245" t="s">
        <v>39</v>
      </c>
      <c r="F245" t="s">
        <v>30</v>
      </c>
      <c r="G245" t="s">
        <v>31</v>
      </c>
      <c r="H245" s="11" t="s">
        <v>991</v>
      </c>
      <c r="I245" t="s">
        <v>1958</v>
      </c>
      <c r="J245" t="s">
        <v>1959</v>
      </c>
      <c r="K245" t="s">
        <v>39</v>
      </c>
      <c r="L245" t="s">
        <v>30</v>
      </c>
      <c r="M245" t="s">
        <v>31</v>
      </c>
      <c r="N245" t="s">
        <v>991</v>
      </c>
      <c r="Q245" s="4">
        <v>1</v>
      </c>
    </row>
    <row r="246" spans="1:20" s="16" customFormat="1" ht="18.5" thickBot="1" x14ac:dyDescent="0.6">
      <c r="A246" s="16" t="s">
        <v>1145</v>
      </c>
      <c r="C246" s="16" t="s">
        <v>1958</v>
      </c>
      <c r="D246" s="16" t="s">
        <v>1959</v>
      </c>
      <c r="E246" s="16" t="s">
        <v>39</v>
      </c>
      <c r="F246" s="16" t="s">
        <v>30</v>
      </c>
      <c r="G246" s="16" t="s">
        <v>31</v>
      </c>
      <c r="H246" s="16" t="s">
        <v>991</v>
      </c>
      <c r="I246" s="16" t="s">
        <v>2288</v>
      </c>
      <c r="J246" s="16" t="s">
        <v>2289</v>
      </c>
      <c r="K246" s="16" t="s">
        <v>39</v>
      </c>
      <c r="L246" s="16" t="s">
        <v>30</v>
      </c>
      <c r="M246" s="16" t="s">
        <v>31</v>
      </c>
      <c r="N246" s="16" t="s">
        <v>991</v>
      </c>
      <c r="Q246" s="17">
        <f>S246/T246</f>
        <v>6.6666666666666666E-2</v>
      </c>
      <c r="S246" s="16">
        <f>MID(D246,FIND("x",D246)+6,3)*1</f>
        <v>400</v>
      </c>
      <c r="T246" s="16">
        <v>6000</v>
      </c>
    </row>
    <row r="247" spans="1:20" x14ac:dyDescent="0.55000000000000004">
      <c r="A247" t="s">
        <v>1148</v>
      </c>
      <c r="C247" t="s">
        <v>157</v>
      </c>
      <c r="D247" t="s">
        <v>158</v>
      </c>
      <c r="E247" t="s">
        <v>35</v>
      </c>
      <c r="F247" t="s">
        <v>30</v>
      </c>
      <c r="G247" t="s">
        <v>31</v>
      </c>
      <c r="H247" t="s">
        <v>36</v>
      </c>
      <c r="I247" t="s">
        <v>159</v>
      </c>
      <c r="J247" t="s">
        <v>160</v>
      </c>
      <c r="K247" t="s">
        <v>39</v>
      </c>
      <c r="L247" t="s">
        <v>30</v>
      </c>
      <c r="M247" t="s">
        <v>31</v>
      </c>
      <c r="N247" t="s">
        <v>991</v>
      </c>
      <c r="Q247" s="4">
        <v>1</v>
      </c>
    </row>
    <row r="248" spans="1:20" x14ac:dyDescent="0.55000000000000004">
      <c r="A248" t="s">
        <v>1151</v>
      </c>
      <c r="C248" t="s">
        <v>159</v>
      </c>
      <c r="D248" t="s">
        <v>160</v>
      </c>
      <c r="E248" t="s">
        <v>39</v>
      </c>
      <c r="F248" t="s">
        <v>30</v>
      </c>
      <c r="G248" t="s">
        <v>31</v>
      </c>
      <c r="H248" s="11" t="s">
        <v>991</v>
      </c>
      <c r="I248" t="s">
        <v>1955</v>
      </c>
      <c r="J248" t="s">
        <v>1956</v>
      </c>
      <c r="K248" t="s">
        <v>362</v>
      </c>
      <c r="L248" t="s">
        <v>30</v>
      </c>
      <c r="M248" t="s">
        <v>31</v>
      </c>
      <c r="Q248" s="4">
        <v>1</v>
      </c>
    </row>
    <row r="249" spans="1:20" x14ac:dyDescent="0.55000000000000004">
      <c r="A249" t="s">
        <v>1154</v>
      </c>
      <c r="C249" t="s">
        <v>159</v>
      </c>
      <c r="D249" t="s">
        <v>160</v>
      </c>
      <c r="E249" t="s">
        <v>39</v>
      </c>
      <c r="F249" t="s">
        <v>30</v>
      </c>
      <c r="G249" t="s">
        <v>31</v>
      </c>
      <c r="H249" s="11" t="s">
        <v>991</v>
      </c>
      <c r="I249" t="s">
        <v>1962</v>
      </c>
      <c r="J249" t="s">
        <v>1963</v>
      </c>
      <c r="K249" t="s">
        <v>39</v>
      </c>
      <c r="L249" t="s">
        <v>30</v>
      </c>
      <c r="M249" t="s">
        <v>31</v>
      </c>
      <c r="N249" t="s">
        <v>991</v>
      </c>
      <c r="Q249" s="4">
        <v>1</v>
      </c>
    </row>
    <row r="250" spans="1:20" s="16" customFormat="1" ht="18.5" thickBot="1" x14ac:dyDescent="0.6">
      <c r="A250" s="16" t="s">
        <v>1157</v>
      </c>
      <c r="C250" s="16" t="s">
        <v>1962</v>
      </c>
      <c r="D250" s="16" t="s">
        <v>1963</v>
      </c>
      <c r="E250" s="16" t="s">
        <v>39</v>
      </c>
      <c r="F250" s="16" t="s">
        <v>30</v>
      </c>
      <c r="G250" s="16" t="s">
        <v>31</v>
      </c>
      <c r="H250" s="16" t="s">
        <v>991</v>
      </c>
      <c r="I250" s="16" t="s">
        <v>2288</v>
      </c>
      <c r="J250" s="16" t="s">
        <v>2289</v>
      </c>
      <c r="K250" s="16" t="s">
        <v>39</v>
      </c>
      <c r="L250" s="16" t="s">
        <v>30</v>
      </c>
      <c r="M250" s="16" t="s">
        <v>31</v>
      </c>
      <c r="N250" s="16" t="s">
        <v>991</v>
      </c>
      <c r="Q250" s="17">
        <f>S250/T250</f>
        <v>8.3333333333333329E-2</v>
      </c>
      <c r="S250" s="16">
        <f>MID(D250,FIND("x",D250)+6,3)*1</f>
        <v>500</v>
      </c>
      <c r="T250" s="16">
        <v>6000</v>
      </c>
    </row>
    <row r="251" spans="1:20" x14ac:dyDescent="0.55000000000000004">
      <c r="A251" t="s">
        <v>1160</v>
      </c>
      <c r="C251" t="s">
        <v>162</v>
      </c>
      <c r="D251" t="s">
        <v>163</v>
      </c>
      <c r="E251" t="s">
        <v>35</v>
      </c>
      <c r="F251" t="s">
        <v>30</v>
      </c>
      <c r="G251" t="s">
        <v>31</v>
      </c>
      <c r="H251" t="s">
        <v>36</v>
      </c>
      <c r="I251" t="s">
        <v>164</v>
      </c>
      <c r="J251" t="s">
        <v>165</v>
      </c>
      <c r="K251" t="s">
        <v>39</v>
      </c>
      <c r="L251" t="s">
        <v>30</v>
      </c>
      <c r="M251" t="s">
        <v>31</v>
      </c>
      <c r="N251" t="s">
        <v>991</v>
      </c>
      <c r="Q251" s="4">
        <v>1</v>
      </c>
    </row>
    <row r="252" spans="1:20" x14ac:dyDescent="0.55000000000000004">
      <c r="A252" t="s">
        <v>1163</v>
      </c>
      <c r="C252" t="s">
        <v>164</v>
      </c>
      <c r="D252" t="s">
        <v>165</v>
      </c>
      <c r="E252" t="s">
        <v>39</v>
      </c>
      <c r="F252" t="s">
        <v>30</v>
      </c>
      <c r="G252" t="s">
        <v>31</v>
      </c>
      <c r="H252" s="11" t="s">
        <v>991</v>
      </c>
      <c r="I252" t="s">
        <v>1955</v>
      </c>
      <c r="J252" t="s">
        <v>1956</v>
      </c>
      <c r="K252" t="s">
        <v>362</v>
      </c>
      <c r="L252" t="s">
        <v>30</v>
      </c>
      <c r="M252" t="s">
        <v>31</v>
      </c>
      <c r="Q252" s="4">
        <v>1</v>
      </c>
    </row>
    <row r="253" spans="1:20" x14ac:dyDescent="0.55000000000000004">
      <c r="A253" t="s">
        <v>1166</v>
      </c>
      <c r="C253" t="s">
        <v>164</v>
      </c>
      <c r="D253" t="s">
        <v>165</v>
      </c>
      <c r="E253" t="s">
        <v>39</v>
      </c>
      <c r="F253" t="s">
        <v>30</v>
      </c>
      <c r="G253" t="s">
        <v>31</v>
      </c>
      <c r="H253" s="11" t="s">
        <v>991</v>
      </c>
      <c r="I253" t="s">
        <v>1966</v>
      </c>
      <c r="J253" t="s">
        <v>1967</v>
      </c>
      <c r="K253" t="s">
        <v>39</v>
      </c>
      <c r="L253" t="s">
        <v>30</v>
      </c>
      <c r="M253" t="s">
        <v>31</v>
      </c>
      <c r="N253" t="s">
        <v>991</v>
      </c>
      <c r="Q253" s="4">
        <v>1</v>
      </c>
    </row>
    <row r="254" spans="1:20" s="16" customFormat="1" ht="18.5" thickBot="1" x14ac:dyDescent="0.6">
      <c r="A254" s="16" t="s">
        <v>1169</v>
      </c>
      <c r="C254" s="16" t="s">
        <v>1966</v>
      </c>
      <c r="D254" s="16" t="s">
        <v>1967</v>
      </c>
      <c r="E254" s="16" t="s">
        <v>39</v>
      </c>
      <c r="F254" s="16" t="s">
        <v>30</v>
      </c>
      <c r="G254" s="16" t="s">
        <v>31</v>
      </c>
      <c r="H254" s="16" t="s">
        <v>991</v>
      </c>
      <c r="I254" s="16" t="s">
        <v>2288</v>
      </c>
      <c r="J254" s="16" t="s">
        <v>2289</v>
      </c>
      <c r="K254" s="16" t="s">
        <v>39</v>
      </c>
      <c r="L254" s="16" t="s">
        <v>30</v>
      </c>
      <c r="M254" s="16" t="s">
        <v>31</v>
      </c>
      <c r="N254" s="16" t="s">
        <v>991</v>
      </c>
      <c r="Q254" s="17">
        <f>S254/T254</f>
        <v>0.1</v>
      </c>
      <c r="S254" s="16">
        <f>MID(D254,FIND("x",D254)+6,3)*1</f>
        <v>600</v>
      </c>
      <c r="T254" s="16">
        <v>6000</v>
      </c>
    </row>
    <row r="255" spans="1:20" x14ac:dyDescent="0.55000000000000004">
      <c r="A255" t="s">
        <v>1172</v>
      </c>
      <c r="C255" t="s">
        <v>167</v>
      </c>
      <c r="D255" t="s">
        <v>168</v>
      </c>
      <c r="E255" t="s">
        <v>35</v>
      </c>
      <c r="F255" t="s">
        <v>30</v>
      </c>
      <c r="G255" t="s">
        <v>31</v>
      </c>
      <c r="H255" t="s">
        <v>36</v>
      </c>
      <c r="I255" t="s">
        <v>169</v>
      </c>
      <c r="J255" t="s">
        <v>170</v>
      </c>
      <c r="K255" t="s">
        <v>39</v>
      </c>
      <c r="L255" t="s">
        <v>30</v>
      </c>
      <c r="M255" t="s">
        <v>31</v>
      </c>
      <c r="N255" t="s">
        <v>991</v>
      </c>
      <c r="Q255" s="4">
        <v>1</v>
      </c>
    </row>
    <row r="256" spans="1:20" x14ac:dyDescent="0.55000000000000004">
      <c r="A256" t="s">
        <v>1175</v>
      </c>
      <c r="C256" t="s">
        <v>169</v>
      </c>
      <c r="D256" t="s">
        <v>170</v>
      </c>
      <c r="E256" t="s">
        <v>39</v>
      </c>
      <c r="F256" t="s">
        <v>30</v>
      </c>
      <c r="G256" t="s">
        <v>31</v>
      </c>
      <c r="H256" s="11" t="s">
        <v>991</v>
      </c>
      <c r="I256" t="s">
        <v>1955</v>
      </c>
      <c r="J256" t="s">
        <v>1956</v>
      </c>
      <c r="K256" t="s">
        <v>362</v>
      </c>
      <c r="L256" t="s">
        <v>30</v>
      </c>
      <c r="M256" t="s">
        <v>31</v>
      </c>
      <c r="Q256" s="4">
        <v>1</v>
      </c>
    </row>
    <row r="257" spans="1:20" x14ac:dyDescent="0.55000000000000004">
      <c r="A257" t="s">
        <v>1178</v>
      </c>
      <c r="C257" t="s">
        <v>169</v>
      </c>
      <c r="D257" t="s">
        <v>170</v>
      </c>
      <c r="E257" t="s">
        <v>39</v>
      </c>
      <c r="F257" t="s">
        <v>30</v>
      </c>
      <c r="G257" t="s">
        <v>31</v>
      </c>
      <c r="H257" s="11" t="s">
        <v>991</v>
      </c>
      <c r="I257" t="s">
        <v>1970</v>
      </c>
      <c r="J257" t="s">
        <v>1971</v>
      </c>
      <c r="K257" t="s">
        <v>39</v>
      </c>
      <c r="L257" t="s">
        <v>30</v>
      </c>
      <c r="M257" t="s">
        <v>31</v>
      </c>
      <c r="N257" t="s">
        <v>991</v>
      </c>
      <c r="Q257" s="4">
        <v>1</v>
      </c>
    </row>
    <row r="258" spans="1:20" s="16" customFormat="1" ht="18.5" thickBot="1" x14ac:dyDescent="0.6">
      <c r="A258" s="16" t="s">
        <v>1181</v>
      </c>
      <c r="C258" s="16" t="s">
        <v>1970</v>
      </c>
      <c r="D258" s="16" t="s">
        <v>1971</v>
      </c>
      <c r="E258" s="16" t="s">
        <v>39</v>
      </c>
      <c r="F258" s="16" t="s">
        <v>30</v>
      </c>
      <c r="G258" s="16" t="s">
        <v>31</v>
      </c>
      <c r="H258" s="16" t="s">
        <v>991</v>
      </c>
      <c r="I258" s="16" t="s">
        <v>2288</v>
      </c>
      <c r="J258" s="16" t="s">
        <v>2289</v>
      </c>
      <c r="K258" s="16" t="s">
        <v>39</v>
      </c>
      <c r="L258" s="16" t="s">
        <v>30</v>
      </c>
      <c r="M258" s="16" t="s">
        <v>31</v>
      </c>
      <c r="N258" s="16" t="s">
        <v>991</v>
      </c>
      <c r="Q258" s="17">
        <f>S258/T258</f>
        <v>0.11666666666666667</v>
      </c>
      <c r="S258" s="16">
        <f>MID(D258,FIND("x",D258)+6,3)*1</f>
        <v>700</v>
      </c>
      <c r="T258" s="16">
        <v>6000</v>
      </c>
    </row>
    <row r="259" spans="1:20" x14ac:dyDescent="0.55000000000000004">
      <c r="A259" t="s">
        <v>1184</v>
      </c>
      <c r="C259" t="s">
        <v>172</v>
      </c>
      <c r="D259" t="s">
        <v>173</v>
      </c>
      <c r="E259" t="s">
        <v>35</v>
      </c>
      <c r="F259" t="s">
        <v>30</v>
      </c>
      <c r="G259" t="s">
        <v>31</v>
      </c>
      <c r="H259" t="s">
        <v>36</v>
      </c>
      <c r="I259" t="s">
        <v>174</v>
      </c>
      <c r="J259" t="s">
        <v>175</v>
      </c>
      <c r="K259" t="s">
        <v>39</v>
      </c>
      <c r="L259" t="s">
        <v>30</v>
      </c>
      <c r="M259" t="s">
        <v>31</v>
      </c>
      <c r="N259" t="s">
        <v>991</v>
      </c>
      <c r="Q259" s="4">
        <v>1</v>
      </c>
    </row>
    <row r="260" spans="1:20" x14ac:dyDescent="0.55000000000000004">
      <c r="A260" t="s">
        <v>1187</v>
      </c>
      <c r="C260" t="s">
        <v>174</v>
      </c>
      <c r="D260" t="s">
        <v>175</v>
      </c>
      <c r="E260" t="s">
        <v>39</v>
      </c>
      <c r="F260" t="s">
        <v>30</v>
      </c>
      <c r="G260" t="s">
        <v>31</v>
      </c>
      <c r="H260" s="11" t="s">
        <v>991</v>
      </c>
      <c r="I260" t="s">
        <v>1955</v>
      </c>
      <c r="J260" t="s">
        <v>1956</v>
      </c>
      <c r="K260" t="s">
        <v>362</v>
      </c>
      <c r="L260" t="s">
        <v>30</v>
      </c>
      <c r="M260" t="s">
        <v>31</v>
      </c>
      <c r="Q260" s="4">
        <v>1</v>
      </c>
    </row>
    <row r="261" spans="1:20" x14ac:dyDescent="0.55000000000000004">
      <c r="A261" t="s">
        <v>1188</v>
      </c>
      <c r="C261" t="s">
        <v>174</v>
      </c>
      <c r="D261" t="s">
        <v>175</v>
      </c>
      <c r="E261" t="s">
        <v>39</v>
      </c>
      <c r="F261" t="s">
        <v>30</v>
      </c>
      <c r="G261" t="s">
        <v>31</v>
      </c>
      <c r="H261" s="11" t="s">
        <v>991</v>
      </c>
      <c r="I261" t="s">
        <v>1974</v>
      </c>
      <c r="J261" t="s">
        <v>1975</v>
      </c>
      <c r="K261" t="s">
        <v>39</v>
      </c>
      <c r="L261" t="s">
        <v>30</v>
      </c>
      <c r="M261" t="s">
        <v>31</v>
      </c>
      <c r="N261" t="s">
        <v>991</v>
      </c>
      <c r="Q261" s="4">
        <v>1</v>
      </c>
    </row>
    <row r="262" spans="1:20" s="16" customFormat="1" ht="18.5" thickBot="1" x14ac:dyDescent="0.6">
      <c r="A262" s="16" t="s">
        <v>1191</v>
      </c>
      <c r="C262" s="16" t="s">
        <v>1974</v>
      </c>
      <c r="D262" s="16" t="s">
        <v>1975</v>
      </c>
      <c r="E262" s="16" t="s">
        <v>39</v>
      </c>
      <c r="F262" s="16" t="s">
        <v>30</v>
      </c>
      <c r="G262" s="16" t="s">
        <v>31</v>
      </c>
      <c r="H262" s="16" t="s">
        <v>991</v>
      </c>
      <c r="I262" s="16" t="s">
        <v>2288</v>
      </c>
      <c r="J262" s="16" t="s">
        <v>2289</v>
      </c>
      <c r="K262" s="16" t="s">
        <v>39</v>
      </c>
      <c r="L262" s="16" t="s">
        <v>30</v>
      </c>
      <c r="M262" s="16" t="s">
        <v>31</v>
      </c>
      <c r="N262" s="16" t="s">
        <v>991</v>
      </c>
      <c r="Q262" s="17">
        <f>S262/T262</f>
        <v>0.13333333333333333</v>
      </c>
      <c r="S262" s="16">
        <f>MID(D262,FIND("x",D262)+6,3)*1</f>
        <v>800</v>
      </c>
      <c r="T262" s="16">
        <v>6000</v>
      </c>
    </row>
    <row r="263" spans="1:20" x14ac:dyDescent="0.55000000000000004">
      <c r="A263" t="s">
        <v>1192</v>
      </c>
      <c r="C263" t="s">
        <v>177</v>
      </c>
      <c r="D263" t="s">
        <v>178</v>
      </c>
      <c r="E263" t="s">
        <v>35</v>
      </c>
      <c r="F263" t="s">
        <v>30</v>
      </c>
      <c r="G263" t="s">
        <v>31</v>
      </c>
      <c r="H263" t="s">
        <v>36</v>
      </c>
      <c r="I263" t="s">
        <v>179</v>
      </c>
      <c r="J263" t="s">
        <v>180</v>
      </c>
      <c r="K263" t="s">
        <v>39</v>
      </c>
      <c r="L263" t="s">
        <v>30</v>
      </c>
      <c r="M263" t="s">
        <v>31</v>
      </c>
      <c r="N263" t="s">
        <v>991</v>
      </c>
      <c r="Q263" s="4">
        <v>1</v>
      </c>
    </row>
    <row r="264" spans="1:20" x14ac:dyDescent="0.55000000000000004">
      <c r="A264" t="s">
        <v>1195</v>
      </c>
      <c r="C264" t="s">
        <v>179</v>
      </c>
      <c r="D264" t="s">
        <v>180</v>
      </c>
      <c r="E264" t="s">
        <v>39</v>
      </c>
      <c r="F264" t="s">
        <v>30</v>
      </c>
      <c r="G264" t="s">
        <v>31</v>
      </c>
      <c r="H264" s="11" t="s">
        <v>991</v>
      </c>
      <c r="I264" t="s">
        <v>1955</v>
      </c>
      <c r="J264" t="s">
        <v>1956</v>
      </c>
      <c r="K264" t="s">
        <v>362</v>
      </c>
      <c r="L264" t="s">
        <v>30</v>
      </c>
      <c r="M264" t="s">
        <v>31</v>
      </c>
      <c r="Q264" s="4">
        <v>1</v>
      </c>
    </row>
    <row r="265" spans="1:20" x14ac:dyDescent="0.55000000000000004">
      <c r="A265" t="s">
        <v>1196</v>
      </c>
      <c r="C265" t="s">
        <v>179</v>
      </c>
      <c r="D265" t="s">
        <v>180</v>
      </c>
      <c r="E265" t="s">
        <v>39</v>
      </c>
      <c r="F265" t="s">
        <v>30</v>
      </c>
      <c r="G265" t="s">
        <v>31</v>
      </c>
      <c r="H265" s="11" t="s">
        <v>991</v>
      </c>
      <c r="I265" t="s">
        <v>1978</v>
      </c>
      <c r="J265" t="s">
        <v>1979</v>
      </c>
      <c r="K265" t="s">
        <v>39</v>
      </c>
      <c r="L265" t="s">
        <v>30</v>
      </c>
      <c r="M265" t="s">
        <v>31</v>
      </c>
      <c r="N265" t="s">
        <v>991</v>
      </c>
      <c r="Q265" s="4">
        <v>1</v>
      </c>
    </row>
    <row r="266" spans="1:20" s="16" customFormat="1" ht="18.5" thickBot="1" x14ac:dyDescent="0.6">
      <c r="A266" s="16" t="s">
        <v>1199</v>
      </c>
      <c r="C266" s="16" t="s">
        <v>1978</v>
      </c>
      <c r="D266" s="16" t="s">
        <v>1979</v>
      </c>
      <c r="E266" s="16" t="s">
        <v>39</v>
      </c>
      <c r="F266" s="16" t="s">
        <v>30</v>
      </c>
      <c r="G266" s="16" t="s">
        <v>31</v>
      </c>
      <c r="H266" s="16" t="s">
        <v>991</v>
      </c>
      <c r="I266" s="16" t="s">
        <v>2288</v>
      </c>
      <c r="J266" s="16" t="s">
        <v>2289</v>
      </c>
      <c r="K266" s="16" t="s">
        <v>39</v>
      </c>
      <c r="L266" s="16" t="s">
        <v>30</v>
      </c>
      <c r="M266" s="16" t="s">
        <v>31</v>
      </c>
      <c r="N266" s="16" t="s">
        <v>991</v>
      </c>
      <c r="Q266" s="17">
        <f>S266/T266</f>
        <v>0.15</v>
      </c>
      <c r="S266" s="16">
        <f>MID(D266,FIND("x",D266)+6,3)*1</f>
        <v>900</v>
      </c>
      <c r="T266" s="16">
        <v>6000</v>
      </c>
    </row>
    <row r="267" spans="1:20" x14ac:dyDescent="0.55000000000000004">
      <c r="A267" t="s">
        <v>1200</v>
      </c>
      <c r="C267" t="s">
        <v>182</v>
      </c>
      <c r="D267" t="s">
        <v>183</v>
      </c>
      <c r="E267" t="s">
        <v>35</v>
      </c>
      <c r="F267" t="s">
        <v>30</v>
      </c>
      <c r="G267" t="s">
        <v>31</v>
      </c>
      <c r="H267" t="s">
        <v>36</v>
      </c>
      <c r="I267" t="s">
        <v>184</v>
      </c>
      <c r="J267" t="s">
        <v>185</v>
      </c>
      <c r="K267" t="s">
        <v>39</v>
      </c>
      <c r="L267" t="s">
        <v>30</v>
      </c>
      <c r="M267" t="s">
        <v>31</v>
      </c>
      <c r="N267" t="s">
        <v>991</v>
      </c>
      <c r="Q267" s="4">
        <v>1</v>
      </c>
    </row>
    <row r="268" spans="1:20" x14ac:dyDescent="0.55000000000000004">
      <c r="A268" t="s">
        <v>1203</v>
      </c>
      <c r="C268" t="s">
        <v>184</v>
      </c>
      <c r="D268" t="s">
        <v>185</v>
      </c>
      <c r="E268" t="s">
        <v>39</v>
      </c>
      <c r="F268" t="s">
        <v>30</v>
      </c>
      <c r="G268" t="s">
        <v>31</v>
      </c>
      <c r="H268" s="11" t="s">
        <v>991</v>
      </c>
      <c r="I268" t="s">
        <v>1955</v>
      </c>
      <c r="J268" t="s">
        <v>1956</v>
      </c>
      <c r="K268" t="s">
        <v>362</v>
      </c>
      <c r="L268" t="s">
        <v>30</v>
      </c>
      <c r="M268" t="s">
        <v>31</v>
      </c>
      <c r="Q268" s="4">
        <v>1</v>
      </c>
    </row>
    <row r="269" spans="1:20" x14ac:dyDescent="0.55000000000000004">
      <c r="A269" t="s">
        <v>1204</v>
      </c>
      <c r="C269" t="s">
        <v>184</v>
      </c>
      <c r="D269" t="s">
        <v>185</v>
      </c>
      <c r="E269" t="s">
        <v>39</v>
      </c>
      <c r="F269" t="s">
        <v>30</v>
      </c>
      <c r="G269" t="s">
        <v>31</v>
      </c>
      <c r="H269" s="11" t="s">
        <v>991</v>
      </c>
      <c r="I269" t="s">
        <v>1982</v>
      </c>
      <c r="J269" t="s">
        <v>1983</v>
      </c>
      <c r="K269" t="s">
        <v>39</v>
      </c>
      <c r="L269" t="s">
        <v>30</v>
      </c>
      <c r="M269" t="s">
        <v>31</v>
      </c>
      <c r="N269" t="s">
        <v>991</v>
      </c>
      <c r="Q269" s="4">
        <v>1</v>
      </c>
    </row>
    <row r="270" spans="1:20" s="16" customFormat="1" ht="18.5" thickBot="1" x14ac:dyDescent="0.6">
      <c r="A270" s="16" t="s">
        <v>1207</v>
      </c>
      <c r="C270" s="16" t="s">
        <v>1982</v>
      </c>
      <c r="D270" s="16" t="s">
        <v>1983</v>
      </c>
      <c r="E270" s="16" t="s">
        <v>39</v>
      </c>
      <c r="F270" s="16" t="s">
        <v>30</v>
      </c>
      <c r="G270" s="16" t="s">
        <v>31</v>
      </c>
      <c r="H270" s="16" t="s">
        <v>991</v>
      </c>
      <c r="I270" s="16" t="s">
        <v>2288</v>
      </c>
      <c r="J270" s="16" t="s">
        <v>2289</v>
      </c>
      <c r="K270" s="16" t="s">
        <v>39</v>
      </c>
      <c r="L270" s="16" t="s">
        <v>30</v>
      </c>
      <c r="M270" s="16" t="s">
        <v>31</v>
      </c>
      <c r="N270" s="16" t="s">
        <v>991</v>
      </c>
      <c r="Q270" s="17">
        <f>S270/T270</f>
        <v>0.16666666666666666</v>
      </c>
      <c r="S270" s="16">
        <f>MID(D270,FIND("x",D270)+7,4)*1</f>
        <v>1000</v>
      </c>
      <c r="T270" s="16">
        <v>6000</v>
      </c>
    </row>
    <row r="271" spans="1:20" x14ac:dyDescent="0.55000000000000004">
      <c r="A271" t="s">
        <v>1208</v>
      </c>
      <c r="C271" t="s">
        <v>187</v>
      </c>
      <c r="D271" t="s">
        <v>188</v>
      </c>
      <c r="E271" t="s">
        <v>35</v>
      </c>
      <c r="F271" t="s">
        <v>30</v>
      </c>
      <c r="G271" t="s">
        <v>31</v>
      </c>
      <c r="H271" t="s">
        <v>36</v>
      </c>
      <c r="I271" t="s">
        <v>189</v>
      </c>
      <c r="J271" t="s">
        <v>190</v>
      </c>
      <c r="K271" t="s">
        <v>39</v>
      </c>
      <c r="L271" t="s">
        <v>30</v>
      </c>
      <c r="M271" t="s">
        <v>31</v>
      </c>
      <c r="N271" t="s">
        <v>991</v>
      </c>
      <c r="Q271" s="4">
        <v>1</v>
      </c>
    </row>
    <row r="272" spans="1:20" x14ac:dyDescent="0.55000000000000004">
      <c r="A272" t="s">
        <v>1211</v>
      </c>
      <c r="C272" t="s">
        <v>189</v>
      </c>
      <c r="D272" t="s">
        <v>190</v>
      </c>
      <c r="E272" t="s">
        <v>39</v>
      </c>
      <c r="F272" t="s">
        <v>30</v>
      </c>
      <c r="G272" t="s">
        <v>31</v>
      </c>
      <c r="H272" s="11" t="s">
        <v>991</v>
      </c>
      <c r="I272" t="s">
        <v>1955</v>
      </c>
      <c r="J272" t="s">
        <v>1956</v>
      </c>
      <c r="K272" t="s">
        <v>362</v>
      </c>
      <c r="L272" t="s">
        <v>30</v>
      </c>
      <c r="M272" t="s">
        <v>31</v>
      </c>
      <c r="Q272" s="4">
        <v>1</v>
      </c>
    </row>
    <row r="273" spans="1:20" x14ac:dyDescent="0.55000000000000004">
      <c r="A273" t="s">
        <v>1212</v>
      </c>
      <c r="C273" t="s">
        <v>189</v>
      </c>
      <c r="D273" t="s">
        <v>190</v>
      </c>
      <c r="E273" t="s">
        <v>39</v>
      </c>
      <c r="F273" t="s">
        <v>30</v>
      </c>
      <c r="G273" t="s">
        <v>31</v>
      </c>
      <c r="H273" s="11" t="s">
        <v>991</v>
      </c>
      <c r="I273" t="s">
        <v>1986</v>
      </c>
      <c r="J273" t="s">
        <v>1987</v>
      </c>
      <c r="K273" t="s">
        <v>39</v>
      </c>
      <c r="L273" t="s">
        <v>30</v>
      </c>
      <c r="M273" t="s">
        <v>31</v>
      </c>
      <c r="N273" t="s">
        <v>991</v>
      </c>
      <c r="Q273" s="4">
        <v>1</v>
      </c>
    </row>
    <row r="274" spans="1:20" s="16" customFormat="1" ht="18.5" thickBot="1" x14ac:dyDescent="0.6">
      <c r="A274" s="16" t="s">
        <v>1215</v>
      </c>
      <c r="C274" s="16" t="s">
        <v>1986</v>
      </c>
      <c r="D274" s="16" t="s">
        <v>1987</v>
      </c>
      <c r="E274" s="16" t="s">
        <v>39</v>
      </c>
      <c r="F274" s="16" t="s">
        <v>30</v>
      </c>
      <c r="G274" s="16" t="s">
        <v>31</v>
      </c>
      <c r="H274" s="16" t="s">
        <v>991</v>
      </c>
      <c r="I274" s="16" t="s">
        <v>2288</v>
      </c>
      <c r="J274" s="16" t="s">
        <v>2289</v>
      </c>
      <c r="K274" s="16" t="s">
        <v>39</v>
      </c>
      <c r="L274" s="16" t="s">
        <v>30</v>
      </c>
      <c r="M274" s="16" t="s">
        <v>31</v>
      </c>
      <c r="N274" s="16" t="s">
        <v>991</v>
      </c>
      <c r="Q274" s="17">
        <f>S274/T274</f>
        <v>0.18333333333333332</v>
      </c>
      <c r="S274" s="16">
        <f>MID(D274,FIND("x",D274)+7,4)*1</f>
        <v>1100</v>
      </c>
      <c r="T274" s="16">
        <v>6000</v>
      </c>
    </row>
    <row r="275" spans="1:20" x14ac:dyDescent="0.55000000000000004">
      <c r="A275" t="s">
        <v>1216</v>
      </c>
      <c r="C275" t="s">
        <v>4012</v>
      </c>
      <c r="D275" t="s">
        <v>4013</v>
      </c>
      <c r="E275" t="s">
        <v>35</v>
      </c>
      <c r="F275" t="s">
        <v>30</v>
      </c>
      <c r="G275" t="s">
        <v>31</v>
      </c>
      <c r="H275" t="s">
        <v>36</v>
      </c>
      <c r="I275" t="s">
        <v>4053</v>
      </c>
      <c r="J275" t="s">
        <v>4016</v>
      </c>
      <c r="K275" t="s">
        <v>39</v>
      </c>
      <c r="L275" t="s">
        <v>30</v>
      </c>
      <c r="M275" t="s">
        <v>31</v>
      </c>
      <c r="N275" t="s">
        <v>991</v>
      </c>
      <c r="Q275" s="4">
        <v>1</v>
      </c>
    </row>
    <row r="276" spans="1:20" x14ac:dyDescent="0.55000000000000004">
      <c r="A276" t="s">
        <v>1219</v>
      </c>
      <c r="C276" t="s">
        <v>4053</v>
      </c>
      <c r="D276" t="s">
        <v>4015</v>
      </c>
      <c r="E276" t="s">
        <v>39</v>
      </c>
      <c r="F276" t="s">
        <v>30</v>
      </c>
      <c r="G276" t="s">
        <v>31</v>
      </c>
      <c r="H276" t="s">
        <v>4014</v>
      </c>
      <c r="I276" t="s">
        <v>1955</v>
      </c>
      <c r="J276" t="s">
        <v>1956</v>
      </c>
      <c r="K276" t="s">
        <v>362</v>
      </c>
      <c r="L276" t="s">
        <v>30</v>
      </c>
      <c r="M276" t="s">
        <v>31</v>
      </c>
      <c r="Q276" s="4">
        <v>1</v>
      </c>
    </row>
    <row r="277" spans="1:20" x14ac:dyDescent="0.55000000000000004">
      <c r="A277" t="s">
        <v>1220</v>
      </c>
      <c r="C277" t="s">
        <v>4053</v>
      </c>
      <c r="D277" t="s">
        <v>4015</v>
      </c>
      <c r="E277" t="s">
        <v>39</v>
      </c>
      <c r="F277" t="s">
        <v>30</v>
      </c>
      <c r="G277" t="s">
        <v>31</v>
      </c>
      <c r="H277" t="s">
        <v>4014</v>
      </c>
      <c r="I277" t="s">
        <v>4017</v>
      </c>
      <c r="J277" t="s">
        <v>4018</v>
      </c>
      <c r="K277" t="s">
        <v>39</v>
      </c>
      <c r="L277" t="s">
        <v>30</v>
      </c>
      <c r="M277" t="s">
        <v>31</v>
      </c>
      <c r="N277" t="s">
        <v>991</v>
      </c>
      <c r="Q277" s="4">
        <v>1</v>
      </c>
    </row>
    <row r="278" spans="1:20" s="16" customFormat="1" ht="18.5" thickBot="1" x14ac:dyDescent="0.6">
      <c r="A278" s="16" t="s">
        <v>1223</v>
      </c>
      <c r="C278" s="16" t="s">
        <v>4017</v>
      </c>
      <c r="D278" s="16" t="s">
        <v>4018</v>
      </c>
      <c r="E278" s="16" t="s">
        <v>39</v>
      </c>
      <c r="F278" s="16" t="s">
        <v>30</v>
      </c>
      <c r="G278" s="16" t="s">
        <v>31</v>
      </c>
      <c r="H278" s="16" t="s">
        <v>991</v>
      </c>
      <c r="I278" s="16" t="s">
        <v>2288</v>
      </c>
      <c r="J278" s="16" t="s">
        <v>2289</v>
      </c>
      <c r="K278" s="16" t="s">
        <v>39</v>
      </c>
      <c r="L278" s="16" t="s">
        <v>30</v>
      </c>
      <c r="M278" s="16" t="s">
        <v>31</v>
      </c>
      <c r="N278" s="16" t="s">
        <v>991</v>
      </c>
      <c r="Q278" s="17">
        <f>S278/T278</f>
        <v>0.2</v>
      </c>
      <c r="S278" s="16">
        <f>MID(D278,FIND("x",D278)+7,4)*1</f>
        <v>1200</v>
      </c>
      <c r="T278" s="16">
        <v>6000</v>
      </c>
    </row>
    <row r="279" spans="1:20" x14ac:dyDescent="0.55000000000000004">
      <c r="A279" t="s">
        <v>1224</v>
      </c>
      <c r="C279" t="s">
        <v>4019</v>
      </c>
      <c r="D279" t="s">
        <v>4020</v>
      </c>
      <c r="E279" t="s">
        <v>35</v>
      </c>
      <c r="F279" t="s">
        <v>30</v>
      </c>
      <c r="G279" t="s">
        <v>31</v>
      </c>
      <c r="H279" t="s">
        <v>36</v>
      </c>
      <c r="I279" t="s">
        <v>4054</v>
      </c>
      <c r="J279" t="s">
        <v>4022</v>
      </c>
      <c r="K279" t="s">
        <v>39</v>
      </c>
      <c r="L279" t="s">
        <v>30</v>
      </c>
      <c r="M279" t="s">
        <v>31</v>
      </c>
      <c r="N279" t="s">
        <v>991</v>
      </c>
      <c r="Q279" s="4">
        <v>1</v>
      </c>
    </row>
    <row r="280" spans="1:20" x14ac:dyDescent="0.55000000000000004">
      <c r="A280" t="s">
        <v>1227</v>
      </c>
      <c r="C280" t="s">
        <v>4054</v>
      </c>
      <c r="D280" t="s">
        <v>4021</v>
      </c>
      <c r="E280" t="s">
        <v>39</v>
      </c>
      <c r="F280" t="s">
        <v>30</v>
      </c>
      <c r="G280" t="s">
        <v>31</v>
      </c>
      <c r="H280" t="s">
        <v>4014</v>
      </c>
      <c r="I280" t="s">
        <v>1955</v>
      </c>
      <c r="J280" t="s">
        <v>1956</v>
      </c>
      <c r="K280" t="s">
        <v>362</v>
      </c>
      <c r="L280" t="s">
        <v>30</v>
      </c>
      <c r="M280" t="s">
        <v>31</v>
      </c>
      <c r="Q280" s="4">
        <v>1</v>
      </c>
    </row>
    <row r="281" spans="1:20" x14ac:dyDescent="0.55000000000000004">
      <c r="A281" t="s">
        <v>1228</v>
      </c>
      <c r="C281" t="s">
        <v>4054</v>
      </c>
      <c r="D281" t="s">
        <v>4021</v>
      </c>
      <c r="E281" t="s">
        <v>39</v>
      </c>
      <c r="F281" t="s">
        <v>30</v>
      </c>
      <c r="G281" t="s">
        <v>31</v>
      </c>
      <c r="H281" t="s">
        <v>4014</v>
      </c>
      <c r="I281" t="s">
        <v>4023</v>
      </c>
      <c r="J281" t="s">
        <v>4024</v>
      </c>
      <c r="K281" t="s">
        <v>39</v>
      </c>
      <c r="L281" t="s">
        <v>30</v>
      </c>
      <c r="M281" t="s">
        <v>31</v>
      </c>
      <c r="N281" t="s">
        <v>991</v>
      </c>
      <c r="Q281" s="4">
        <v>1</v>
      </c>
    </row>
    <row r="282" spans="1:20" s="16" customFormat="1" ht="18.5" thickBot="1" x14ac:dyDescent="0.6">
      <c r="A282" s="16" t="s">
        <v>1231</v>
      </c>
      <c r="C282" s="16" t="s">
        <v>4023</v>
      </c>
      <c r="D282" s="16" t="s">
        <v>4024</v>
      </c>
      <c r="E282" s="16" t="s">
        <v>39</v>
      </c>
      <c r="F282" s="16" t="s">
        <v>30</v>
      </c>
      <c r="G282" s="16" t="s">
        <v>31</v>
      </c>
      <c r="H282" s="16" t="s">
        <v>991</v>
      </c>
      <c r="I282" s="16" t="s">
        <v>2288</v>
      </c>
      <c r="J282" s="16" t="s">
        <v>2289</v>
      </c>
      <c r="K282" s="16" t="s">
        <v>39</v>
      </c>
      <c r="L282" s="16" t="s">
        <v>30</v>
      </c>
      <c r="M282" s="16" t="s">
        <v>31</v>
      </c>
      <c r="N282" s="16" t="s">
        <v>991</v>
      </c>
      <c r="Q282" s="17">
        <f>S282/T282</f>
        <v>0.21666666666666667</v>
      </c>
      <c r="S282" s="16">
        <f>MID(D282,FIND("x",D282)+7,4)*1</f>
        <v>1300</v>
      </c>
      <c r="T282" s="16">
        <v>6000</v>
      </c>
    </row>
    <row r="283" spans="1:20" x14ac:dyDescent="0.55000000000000004">
      <c r="A283" t="s">
        <v>1232</v>
      </c>
      <c r="C283" t="s">
        <v>4025</v>
      </c>
      <c r="D283" t="s">
        <v>4026</v>
      </c>
      <c r="E283" t="s">
        <v>35</v>
      </c>
      <c r="F283" t="s">
        <v>30</v>
      </c>
      <c r="G283" t="s">
        <v>31</v>
      </c>
      <c r="H283" t="s">
        <v>36</v>
      </c>
      <c r="I283" t="s">
        <v>4055</v>
      </c>
      <c r="J283" t="s">
        <v>4028</v>
      </c>
      <c r="K283" t="s">
        <v>39</v>
      </c>
      <c r="L283" t="s">
        <v>30</v>
      </c>
      <c r="M283" t="s">
        <v>31</v>
      </c>
      <c r="N283" t="s">
        <v>991</v>
      </c>
      <c r="Q283" s="4">
        <v>1</v>
      </c>
    </row>
    <row r="284" spans="1:20" x14ac:dyDescent="0.55000000000000004">
      <c r="A284" t="s">
        <v>1235</v>
      </c>
      <c r="C284" t="s">
        <v>4055</v>
      </c>
      <c r="D284" t="s">
        <v>4027</v>
      </c>
      <c r="E284" t="s">
        <v>39</v>
      </c>
      <c r="F284" t="s">
        <v>30</v>
      </c>
      <c r="G284" t="s">
        <v>31</v>
      </c>
      <c r="H284" t="s">
        <v>4014</v>
      </c>
      <c r="I284" t="s">
        <v>1955</v>
      </c>
      <c r="J284" t="s">
        <v>1956</v>
      </c>
      <c r="K284" t="s">
        <v>362</v>
      </c>
      <c r="L284" t="s">
        <v>30</v>
      </c>
      <c r="M284" t="s">
        <v>31</v>
      </c>
      <c r="Q284" s="4">
        <v>1</v>
      </c>
    </row>
    <row r="285" spans="1:20" x14ac:dyDescent="0.55000000000000004">
      <c r="A285" t="s">
        <v>1236</v>
      </c>
      <c r="C285" t="s">
        <v>4055</v>
      </c>
      <c r="D285" t="s">
        <v>4027</v>
      </c>
      <c r="E285" t="s">
        <v>39</v>
      </c>
      <c r="F285" t="s">
        <v>30</v>
      </c>
      <c r="G285" t="s">
        <v>31</v>
      </c>
      <c r="H285" t="s">
        <v>4014</v>
      </c>
      <c r="I285" t="s">
        <v>4029</v>
      </c>
      <c r="J285" t="s">
        <v>4030</v>
      </c>
      <c r="K285" t="s">
        <v>39</v>
      </c>
      <c r="L285" t="s">
        <v>30</v>
      </c>
      <c r="M285" t="s">
        <v>31</v>
      </c>
      <c r="N285" t="s">
        <v>991</v>
      </c>
      <c r="Q285" s="4">
        <v>1</v>
      </c>
    </row>
    <row r="286" spans="1:20" s="16" customFormat="1" ht="18.5" thickBot="1" x14ac:dyDescent="0.6">
      <c r="A286" s="16" t="s">
        <v>1239</v>
      </c>
      <c r="C286" s="16" t="s">
        <v>4029</v>
      </c>
      <c r="D286" s="16" t="s">
        <v>4030</v>
      </c>
      <c r="E286" s="16" t="s">
        <v>39</v>
      </c>
      <c r="F286" s="16" t="s">
        <v>30</v>
      </c>
      <c r="G286" s="16" t="s">
        <v>31</v>
      </c>
      <c r="H286" s="16" t="s">
        <v>991</v>
      </c>
      <c r="I286" s="16" t="s">
        <v>2288</v>
      </c>
      <c r="J286" s="16" t="s">
        <v>2289</v>
      </c>
      <c r="K286" s="16" t="s">
        <v>39</v>
      </c>
      <c r="L286" s="16" t="s">
        <v>30</v>
      </c>
      <c r="M286" s="16" t="s">
        <v>31</v>
      </c>
      <c r="N286" s="16" t="s">
        <v>991</v>
      </c>
      <c r="Q286" s="17">
        <f>S286/T286</f>
        <v>0.23333333333333334</v>
      </c>
      <c r="S286" s="16">
        <f>MID(D286,FIND("x",D286)+7,4)*1</f>
        <v>1400</v>
      </c>
      <c r="T286" s="16">
        <v>6000</v>
      </c>
    </row>
    <row r="287" spans="1:20" x14ac:dyDescent="0.55000000000000004">
      <c r="A287" t="s">
        <v>1240</v>
      </c>
      <c r="C287" t="s">
        <v>4031</v>
      </c>
      <c r="D287" t="s">
        <v>4032</v>
      </c>
      <c r="E287" t="s">
        <v>35</v>
      </c>
      <c r="F287" t="s">
        <v>30</v>
      </c>
      <c r="G287" t="s">
        <v>31</v>
      </c>
      <c r="H287" t="s">
        <v>36</v>
      </c>
      <c r="I287" t="s">
        <v>4056</v>
      </c>
      <c r="J287" t="s">
        <v>4034</v>
      </c>
      <c r="K287" t="s">
        <v>39</v>
      </c>
      <c r="L287" t="s">
        <v>30</v>
      </c>
      <c r="M287" t="s">
        <v>31</v>
      </c>
      <c r="N287" t="s">
        <v>991</v>
      </c>
      <c r="Q287" s="4">
        <v>1</v>
      </c>
    </row>
    <row r="288" spans="1:20" x14ac:dyDescent="0.55000000000000004">
      <c r="A288" t="s">
        <v>1243</v>
      </c>
      <c r="C288" t="s">
        <v>4056</v>
      </c>
      <c r="D288" t="s">
        <v>4033</v>
      </c>
      <c r="E288" t="s">
        <v>39</v>
      </c>
      <c r="F288" t="s">
        <v>30</v>
      </c>
      <c r="G288" t="s">
        <v>31</v>
      </c>
      <c r="H288" t="s">
        <v>4014</v>
      </c>
      <c r="I288" t="s">
        <v>1955</v>
      </c>
      <c r="J288" t="s">
        <v>1956</v>
      </c>
      <c r="K288" t="s">
        <v>362</v>
      </c>
      <c r="L288" t="s">
        <v>30</v>
      </c>
      <c r="M288" t="s">
        <v>31</v>
      </c>
      <c r="Q288" s="4">
        <v>1</v>
      </c>
    </row>
    <row r="289" spans="1:20" x14ac:dyDescent="0.55000000000000004">
      <c r="A289" t="s">
        <v>1244</v>
      </c>
      <c r="C289" t="s">
        <v>4056</v>
      </c>
      <c r="D289" t="s">
        <v>4033</v>
      </c>
      <c r="E289" t="s">
        <v>39</v>
      </c>
      <c r="F289" t="s">
        <v>30</v>
      </c>
      <c r="G289" t="s">
        <v>31</v>
      </c>
      <c r="H289" t="s">
        <v>4014</v>
      </c>
      <c r="I289" t="s">
        <v>4035</v>
      </c>
      <c r="J289" t="s">
        <v>4036</v>
      </c>
      <c r="K289" t="s">
        <v>39</v>
      </c>
      <c r="L289" t="s">
        <v>30</v>
      </c>
      <c r="M289" t="s">
        <v>31</v>
      </c>
      <c r="N289" t="s">
        <v>991</v>
      </c>
      <c r="Q289" s="4">
        <v>1</v>
      </c>
    </row>
    <row r="290" spans="1:20" s="16" customFormat="1" ht="18.5" thickBot="1" x14ac:dyDescent="0.6">
      <c r="A290" s="16" t="s">
        <v>1247</v>
      </c>
      <c r="C290" s="16" t="s">
        <v>4035</v>
      </c>
      <c r="D290" s="16" t="s">
        <v>4036</v>
      </c>
      <c r="E290" s="16" t="s">
        <v>39</v>
      </c>
      <c r="F290" s="16" t="s">
        <v>30</v>
      </c>
      <c r="G290" s="16" t="s">
        <v>31</v>
      </c>
      <c r="H290" s="16" t="s">
        <v>991</v>
      </c>
      <c r="I290" s="16" t="s">
        <v>2288</v>
      </c>
      <c r="J290" s="16" t="s">
        <v>2289</v>
      </c>
      <c r="K290" s="16" t="s">
        <v>39</v>
      </c>
      <c r="L290" s="16" t="s">
        <v>30</v>
      </c>
      <c r="M290" s="16" t="s">
        <v>31</v>
      </c>
      <c r="N290" s="16" t="s">
        <v>991</v>
      </c>
      <c r="Q290" s="17">
        <f>S290/T290</f>
        <v>0.25</v>
      </c>
      <c r="S290" s="16">
        <f>MID(D290,FIND("x",D290)+7,4)*1</f>
        <v>1500</v>
      </c>
      <c r="T290" s="16">
        <v>6000</v>
      </c>
    </row>
    <row r="291" spans="1:20" x14ac:dyDescent="0.55000000000000004">
      <c r="A291" t="s">
        <v>1248</v>
      </c>
      <c r="C291" t="s">
        <v>4037</v>
      </c>
      <c r="D291" t="s">
        <v>4038</v>
      </c>
      <c r="E291" t="s">
        <v>35</v>
      </c>
      <c r="F291" t="s">
        <v>30</v>
      </c>
      <c r="G291" t="s">
        <v>31</v>
      </c>
      <c r="H291" t="s">
        <v>36</v>
      </c>
      <c r="I291" t="s">
        <v>4057</v>
      </c>
      <c r="J291" t="s">
        <v>4040</v>
      </c>
      <c r="K291" t="s">
        <v>39</v>
      </c>
      <c r="L291" t="s">
        <v>30</v>
      </c>
      <c r="M291" t="s">
        <v>31</v>
      </c>
      <c r="N291" t="s">
        <v>991</v>
      </c>
      <c r="Q291" s="4">
        <v>1</v>
      </c>
    </row>
    <row r="292" spans="1:20" x14ac:dyDescent="0.55000000000000004">
      <c r="A292" t="s">
        <v>1251</v>
      </c>
      <c r="C292" t="s">
        <v>4057</v>
      </c>
      <c r="D292" t="s">
        <v>4039</v>
      </c>
      <c r="E292" t="s">
        <v>39</v>
      </c>
      <c r="F292" t="s">
        <v>30</v>
      </c>
      <c r="G292" t="s">
        <v>31</v>
      </c>
      <c r="H292" t="s">
        <v>4014</v>
      </c>
      <c r="I292" t="s">
        <v>1955</v>
      </c>
      <c r="J292" t="s">
        <v>1956</v>
      </c>
      <c r="K292" t="s">
        <v>362</v>
      </c>
      <c r="L292" t="s">
        <v>30</v>
      </c>
      <c r="M292" t="s">
        <v>31</v>
      </c>
      <c r="Q292" s="4">
        <v>1</v>
      </c>
    </row>
    <row r="293" spans="1:20" x14ac:dyDescent="0.55000000000000004">
      <c r="A293" t="s">
        <v>1252</v>
      </c>
      <c r="C293" t="s">
        <v>4057</v>
      </c>
      <c r="D293" t="s">
        <v>4039</v>
      </c>
      <c r="E293" t="s">
        <v>39</v>
      </c>
      <c r="F293" t="s">
        <v>30</v>
      </c>
      <c r="G293" t="s">
        <v>31</v>
      </c>
      <c r="H293" t="s">
        <v>4014</v>
      </c>
      <c r="I293" t="s">
        <v>4041</v>
      </c>
      <c r="J293" t="s">
        <v>4042</v>
      </c>
      <c r="K293" t="s">
        <v>39</v>
      </c>
      <c r="L293" t="s">
        <v>30</v>
      </c>
      <c r="M293" t="s">
        <v>31</v>
      </c>
      <c r="N293" t="s">
        <v>991</v>
      </c>
      <c r="Q293" s="4">
        <v>1</v>
      </c>
    </row>
    <row r="294" spans="1:20" s="16" customFormat="1" ht="18.5" thickBot="1" x14ac:dyDescent="0.6">
      <c r="A294" s="16" t="s">
        <v>1255</v>
      </c>
      <c r="C294" s="16" t="s">
        <v>4041</v>
      </c>
      <c r="D294" s="16" t="s">
        <v>4042</v>
      </c>
      <c r="E294" s="16" t="s">
        <v>39</v>
      </c>
      <c r="F294" s="16" t="s">
        <v>30</v>
      </c>
      <c r="G294" s="16" t="s">
        <v>31</v>
      </c>
      <c r="H294" s="16" t="s">
        <v>991</v>
      </c>
      <c r="I294" s="16" t="s">
        <v>2288</v>
      </c>
      <c r="J294" s="16" t="s">
        <v>2289</v>
      </c>
      <c r="K294" s="16" t="s">
        <v>39</v>
      </c>
      <c r="L294" s="16" t="s">
        <v>30</v>
      </c>
      <c r="M294" s="16" t="s">
        <v>31</v>
      </c>
      <c r="N294" s="16" t="s">
        <v>991</v>
      </c>
      <c r="Q294" s="17">
        <f>S294/T294</f>
        <v>0.26666666666666666</v>
      </c>
      <c r="S294" s="16">
        <f>MID(D294,FIND("x",D294)+7,4)*1</f>
        <v>1600</v>
      </c>
      <c r="T294" s="16">
        <v>6000</v>
      </c>
    </row>
    <row r="295" spans="1:20" x14ac:dyDescent="0.55000000000000004">
      <c r="A295" t="s">
        <v>1256</v>
      </c>
      <c r="C295" t="s">
        <v>4043</v>
      </c>
      <c r="D295" t="s">
        <v>4044</v>
      </c>
      <c r="E295" t="s">
        <v>35</v>
      </c>
      <c r="F295" t="s">
        <v>30</v>
      </c>
      <c r="G295" t="s">
        <v>31</v>
      </c>
      <c r="H295" t="s">
        <v>36</v>
      </c>
      <c r="I295" t="s">
        <v>4058</v>
      </c>
      <c r="J295" t="s">
        <v>4046</v>
      </c>
      <c r="K295" t="s">
        <v>39</v>
      </c>
      <c r="L295" t="s">
        <v>30</v>
      </c>
      <c r="M295" t="s">
        <v>31</v>
      </c>
      <c r="N295" t="s">
        <v>991</v>
      </c>
      <c r="Q295" s="4">
        <v>1</v>
      </c>
    </row>
    <row r="296" spans="1:20" x14ac:dyDescent="0.55000000000000004">
      <c r="A296" t="s">
        <v>1259</v>
      </c>
      <c r="C296" t="s">
        <v>4058</v>
      </c>
      <c r="D296" t="s">
        <v>4045</v>
      </c>
      <c r="E296" t="s">
        <v>39</v>
      </c>
      <c r="F296" t="s">
        <v>30</v>
      </c>
      <c r="G296" t="s">
        <v>31</v>
      </c>
      <c r="H296" t="s">
        <v>4014</v>
      </c>
      <c r="I296" t="s">
        <v>1955</v>
      </c>
      <c r="J296" t="s">
        <v>1956</v>
      </c>
      <c r="K296" t="s">
        <v>362</v>
      </c>
      <c r="L296" t="s">
        <v>30</v>
      </c>
      <c r="M296" t="s">
        <v>31</v>
      </c>
      <c r="Q296" s="4">
        <v>1</v>
      </c>
    </row>
    <row r="297" spans="1:20" x14ac:dyDescent="0.55000000000000004">
      <c r="A297" t="s">
        <v>1260</v>
      </c>
      <c r="C297" t="s">
        <v>4058</v>
      </c>
      <c r="D297" t="s">
        <v>4045</v>
      </c>
      <c r="E297" t="s">
        <v>39</v>
      </c>
      <c r="F297" t="s">
        <v>30</v>
      </c>
      <c r="G297" t="s">
        <v>31</v>
      </c>
      <c r="H297" t="s">
        <v>4014</v>
      </c>
      <c r="I297" t="s">
        <v>4047</v>
      </c>
      <c r="J297" t="s">
        <v>4048</v>
      </c>
      <c r="K297" t="s">
        <v>39</v>
      </c>
      <c r="L297" t="s">
        <v>30</v>
      </c>
      <c r="M297" t="s">
        <v>31</v>
      </c>
      <c r="N297" t="s">
        <v>991</v>
      </c>
      <c r="Q297" s="4">
        <v>1</v>
      </c>
    </row>
    <row r="298" spans="1:20" s="16" customFormat="1" ht="18.5" thickBot="1" x14ac:dyDescent="0.6">
      <c r="A298" s="16" t="s">
        <v>1263</v>
      </c>
      <c r="C298" s="16" t="s">
        <v>4047</v>
      </c>
      <c r="D298" s="16" t="s">
        <v>4048</v>
      </c>
      <c r="E298" s="16" t="s">
        <v>39</v>
      </c>
      <c r="F298" s="16" t="s">
        <v>30</v>
      </c>
      <c r="G298" s="16" t="s">
        <v>31</v>
      </c>
      <c r="H298" s="16" t="s">
        <v>991</v>
      </c>
      <c r="I298" s="16" t="s">
        <v>2288</v>
      </c>
      <c r="J298" s="16" t="s">
        <v>2289</v>
      </c>
      <c r="K298" s="16" t="s">
        <v>39</v>
      </c>
      <c r="L298" s="16" t="s">
        <v>30</v>
      </c>
      <c r="M298" s="16" t="s">
        <v>31</v>
      </c>
      <c r="N298" s="16" t="s">
        <v>991</v>
      </c>
      <c r="Q298" s="17">
        <f>S298/T298</f>
        <v>0.28333333333333333</v>
      </c>
      <c r="S298" s="16">
        <f>MID(D298,FIND("x",D298)+7,4)*1</f>
        <v>1700</v>
      </c>
      <c r="T298" s="16">
        <v>6000</v>
      </c>
    </row>
    <row r="299" spans="1:20" x14ac:dyDescent="0.55000000000000004">
      <c r="A299" t="s">
        <v>1264</v>
      </c>
      <c r="C299" t="s">
        <v>4049</v>
      </c>
      <c r="D299" t="s">
        <v>4050</v>
      </c>
      <c r="E299" t="s">
        <v>35</v>
      </c>
      <c r="F299" t="s">
        <v>30</v>
      </c>
      <c r="G299" t="s">
        <v>31</v>
      </c>
      <c r="H299" t="s">
        <v>36</v>
      </c>
      <c r="I299" t="s">
        <v>4051</v>
      </c>
      <c r="J299" t="s">
        <v>4052</v>
      </c>
      <c r="K299" t="s">
        <v>39</v>
      </c>
      <c r="L299" t="s">
        <v>30</v>
      </c>
      <c r="M299" t="s">
        <v>31</v>
      </c>
      <c r="N299" t="s">
        <v>991</v>
      </c>
      <c r="Q299" s="4">
        <v>1</v>
      </c>
    </row>
    <row r="300" spans="1:20" x14ac:dyDescent="0.55000000000000004">
      <c r="A300" t="s">
        <v>1267</v>
      </c>
      <c r="C300" t="s">
        <v>4051</v>
      </c>
      <c r="D300" t="s">
        <v>4052</v>
      </c>
      <c r="E300" t="s">
        <v>39</v>
      </c>
      <c r="F300" t="s">
        <v>30</v>
      </c>
      <c r="G300" t="s">
        <v>31</v>
      </c>
      <c r="H300" t="s">
        <v>4014</v>
      </c>
      <c r="I300" t="s">
        <v>4059</v>
      </c>
      <c r="J300" t="s">
        <v>4060</v>
      </c>
      <c r="K300" t="s">
        <v>362</v>
      </c>
      <c r="L300" t="s">
        <v>30</v>
      </c>
      <c r="M300" t="s">
        <v>31</v>
      </c>
      <c r="Q300" s="4">
        <v>1</v>
      </c>
    </row>
    <row r="301" spans="1:20" x14ac:dyDescent="0.55000000000000004">
      <c r="A301" t="s">
        <v>1268</v>
      </c>
      <c r="C301" t="s">
        <v>4051</v>
      </c>
      <c r="D301" t="s">
        <v>4052</v>
      </c>
      <c r="E301" t="s">
        <v>39</v>
      </c>
      <c r="F301" t="s">
        <v>30</v>
      </c>
      <c r="G301" t="s">
        <v>31</v>
      </c>
      <c r="H301" t="s">
        <v>4014</v>
      </c>
      <c r="I301" t="s">
        <v>4061</v>
      </c>
      <c r="J301" t="s">
        <v>4062</v>
      </c>
      <c r="K301" t="s">
        <v>39</v>
      </c>
      <c r="L301" t="s">
        <v>30</v>
      </c>
      <c r="M301" t="s">
        <v>31</v>
      </c>
      <c r="N301" t="s">
        <v>991</v>
      </c>
      <c r="Q301" s="4">
        <v>1</v>
      </c>
    </row>
    <row r="302" spans="1:20" x14ac:dyDescent="0.55000000000000004">
      <c r="A302" t="s">
        <v>1271</v>
      </c>
      <c r="C302" t="s">
        <v>4061</v>
      </c>
      <c r="D302" t="s">
        <v>4062</v>
      </c>
      <c r="E302" t="s">
        <v>39</v>
      </c>
      <c r="F302" t="s">
        <v>30</v>
      </c>
      <c r="G302" t="s">
        <v>31</v>
      </c>
      <c r="H302" t="s">
        <v>991</v>
      </c>
      <c r="I302" t="s">
        <v>4063</v>
      </c>
      <c r="J302" t="s">
        <v>4064</v>
      </c>
      <c r="K302" t="s">
        <v>39</v>
      </c>
      <c r="L302" t="s">
        <v>30</v>
      </c>
      <c r="M302" t="s">
        <v>31</v>
      </c>
      <c r="N302" t="s">
        <v>991</v>
      </c>
      <c r="Q302" s="15">
        <f>S302/T302</f>
        <v>0.05</v>
      </c>
      <c r="S302">
        <f>MID(D302,FIND("x",D302)+6,3)*1</f>
        <v>300</v>
      </c>
      <c r="T302">
        <v>6000</v>
      </c>
    </row>
    <row r="303" spans="1:20" s="16" customFormat="1" ht="18.5" thickBot="1" x14ac:dyDescent="0.6">
      <c r="A303" s="16" t="s">
        <v>1272</v>
      </c>
      <c r="C303" s="16" t="s">
        <v>4063</v>
      </c>
      <c r="D303" s="16" t="s">
        <v>4064</v>
      </c>
      <c r="E303" s="16" t="s">
        <v>39</v>
      </c>
      <c r="F303" s="16" t="s">
        <v>30</v>
      </c>
      <c r="G303" s="16" t="s">
        <v>31</v>
      </c>
      <c r="H303" s="16" t="s">
        <v>991</v>
      </c>
      <c r="I303" s="16" t="s">
        <v>4063</v>
      </c>
      <c r="J303" s="16" t="s">
        <v>4065</v>
      </c>
      <c r="K303" s="16" t="s">
        <v>362</v>
      </c>
      <c r="L303" s="16" t="s">
        <v>30</v>
      </c>
      <c r="M303" s="16" t="s">
        <v>31</v>
      </c>
      <c r="N303" s="16" t="s">
        <v>991</v>
      </c>
      <c r="Q303" s="18">
        <v>1</v>
      </c>
    </row>
    <row r="304" spans="1:20" x14ac:dyDescent="0.55000000000000004">
      <c r="A304" t="s">
        <v>1275</v>
      </c>
      <c r="C304" t="s">
        <v>4066</v>
      </c>
      <c r="D304" t="s">
        <v>4067</v>
      </c>
      <c r="E304" t="s">
        <v>35</v>
      </c>
      <c r="F304" t="s">
        <v>30</v>
      </c>
      <c r="G304" t="s">
        <v>31</v>
      </c>
      <c r="H304" t="s">
        <v>36</v>
      </c>
      <c r="I304" t="s">
        <v>4068</v>
      </c>
      <c r="J304" t="s">
        <v>4069</v>
      </c>
      <c r="K304" t="s">
        <v>39</v>
      </c>
      <c r="L304" t="s">
        <v>30</v>
      </c>
      <c r="M304" t="s">
        <v>31</v>
      </c>
      <c r="N304" t="s">
        <v>991</v>
      </c>
      <c r="Q304" s="4">
        <v>1</v>
      </c>
    </row>
    <row r="305" spans="1:20" x14ac:dyDescent="0.55000000000000004">
      <c r="A305" t="s">
        <v>1276</v>
      </c>
      <c r="C305" t="s">
        <v>4068</v>
      </c>
      <c r="D305" t="s">
        <v>4069</v>
      </c>
      <c r="E305" t="s">
        <v>39</v>
      </c>
      <c r="F305" t="s">
        <v>30</v>
      </c>
      <c r="G305" t="s">
        <v>31</v>
      </c>
      <c r="H305" t="s">
        <v>4014</v>
      </c>
      <c r="I305" t="s">
        <v>4059</v>
      </c>
      <c r="J305" t="s">
        <v>4060</v>
      </c>
      <c r="K305" t="s">
        <v>362</v>
      </c>
      <c r="L305" t="s">
        <v>30</v>
      </c>
      <c r="M305" t="s">
        <v>31</v>
      </c>
      <c r="Q305" s="4">
        <v>1</v>
      </c>
    </row>
    <row r="306" spans="1:20" x14ac:dyDescent="0.55000000000000004">
      <c r="A306" t="s">
        <v>1279</v>
      </c>
      <c r="C306" t="s">
        <v>4068</v>
      </c>
      <c r="D306" t="s">
        <v>4069</v>
      </c>
      <c r="E306" t="s">
        <v>39</v>
      </c>
      <c r="F306" t="s">
        <v>30</v>
      </c>
      <c r="G306" t="s">
        <v>31</v>
      </c>
      <c r="H306" t="s">
        <v>4014</v>
      </c>
      <c r="I306" t="s">
        <v>4070</v>
      </c>
      <c r="J306" t="s">
        <v>4071</v>
      </c>
      <c r="K306" t="s">
        <v>39</v>
      </c>
      <c r="L306" t="s">
        <v>30</v>
      </c>
      <c r="M306" t="s">
        <v>31</v>
      </c>
      <c r="N306" t="s">
        <v>991</v>
      </c>
      <c r="Q306" s="4">
        <v>1</v>
      </c>
    </row>
    <row r="307" spans="1:20" s="16" customFormat="1" ht="18.5" thickBot="1" x14ac:dyDescent="0.6">
      <c r="A307" s="16" t="s">
        <v>1280</v>
      </c>
      <c r="C307" s="16" t="s">
        <v>4070</v>
      </c>
      <c r="D307" s="16" t="s">
        <v>4071</v>
      </c>
      <c r="E307" s="16" t="s">
        <v>39</v>
      </c>
      <c r="F307" s="16" t="s">
        <v>30</v>
      </c>
      <c r="G307" s="16" t="s">
        <v>31</v>
      </c>
      <c r="H307" s="16" t="s">
        <v>991</v>
      </c>
      <c r="I307" s="16" t="s">
        <v>4063</v>
      </c>
      <c r="J307" s="16" t="s">
        <v>4064</v>
      </c>
      <c r="K307" s="16" t="s">
        <v>39</v>
      </c>
      <c r="L307" s="16" t="s">
        <v>30</v>
      </c>
      <c r="M307" s="16" t="s">
        <v>31</v>
      </c>
      <c r="N307" s="16" t="s">
        <v>991</v>
      </c>
      <c r="Q307" s="17">
        <f>S307/T307</f>
        <v>6.6666666666666666E-2</v>
      </c>
      <c r="S307" s="16">
        <f>MID(D307,FIND("x",D307)+6,3)*1</f>
        <v>400</v>
      </c>
      <c r="T307" s="16">
        <v>6000</v>
      </c>
    </row>
    <row r="308" spans="1:20" x14ac:dyDescent="0.55000000000000004">
      <c r="A308" t="s">
        <v>1283</v>
      </c>
      <c r="C308" t="s">
        <v>4072</v>
      </c>
      <c r="D308" t="s">
        <v>4073</v>
      </c>
      <c r="E308" t="s">
        <v>35</v>
      </c>
      <c r="F308" t="s">
        <v>30</v>
      </c>
      <c r="G308" t="s">
        <v>31</v>
      </c>
      <c r="H308" t="s">
        <v>36</v>
      </c>
      <c r="I308" t="s">
        <v>4074</v>
      </c>
      <c r="J308" t="s">
        <v>4075</v>
      </c>
      <c r="K308" t="s">
        <v>39</v>
      </c>
      <c r="L308" t="s">
        <v>30</v>
      </c>
      <c r="M308" t="s">
        <v>31</v>
      </c>
      <c r="N308" t="s">
        <v>991</v>
      </c>
      <c r="Q308" s="4">
        <v>1</v>
      </c>
    </row>
    <row r="309" spans="1:20" x14ac:dyDescent="0.55000000000000004">
      <c r="A309" t="s">
        <v>1284</v>
      </c>
      <c r="C309" t="s">
        <v>4074</v>
      </c>
      <c r="D309" t="s">
        <v>4075</v>
      </c>
      <c r="E309" t="s">
        <v>39</v>
      </c>
      <c r="F309" t="s">
        <v>30</v>
      </c>
      <c r="G309" t="s">
        <v>31</v>
      </c>
      <c r="H309" t="s">
        <v>4014</v>
      </c>
      <c r="I309" t="s">
        <v>4059</v>
      </c>
      <c r="J309" t="s">
        <v>4060</v>
      </c>
      <c r="K309" t="s">
        <v>362</v>
      </c>
      <c r="L309" t="s">
        <v>30</v>
      </c>
      <c r="M309" t="s">
        <v>31</v>
      </c>
      <c r="Q309" s="4">
        <v>1</v>
      </c>
    </row>
    <row r="310" spans="1:20" x14ac:dyDescent="0.55000000000000004">
      <c r="A310" t="s">
        <v>1287</v>
      </c>
      <c r="C310" t="s">
        <v>4074</v>
      </c>
      <c r="D310" t="s">
        <v>4075</v>
      </c>
      <c r="E310" t="s">
        <v>39</v>
      </c>
      <c r="F310" t="s">
        <v>30</v>
      </c>
      <c r="G310" t="s">
        <v>31</v>
      </c>
      <c r="H310" t="s">
        <v>4014</v>
      </c>
      <c r="I310" t="s">
        <v>4076</v>
      </c>
      <c r="J310" t="s">
        <v>4077</v>
      </c>
      <c r="K310" t="s">
        <v>39</v>
      </c>
      <c r="L310" t="s">
        <v>30</v>
      </c>
      <c r="M310" t="s">
        <v>31</v>
      </c>
      <c r="N310" t="s">
        <v>991</v>
      </c>
      <c r="Q310" s="4">
        <v>1</v>
      </c>
    </row>
    <row r="311" spans="1:20" s="16" customFormat="1" ht="18.5" thickBot="1" x14ac:dyDescent="0.6">
      <c r="A311" s="16" t="s">
        <v>1288</v>
      </c>
      <c r="C311" s="16" t="s">
        <v>4076</v>
      </c>
      <c r="D311" s="16" t="s">
        <v>4077</v>
      </c>
      <c r="E311" s="16" t="s">
        <v>39</v>
      </c>
      <c r="F311" s="16" t="s">
        <v>30</v>
      </c>
      <c r="G311" s="16" t="s">
        <v>31</v>
      </c>
      <c r="H311" s="16" t="s">
        <v>991</v>
      </c>
      <c r="I311" s="16" t="s">
        <v>4063</v>
      </c>
      <c r="J311" s="16" t="s">
        <v>4064</v>
      </c>
      <c r="K311" s="16" t="s">
        <v>39</v>
      </c>
      <c r="L311" s="16" t="s">
        <v>30</v>
      </c>
      <c r="M311" s="16" t="s">
        <v>31</v>
      </c>
      <c r="N311" s="16" t="s">
        <v>991</v>
      </c>
      <c r="Q311" s="17">
        <f>S311/T311</f>
        <v>8.3333333333333329E-2</v>
      </c>
      <c r="S311" s="16">
        <f>MID(D311,FIND("x",D311)+6,3)*1</f>
        <v>500</v>
      </c>
      <c r="T311" s="16">
        <v>6000</v>
      </c>
    </row>
    <row r="312" spans="1:20" x14ac:dyDescent="0.55000000000000004">
      <c r="A312" t="s">
        <v>1291</v>
      </c>
      <c r="C312" t="s">
        <v>4078</v>
      </c>
      <c r="D312" t="s">
        <v>4079</v>
      </c>
      <c r="E312" t="s">
        <v>35</v>
      </c>
      <c r="F312" t="s">
        <v>30</v>
      </c>
      <c r="G312" t="s">
        <v>31</v>
      </c>
      <c r="H312" t="s">
        <v>36</v>
      </c>
      <c r="I312" t="s">
        <v>4080</v>
      </c>
      <c r="J312" t="s">
        <v>4081</v>
      </c>
      <c r="K312" t="s">
        <v>39</v>
      </c>
      <c r="L312" t="s">
        <v>30</v>
      </c>
      <c r="M312" t="s">
        <v>31</v>
      </c>
      <c r="N312" t="s">
        <v>991</v>
      </c>
      <c r="Q312" s="4">
        <v>1</v>
      </c>
    </row>
    <row r="313" spans="1:20" x14ac:dyDescent="0.55000000000000004">
      <c r="A313" t="s">
        <v>1292</v>
      </c>
      <c r="C313" t="s">
        <v>4080</v>
      </c>
      <c r="D313" t="s">
        <v>4081</v>
      </c>
      <c r="E313" t="s">
        <v>39</v>
      </c>
      <c r="F313" t="s">
        <v>30</v>
      </c>
      <c r="G313" t="s">
        <v>31</v>
      </c>
      <c r="H313" t="s">
        <v>4014</v>
      </c>
      <c r="I313" t="s">
        <v>4059</v>
      </c>
      <c r="J313" t="s">
        <v>4060</v>
      </c>
      <c r="K313" t="s">
        <v>362</v>
      </c>
      <c r="L313" t="s">
        <v>30</v>
      </c>
      <c r="M313" t="s">
        <v>31</v>
      </c>
      <c r="Q313" s="4">
        <v>1</v>
      </c>
    </row>
    <row r="314" spans="1:20" x14ac:dyDescent="0.55000000000000004">
      <c r="A314" t="s">
        <v>1297</v>
      </c>
      <c r="C314" t="s">
        <v>4080</v>
      </c>
      <c r="D314" t="s">
        <v>4081</v>
      </c>
      <c r="E314" t="s">
        <v>39</v>
      </c>
      <c r="F314" t="s">
        <v>30</v>
      </c>
      <c r="G314" t="s">
        <v>31</v>
      </c>
      <c r="H314" t="s">
        <v>4014</v>
      </c>
      <c r="I314" t="s">
        <v>4082</v>
      </c>
      <c r="J314" t="s">
        <v>4083</v>
      </c>
      <c r="K314" t="s">
        <v>39</v>
      </c>
      <c r="L314" t="s">
        <v>30</v>
      </c>
      <c r="M314" t="s">
        <v>31</v>
      </c>
      <c r="N314" t="s">
        <v>991</v>
      </c>
      <c r="Q314" s="4">
        <v>1</v>
      </c>
    </row>
    <row r="315" spans="1:20" s="16" customFormat="1" ht="18.5" thickBot="1" x14ac:dyDescent="0.6">
      <c r="A315" s="16" t="s">
        <v>1300</v>
      </c>
      <c r="C315" s="16" t="s">
        <v>4082</v>
      </c>
      <c r="D315" s="16" t="s">
        <v>4083</v>
      </c>
      <c r="E315" s="16" t="s">
        <v>39</v>
      </c>
      <c r="F315" s="16" t="s">
        <v>30</v>
      </c>
      <c r="G315" s="16" t="s">
        <v>31</v>
      </c>
      <c r="H315" s="16" t="s">
        <v>991</v>
      </c>
      <c r="I315" s="16" t="s">
        <v>4063</v>
      </c>
      <c r="J315" s="16" t="s">
        <v>4064</v>
      </c>
      <c r="K315" s="16" t="s">
        <v>39</v>
      </c>
      <c r="L315" s="16" t="s">
        <v>30</v>
      </c>
      <c r="M315" s="16" t="s">
        <v>31</v>
      </c>
      <c r="N315" s="16" t="s">
        <v>991</v>
      </c>
      <c r="Q315" s="17">
        <f>S315/T315</f>
        <v>0.1</v>
      </c>
      <c r="S315" s="16">
        <f>MID(D315,FIND("x",D315)+6,3)*1</f>
        <v>600</v>
      </c>
      <c r="T315" s="16">
        <v>6000</v>
      </c>
    </row>
    <row r="316" spans="1:20" x14ac:dyDescent="0.55000000000000004">
      <c r="A316" t="s">
        <v>1303</v>
      </c>
      <c r="C316" t="s">
        <v>4084</v>
      </c>
      <c r="D316" t="s">
        <v>4085</v>
      </c>
      <c r="E316" t="s">
        <v>35</v>
      </c>
      <c r="F316" t="s">
        <v>30</v>
      </c>
      <c r="G316" t="s">
        <v>31</v>
      </c>
      <c r="H316" t="s">
        <v>36</v>
      </c>
      <c r="I316" t="s">
        <v>4086</v>
      </c>
      <c r="J316" t="s">
        <v>4087</v>
      </c>
      <c r="K316" t="s">
        <v>39</v>
      </c>
      <c r="L316" t="s">
        <v>30</v>
      </c>
      <c r="M316" t="s">
        <v>31</v>
      </c>
      <c r="N316" t="s">
        <v>991</v>
      </c>
      <c r="Q316" s="4">
        <v>1</v>
      </c>
    </row>
    <row r="317" spans="1:20" x14ac:dyDescent="0.55000000000000004">
      <c r="A317" t="s">
        <v>1306</v>
      </c>
      <c r="C317" t="s">
        <v>4086</v>
      </c>
      <c r="D317" t="s">
        <v>4087</v>
      </c>
      <c r="E317" t="s">
        <v>39</v>
      </c>
      <c r="F317" t="s">
        <v>30</v>
      </c>
      <c r="G317" t="s">
        <v>31</v>
      </c>
      <c r="H317" t="s">
        <v>4014</v>
      </c>
      <c r="I317" t="s">
        <v>4059</v>
      </c>
      <c r="J317" t="s">
        <v>4060</v>
      </c>
      <c r="K317" t="s">
        <v>362</v>
      </c>
      <c r="L317" t="s">
        <v>30</v>
      </c>
      <c r="M317" t="s">
        <v>31</v>
      </c>
      <c r="Q317" s="4">
        <v>1</v>
      </c>
    </row>
    <row r="318" spans="1:20" x14ac:dyDescent="0.55000000000000004">
      <c r="A318" t="s">
        <v>1309</v>
      </c>
      <c r="C318" t="s">
        <v>4086</v>
      </c>
      <c r="D318" t="s">
        <v>4087</v>
      </c>
      <c r="E318" t="s">
        <v>39</v>
      </c>
      <c r="F318" t="s">
        <v>30</v>
      </c>
      <c r="G318" t="s">
        <v>31</v>
      </c>
      <c r="H318" t="s">
        <v>4014</v>
      </c>
      <c r="I318" t="s">
        <v>4088</v>
      </c>
      <c r="J318" t="s">
        <v>4089</v>
      </c>
      <c r="K318" t="s">
        <v>39</v>
      </c>
      <c r="L318" t="s">
        <v>30</v>
      </c>
      <c r="M318" t="s">
        <v>31</v>
      </c>
      <c r="N318" t="s">
        <v>991</v>
      </c>
      <c r="Q318" s="4">
        <v>1</v>
      </c>
    </row>
    <row r="319" spans="1:20" s="16" customFormat="1" ht="18.5" thickBot="1" x14ac:dyDescent="0.6">
      <c r="A319" s="16" t="s">
        <v>1312</v>
      </c>
      <c r="C319" s="16" t="s">
        <v>4088</v>
      </c>
      <c r="D319" s="16" t="s">
        <v>4089</v>
      </c>
      <c r="E319" s="16" t="s">
        <v>39</v>
      </c>
      <c r="F319" s="16" t="s">
        <v>30</v>
      </c>
      <c r="G319" s="16" t="s">
        <v>31</v>
      </c>
      <c r="H319" s="16" t="s">
        <v>991</v>
      </c>
      <c r="I319" s="16" t="s">
        <v>4063</v>
      </c>
      <c r="J319" s="16" t="s">
        <v>4064</v>
      </c>
      <c r="K319" s="16" t="s">
        <v>39</v>
      </c>
      <c r="L319" s="16" t="s">
        <v>30</v>
      </c>
      <c r="M319" s="16" t="s">
        <v>31</v>
      </c>
      <c r="N319" s="16" t="s">
        <v>991</v>
      </c>
      <c r="Q319" s="17">
        <f>S319/T319</f>
        <v>0.11666666666666667</v>
      </c>
      <c r="S319" s="16">
        <f>MID(D319,FIND("x",D319)+6,3)*1</f>
        <v>700</v>
      </c>
      <c r="T319" s="16">
        <v>6000</v>
      </c>
    </row>
    <row r="320" spans="1:20" x14ac:dyDescent="0.55000000000000004">
      <c r="A320" t="s">
        <v>1315</v>
      </c>
      <c r="C320" t="s">
        <v>4090</v>
      </c>
      <c r="D320" t="s">
        <v>4091</v>
      </c>
      <c r="E320" t="s">
        <v>35</v>
      </c>
      <c r="F320" t="s">
        <v>30</v>
      </c>
      <c r="G320" t="s">
        <v>31</v>
      </c>
      <c r="H320" t="s">
        <v>36</v>
      </c>
      <c r="I320" t="s">
        <v>4092</v>
      </c>
      <c r="J320" t="s">
        <v>4093</v>
      </c>
      <c r="K320" t="s">
        <v>39</v>
      </c>
      <c r="L320" t="s">
        <v>30</v>
      </c>
      <c r="M320" t="s">
        <v>31</v>
      </c>
      <c r="N320" t="s">
        <v>991</v>
      </c>
      <c r="Q320" s="4">
        <v>1</v>
      </c>
    </row>
    <row r="321" spans="1:20" x14ac:dyDescent="0.55000000000000004">
      <c r="A321" t="s">
        <v>1318</v>
      </c>
      <c r="C321" t="s">
        <v>4092</v>
      </c>
      <c r="D321" t="s">
        <v>4093</v>
      </c>
      <c r="E321" t="s">
        <v>39</v>
      </c>
      <c r="F321" t="s">
        <v>30</v>
      </c>
      <c r="G321" t="s">
        <v>31</v>
      </c>
      <c r="H321" t="s">
        <v>4014</v>
      </c>
      <c r="I321" t="s">
        <v>4059</v>
      </c>
      <c r="J321" t="s">
        <v>4060</v>
      </c>
      <c r="K321" t="s">
        <v>362</v>
      </c>
      <c r="L321" t="s">
        <v>30</v>
      </c>
      <c r="M321" t="s">
        <v>31</v>
      </c>
      <c r="Q321" s="4">
        <v>1</v>
      </c>
    </row>
    <row r="322" spans="1:20" x14ac:dyDescent="0.55000000000000004">
      <c r="A322" t="s">
        <v>1321</v>
      </c>
      <c r="C322" t="s">
        <v>4092</v>
      </c>
      <c r="D322" t="s">
        <v>4093</v>
      </c>
      <c r="E322" t="s">
        <v>39</v>
      </c>
      <c r="F322" t="s">
        <v>30</v>
      </c>
      <c r="G322" t="s">
        <v>31</v>
      </c>
      <c r="H322" t="s">
        <v>4014</v>
      </c>
      <c r="I322" t="s">
        <v>4094</v>
      </c>
      <c r="J322" t="s">
        <v>4095</v>
      </c>
      <c r="K322" t="s">
        <v>39</v>
      </c>
      <c r="L322" t="s">
        <v>30</v>
      </c>
      <c r="M322" t="s">
        <v>31</v>
      </c>
      <c r="N322" t="s">
        <v>991</v>
      </c>
      <c r="Q322" s="4">
        <v>1</v>
      </c>
    </row>
    <row r="323" spans="1:20" s="16" customFormat="1" ht="18.5" thickBot="1" x14ac:dyDescent="0.6">
      <c r="A323" s="16" t="s">
        <v>1324</v>
      </c>
      <c r="C323" s="16" t="s">
        <v>4094</v>
      </c>
      <c r="D323" s="16" t="s">
        <v>4095</v>
      </c>
      <c r="E323" s="16" t="s">
        <v>39</v>
      </c>
      <c r="F323" s="16" t="s">
        <v>30</v>
      </c>
      <c r="G323" s="16" t="s">
        <v>31</v>
      </c>
      <c r="H323" s="16" t="s">
        <v>991</v>
      </c>
      <c r="I323" s="16" t="s">
        <v>4063</v>
      </c>
      <c r="J323" s="16" t="s">
        <v>4064</v>
      </c>
      <c r="K323" s="16" t="s">
        <v>39</v>
      </c>
      <c r="L323" s="16" t="s">
        <v>30</v>
      </c>
      <c r="M323" s="16" t="s">
        <v>31</v>
      </c>
      <c r="N323" s="16" t="s">
        <v>991</v>
      </c>
      <c r="Q323" s="17">
        <f>S323/T323</f>
        <v>0.13333333333333333</v>
      </c>
      <c r="S323" s="16">
        <f>MID(D323,FIND("x",D323)+6,3)*1</f>
        <v>800</v>
      </c>
      <c r="T323" s="16">
        <v>6000</v>
      </c>
    </row>
    <row r="324" spans="1:20" x14ac:dyDescent="0.55000000000000004">
      <c r="A324" t="s">
        <v>1327</v>
      </c>
      <c r="C324" t="s">
        <v>4096</v>
      </c>
      <c r="D324" t="s">
        <v>4097</v>
      </c>
      <c r="E324" t="s">
        <v>35</v>
      </c>
      <c r="F324" t="s">
        <v>30</v>
      </c>
      <c r="G324" t="s">
        <v>31</v>
      </c>
      <c r="H324" t="s">
        <v>36</v>
      </c>
      <c r="I324" t="s">
        <v>4098</v>
      </c>
      <c r="J324" t="s">
        <v>4099</v>
      </c>
      <c r="K324" t="s">
        <v>39</v>
      </c>
      <c r="L324" t="s">
        <v>30</v>
      </c>
      <c r="M324" t="s">
        <v>31</v>
      </c>
      <c r="N324" t="s">
        <v>991</v>
      </c>
      <c r="Q324" s="4">
        <v>1</v>
      </c>
    </row>
    <row r="325" spans="1:20" x14ac:dyDescent="0.55000000000000004">
      <c r="A325" t="s">
        <v>1330</v>
      </c>
      <c r="C325" t="s">
        <v>4098</v>
      </c>
      <c r="D325" t="s">
        <v>4099</v>
      </c>
      <c r="E325" t="s">
        <v>39</v>
      </c>
      <c r="F325" t="s">
        <v>30</v>
      </c>
      <c r="G325" t="s">
        <v>31</v>
      </c>
      <c r="H325" t="s">
        <v>4014</v>
      </c>
      <c r="I325" t="s">
        <v>4059</v>
      </c>
      <c r="J325" t="s">
        <v>4060</v>
      </c>
      <c r="K325" t="s">
        <v>362</v>
      </c>
      <c r="L325" t="s">
        <v>30</v>
      </c>
      <c r="M325" t="s">
        <v>31</v>
      </c>
      <c r="Q325" s="4">
        <v>1</v>
      </c>
    </row>
    <row r="326" spans="1:20" x14ac:dyDescent="0.55000000000000004">
      <c r="A326" t="s">
        <v>1333</v>
      </c>
      <c r="C326" t="s">
        <v>4098</v>
      </c>
      <c r="D326" t="s">
        <v>4099</v>
      </c>
      <c r="E326" t="s">
        <v>39</v>
      </c>
      <c r="F326" t="s">
        <v>30</v>
      </c>
      <c r="G326" t="s">
        <v>31</v>
      </c>
      <c r="H326" t="s">
        <v>4014</v>
      </c>
      <c r="I326" t="s">
        <v>4100</v>
      </c>
      <c r="J326" t="s">
        <v>4101</v>
      </c>
      <c r="K326" t="s">
        <v>39</v>
      </c>
      <c r="L326" t="s">
        <v>30</v>
      </c>
      <c r="M326" t="s">
        <v>31</v>
      </c>
      <c r="N326" t="s">
        <v>991</v>
      </c>
      <c r="Q326" s="4">
        <v>1</v>
      </c>
    </row>
    <row r="327" spans="1:20" s="16" customFormat="1" ht="18.5" thickBot="1" x14ac:dyDescent="0.6">
      <c r="A327" s="16" t="s">
        <v>1336</v>
      </c>
      <c r="C327" s="16" t="s">
        <v>4100</v>
      </c>
      <c r="D327" s="16" t="s">
        <v>4101</v>
      </c>
      <c r="E327" s="16" t="s">
        <v>39</v>
      </c>
      <c r="F327" s="16" t="s">
        <v>30</v>
      </c>
      <c r="G327" s="16" t="s">
        <v>31</v>
      </c>
      <c r="H327" s="16" t="s">
        <v>991</v>
      </c>
      <c r="I327" s="16" t="s">
        <v>4063</v>
      </c>
      <c r="J327" s="16" t="s">
        <v>4064</v>
      </c>
      <c r="K327" s="16" t="s">
        <v>39</v>
      </c>
      <c r="L327" s="16" t="s">
        <v>30</v>
      </c>
      <c r="M327" s="16" t="s">
        <v>31</v>
      </c>
      <c r="N327" s="16" t="s">
        <v>991</v>
      </c>
      <c r="Q327" s="17">
        <f>S327/T327</f>
        <v>0.15</v>
      </c>
      <c r="S327" s="16">
        <f>MID(D327,FIND("x",D327)+6,3)*1</f>
        <v>900</v>
      </c>
      <c r="T327" s="16">
        <v>6000</v>
      </c>
    </row>
    <row r="328" spans="1:20" x14ac:dyDescent="0.55000000000000004">
      <c r="A328" t="s">
        <v>1339</v>
      </c>
      <c r="C328" t="s">
        <v>4102</v>
      </c>
      <c r="D328" t="s">
        <v>4103</v>
      </c>
      <c r="E328" t="s">
        <v>35</v>
      </c>
      <c r="F328" t="s">
        <v>30</v>
      </c>
      <c r="G328" t="s">
        <v>31</v>
      </c>
      <c r="H328" t="s">
        <v>36</v>
      </c>
      <c r="I328" t="s">
        <v>4104</v>
      </c>
      <c r="J328" t="s">
        <v>4105</v>
      </c>
      <c r="K328" t="s">
        <v>39</v>
      </c>
      <c r="L328" t="s">
        <v>30</v>
      </c>
      <c r="M328" t="s">
        <v>31</v>
      </c>
      <c r="N328" t="s">
        <v>991</v>
      </c>
      <c r="Q328" s="4">
        <v>1</v>
      </c>
    </row>
    <row r="329" spans="1:20" x14ac:dyDescent="0.55000000000000004">
      <c r="A329" t="s">
        <v>1342</v>
      </c>
      <c r="C329" t="s">
        <v>4104</v>
      </c>
      <c r="D329" t="s">
        <v>4105</v>
      </c>
      <c r="E329" t="s">
        <v>39</v>
      </c>
      <c r="F329" t="s">
        <v>30</v>
      </c>
      <c r="G329" t="s">
        <v>31</v>
      </c>
      <c r="H329" t="s">
        <v>4014</v>
      </c>
      <c r="I329" t="s">
        <v>4059</v>
      </c>
      <c r="J329" t="s">
        <v>4060</v>
      </c>
      <c r="K329" t="s">
        <v>362</v>
      </c>
      <c r="L329" t="s">
        <v>30</v>
      </c>
      <c r="M329" t="s">
        <v>31</v>
      </c>
      <c r="Q329" s="4">
        <v>1</v>
      </c>
    </row>
    <row r="330" spans="1:20" x14ac:dyDescent="0.55000000000000004">
      <c r="A330" t="s">
        <v>1345</v>
      </c>
      <c r="C330" t="s">
        <v>4104</v>
      </c>
      <c r="D330" t="s">
        <v>4105</v>
      </c>
      <c r="E330" t="s">
        <v>39</v>
      </c>
      <c r="F330" t="s">
        <v>30</v>
      </c>
      <c r="G330" t="s">
        <v>31</v>
      </c>
      <c r="H330" t="s">
        <v>4014</v>
      </c>
      <c r="I330" t="s">
        <v>4106</v>
      </c>
      <c r="J330" t="s">
        <v>4107</v>
      </c>
      <c r="K330" t="s">
        <v>39</v>
      </c>
      <c r="L330" t="s">
        <v>30</v>
      </c>
      <c r="M330" t="s">
        <v>31</v>
      </c>
      <c r="N330" t="s">
        <v>991</v>
      </c>
      <c r="Q330" s="4">
        <v>1</v>
      </c>
    </row>
    <row r="331" spans="1:20" s="16" customFormat="1" ht="18.5" thickBot="1" x14ac:dyDescent="0.6">
      <c r="A331" s="16" t="s">
        <v>1348</v>
      </c>
      <c r="C331" s="16" t="s">
        <v>4106</v>
      </c>
      <c r="D331" s="16" t="s">
        <v>4107</v>
      </c>
      <c r="E331" s="16" t="s">
        <v>39</v>
      </c>
      <c r="F331" s="16" t="s">
        <v>30</v>
      </c>
      <c r="G331" s="16" t="s">
        <v>31</v>
      </c>
      <c r="H331" s="16" t="s">
        <v>991</v>
      </c>
      <c r="I331" s="16" t="s">
        <v>4063</v>
      </c>
      <c r="J331" s="16" t="s">
        <v>4064</v>
      </c>
      <c r="K331" s="16" t="s">
        <v>39</v>
      </c>
      <c r="L331" s="16" t="s">
        <v>30</v>
      </c>
      <c r="M331" s="16" t="s">
        <v>31</v>
      </c>
      <c r="N331" s="16" t="s">
        <v>991</v>
      </c>
      <c r="Q331" s="17">
        <f>S331/T331</f>
        <v>0.16666666666666666</v>
      </c>
      <c r="S331" s="16">
        <f>MID(D331,FIND("x",D331)+7,4)*1</f>
        <v>1000</v>
      </c>
      <c r="T331" s="16">
        <v>6000</v>
      </c>
    </row>
    <row r="332" spans="1:20" x14ac:dyDescent="0.55000000000000004">
      <c r="A332" t="s">
        <v>1351</v>
      </c>
      <c r="C332" t="s">
        <v>4108</v>
      </c>
      <c r="D332" t="s">
        <v>4109</v>
      </c>
      <c r="E332" t="s">
        <v>35</v>
      </c>
      <c r="F332" t="s">
        <v>30</v>
      </c>
      <c r="G332" t="s">
        <v>31</v>
      </c>
      <c r="H332" t="s">
        <v>36</v>
      </c>
      <c r="I332" t="s">
        <v>4110</v>
      </c>
      <c r="J332" t="s">
        <v>4111</v>
      </c>
      <c r="K332" t="s">
        <v>39</v>
      </c>
      <c r="L332" t="s">
        <v>30</v>
      </c>
      <c r="M332" t="s">
        <v>31</v>
      </c>
      <c r="N332" t="s">
        <v>991</v>
      </c>
      <c r="Q332" s="4">
        <v>1</v>
      </c>
    </row>
    <row r="333" spans="1:20" x14ac:dyDescent="0.55000000000000004">
      <c r="A333" t="s">
        <v>1354</v>
      </c>
      <c r="C333" t="s">
        <v>4110</v>
      </c>
      <c r="D333" t="s">
        <v>4111</v>
      </c>
      <c r="E333" t="s">
        <v>39</v>
      </c>
      <c r="F333" t="s">
        <v>30</v>
      </c>
      <c r="G333" t="s">
        <v>31</v>
      </c>
      <c r="H333" t="s">
        <v>4014</v>
      </c>
      <c r="I333" t="s">
        <v>4059</v>
      </c>
      <c r="J333" t="s">
        <v>4060</v>
      </c>
      <c r="K333" t="s">
        <v>362</v>
      </c>
      <c r="L333" t="s">
        <v>30</v>
      </c>
      <c r="M333" t="s">
        <v>31</v>
      </c>
      <c r="Q333" s="4">
        <v>1</v>
      </c>
    </row>
    <row r="334" spans="1:20" x14ac:dyDescent="0.55000000000000004">
      <c r="A334" t="s">
        <v>1357</v>
      </c>
      <c r="C334" t="s">
        <v>4110</v>
      </c>
      <c r="D334" t="s">
        <v>4111</v>
      </c>
      <c r="E334" t="s">
        <v>39</v>
      </c>
      <c r="F334" t="s">
        <v>30</v>
      </c>
      <c r="G334" t="s">
        <v>31</v>
      </c>
      <c r="H334" t="s">
        <v>4014</v>
      </c>
      <c r="I334" t="s">
        <v>4112</v>
      </c>
      <c r="J334" t="s">
        <v>4113</v>
      </c>
      <c r="K334" t="s">
        <v>39</v>
      </c>
      <c r="L334" t="s">
        <v>30</v>
      </c>
      <c r="M334" t="s">
        <v>31</v>
      </c>
      <c r="N334" t="s">
        <v>991</v>
      </c>
      <c r="Q334" s="4">
        <v>1</v>
      </c>
    </row>
    <row r="335" spans="1:20" s="16" customFormat="1" ht="18.5" thickBot="1" x14ac:dyDescent="0.6">
      <c r="A335" s="16" t="s">
        <v>1360</v>
      </c>
      <c r="C335" s="16" t="s">
        <v>4112</v>
      </c>
      <c r="D335" s="16" t="s">
        <v>4113</v>
      </c>
      <c r="E335" s="16" t="s">
        <v>39</v>
      </c>
      <c r="F335" s="16" t="s">
        <v>30</v>
      </c>
      <c r="G335" s="16" t="s">
        <v>31</v>
      </c>
      <c r="H335" s="16" t="s">
        <v>991</v>
      </c>
      <c r="I335" s="16" t="s">
        <v>4063</v>
      </c>
      <c r="J335" s="16" t="s">
        <v>4064</v>
      </c>
      <c r="K335" s="16" t="s">
        <v>39</v>
      </c>
      <c r="L335" s="16" t="s">
        <v>30</v>
      </c>
      <c r="M335" s="16" t="s">
        <v>31</v>
      </c>
      <c r="N335" s="16" t="s">
        <v>991</v>
      </c>
      <c r="Q335" s="17">
        <f>S335/T335</f>
        <v>0.18333333333333332</v>
      </c>
      <c r="S335" s="16">
        <f>MID(D335,FIND("x",D335)+7,4)*1</f>
        <v>1100</v>
      </c>
      <c r="T335" s="16">
        <v>6000</v>
      </c>
    </row>
    <row r="336" spans="1:20" x14ac:dyDescent="0.55000000000000004">
      <c r="A336" t="s">
        <v>1363</v>
      </c>
      <c r="C336" t="s">
        <v>4114</v>
      </c>
      <c r="D336" t="s">
        <v>4115</v>
      </c>
      <c r="E336" t="s">
        <v>35</v>
      </c>
      <c r="F336" t="s">
        <v>30</v>
      </c>
      <c r="G336" t="s">
        <v>31</v>
      </c>
      <c r="H336" t="s">
        <v>36</v>
      </c>
      <c r="I336" t="s">
        <v>4116</v>
      </c>
      <c r="J336" t="s">
        <v>4117</v>
      </c>
      <c r="K336" t="s">
        <v>39</v>
      </c>
      <c r="L336" t="s">
        <v>30</v>
      </c>
      <c r="M336" t="s">
        <v>31</v>
      </c>
      <c r="N336" t="s">
        <v>991</v>
      </c>
      <c r="Q336" s="4">
        <v>1</v>
      </c>
    </row>
    <row r="337" spans="1:20" x14ac:dyDescent="0.55000000000000004">
      <c r="A337" t="s">
        <v>1366</v>
      </c>
      <c r="C337" t="s">
        <v>4116</v>
      </c>
      <c r="D337" t="s">
        <v>4117</v>
      </c>
      <c r="E337" t="s">
        <v>39</v>
      </c>
      <c r="F337" t="s">
        <v>30</v>
      </c>
      <c r="G337" t="s">
        <v>31</v>
      </c>
      <c r="H337" t="s">
        <v>4014</v>
      </c>
      <c r="I337" t="s">
        <v>4059</v>
      </c>
      <c r="J337" t="s">
        <v>4060</v>
      </c>
      <c r="K337" t="s">
        <v>362</v>
      </c>
      <c r="L337" t="s">
        <v>30</v>
      </c>
      <c r="M337" t="s">
        <v>31</v>
      </c>
      <c r="Q337" s="4">
        <v>1</v>
      </c>
    </row>
    <row r="338" spans="1:20" x14ac:dyDescent="0.55000000000000004">
      <c r="A338" t="s">
        <v>1369</v>
      </c>
      <c r="C338" t="s">
        <v>4116</v>
      </c>
      <c r="D338" t="s">
        <v>4117</v>
      </c>
      <c r="E338" t="s">
        <v>39</v>
      </c>
      <c r="F338" t="s">
        <v>30</v>
      </c>
      <c r="G338" t="s">
        <v>31</v>
      </c>
      <c r="H338" t="s">
        <v>4014</v>
      </c>
      <c r="I338" t="s">
        <v>4118</v>
      </c>
      <c r="J338" t="s">
        <v>4119</v>
      </c>
      <c r="K338" t="s">
        <v>39</v>
      </c>
      <c r="L338" t="s">
        <v>30</v>
      </c>
      <c r="M338" t="s">
        <v>31</v>
      </c>
      <c r="N338" t="s">
        <v>991</v>
      </c>
      <c r="Q338" s="4">
        <v>1</v>
      </c>
    </row>
    <row r="339" spans="1:20" s="16" customFormat="1" ht="18.5" thickBot="1" x14ac:dyDescent="0.6">
      <c r="A339" s="16" t="s">
        <v>1372</v>
      </c>
      <c r="C339" s="16" t="s">
        <v>4118</v>
      </c>
      <c r="D339" s="16" t="s">
        <v>4119</v>
      </c>
      <c r="E339" s="16" t="s">
        <v>39</v>
      </c>
      <c r="F339" s="16" t="s">
        <v>30</v>
      </c>
      <c r="G339" s="16" t="s">
        <v>31</v>
      </c>
      <c r="H339" s="16" t="s">
        <v>991</v>
      </c>
      <c r="I339" s="16" t="s">
        <v>4063</v>
      </c>
      <c r="J339" s="16" t="s">
        <v>4064</v>
      </c>
      <c r="K339" s="16" t="s">
        <v>39</v>
      </c>
      <c r="L339" s="16" t="s">
        <v>30</v>
      </c>
      <c r="M339" s="16" t="s">
        <v>31</v>
      </c>
      <c r="N339" s="16" t="s">
        <v>991</v>
      </c>
      <c r="Q339" s="17">
        <f>S339/T339</f>
        <v>0.2</v>
      </c>
      <c r="S339" s="16">
        <f>MID(D339,FIND("x",D339)+7,4)*1</f>
        <v>1200</v>
      </c>
      <c r="T339" s="16">
        <v>6000</v>
      </c>
    </row>
    <row r="340" spans="1:20" x14ac:dyDescent="0.55000000000000004">
      <c r="A340" t="s">
        <v>1375</v>
      </c>
      <c r="C340" t="s">
        <v>4120</v>
      </c>
      <c r="D340" t="s">
        <v>4121</v>
      </c>
      <c r="E340" t="s">
        <v>35</v>
      </c>
      <c r="F340" t="s">
        <v>30</v>
      </c>
      <c r="G340" t="s">
        <v>31</v>
      </c>
      <c r="H340" t="s">
        <v>36</v>
      </c>
      <c r="I340" t="s">
        <v>4122</v>
      </c>
      <c r="J340" t="s">
        <v>4123</v>
      </c>
      <c r="K340" t="s">
        <v>39</v>
      </c>
      <c r="L340" t="s">
        <v>30</v>
      </c>
      <c r="M340" t="s">
        <v>31</v>
      </c>
      <c r="N340" t="s">
        <v>991</v>
      </c>
      <c r="Q340" s="4">
        <v>1</v>
      </c>
    </row>
    <row r="341" spans="1:20" x14ac:dyDescent="0.55000000000000004">
      <c r="A341" t="s">
        <v>1378</v>
      </c>
      <c r="C341" t="s">
        <v>4122</v>
      </c>
      <c r="D341" t="s">
        <v>4123</v>
      </c>
      <c r="E341" t="s">
        <v>39</v>
      </c>
      <c r="F341" t="s">
        <v>30</v>
      </c>
      <c r="G341" t="s">
        <v>31</v>
      </c>
      <c r="H341" t="s">
        <v>4014</v>
      </c>
      <c r="I341" t="s">
        <v>4059</v>
      </c>
      <c r="J341" t="s">
        <v>4060</v>
      </c>
      <c r="K341" t="s">
        <v>362</v>
      </c>
      <c r="L341" t="s">
        <v>30</v>
      </c>
      <c r="M341" t="s">
        <v>31</v>
      </c>
      <c r="Q341" s="4">
        <v>1</v>
      </c>
    </row>
    <row r="342" spans="1:20" x14ac:dyDescent="0.55000000000000004">
      <c r="A342" t="s">
        <v>1381</v>
      </c>
      <c r="C342" t="s">
        <v>4122</v>
      </c>
      <c r="D342" t="s">
        <v>4123</v>
      </c>
      <c r="E342" t="s">
        <v>39</v>
      </c>
      <c r="F342" t="s">
        <v>30</v>
      </c>
      <c r="G342" t="s">
        <v>31</v>
      </c>
      <c r="H342" t="s">
        <v>4014</v>
      </c>
      <c r="I342" t="s">
        <v>4124</v>
      </c>
      <c r="J342" t="s">
        <v>4125</v>
      </c>
      <c r="K342" t="s">
        <v>39</v>
      </c>
      <c r="L342" t="s">
        <v>30</v>
      </c>
      <c r="M342" t="s">
        <v>31</v>
      </c>
      <c r="N342" t="s">
        <v>991</v>
      </c>
      <c r="Q342" s="4">
        <v>1</v>
      </c>
    </row>
    <row r="343" spans="1:20" s="16" customFormat="1" ht="18.5" thickBot="1" x14ac:dyDescent="0.6">
      <c r="A343" s="16" t="s">
        <v>1384</v>
      </c>
      <c r="C343" s="16" t="s">
        <v>4124</v>
      </c>
      <c r="D343" s="16" t="s">
        <v>4125</v>
      </c>
      <c r="E343" s="16" t="s">
        <v>39</v>
      </c>
      <c r="F343" s="16" t="s">
        <v>30</v>
      </c>
      <c r="G343" s="16" t="s">
        <v>31</v>
      </c>
      <c r="H343" s="16" t="s">
        <v>991</v>
      </c>
      <c r="I343" s="16" t="s">
        <v>4063</v>
      </c>
      <c r="J343" s="16" t="s">
        <v>4064</v>
      </c>
      <c r="K343" s="16" t="s">
        <v>39</v>
      </c>
      <c r="L343" s="16" t="s">
        <v>30</v>
      </c>
      <c r="M343" s="16" t="s">
        <v>31</v>
      </c>
      <c r="N343" s="16" t="s">
        <v>991</v>
      </c>
      <c r="Q343" s="17">
        <f>S343/T343</f>
        <v>0.21666666666666667</v>
      </c>
      <c r="S343" s="16">
        <f>MID(D343,FIND("x",D343)+7,4)*1</f>
        <v>1300</v>
      </c>
      <c r="T343" s="16">
        <v>6000</v>
      </c>
    </row>
    <row r="344" spans="1:20" x14ac:dyDescent="0.55000000000000004">
      <c r="A344" t="s">
        <v>1387</v>
      </c>
      <c r="C344" t="s">
        <v>4126</v>
      </c>
      <c r="D344" t="s">
        <v>4127</v>
      </c>
      <c r="E344" t="s">
        <v>35</v>
      </c>
      <c r="F344" t="s">
        <v>30</v>
      </c>
      <c r="G344" t="s">
        <v>31</v>
      </c>
      <c r="H344" t="s">
        <v>36</v>
      </c>
      <c r="I344" t="s">
        <v>4128</v>
      </c>
      <c r="J344" t="s">
        <v>4129</v>
      </c>
      <c r="K344" t="s">
        <v>39</v>
      </c>
      <c r="L344" t="s">
        <v>30</v>
      </c>
      <c r="M344" t="s">
        <v>31</v>
      </c>
      <c r="N344" t="s">
        <v>991</v>
      </c>
      <c r="Q344" s="4">
        <v>1</v>
      </c>
    </row>
    <row r="345" spans="1:20" x14ac:dyDescent="0.55000000000000004">
      <c r="A345" t="s">
        <v>1390</v>
      </c>
      <c r="C345" t="s">
        <v>4128</v>
      </c>
      <c r="D345" t="s">
        <v>4129</v>
      </c>
      <c r="E345" t="s">
        <v>39</v>
      </c>
      <c r="F345" t="s">
        <v>30</v>
      </c>
      <c r="G345" t="s">
        <v>31</v>
      </c>
      <c r="H345" t="s">
        <v>4014</v>
      </c>
      <c r="I345" t="s">
        <v>4059</v>
      </c>
      <c r="J345" t="s">
        <v>4060</v>
      </c>
      <c r="K345" t="s">
        <v>362</v>
      </c>
      <c r="L345" t="s">
        <v>30</v>
      </c>
      <c r="M345" t="s">
        <v>31</v>
      </c>
      <c r="Q345" s="4">
        <v>1</v>
      </c>
    </row>
    <row r="346" spans="1:20" x14ac:dyDescent="0.55000000000000004">
      <c r="A346" t="s">
        <v>1393</v>
      </c>
      <c r="C346" t="s">
        <v>4128</v>
      </c>
      <c r="D346" t="s">
        <v>4129</v>
      </c>
      <c r="E346" t="s">
        <v>39</v>
      </c>
      <c r="F346" t="s">
        <v>30</v>
      </c>
      <c r="G346" t="s">
        <v>31</v>
      </c>
      <c r="H346" t="s">
        <v>4014</v>
      </c>
      <c r="I346" t="s">
        <v>4130</v>
      </c>
      <c r="J346" t="s">
        <v>4131</v>
      </c>
      <c r="K346" t="s">
        <v>39</v>
      </c>
      <c r="L346" t="s">
        <v>30</v>
      </c>
      <c r="M346" t="s">
        <v>31</v>
      </c>
      <c r="N346" t="s">
        <v>991</v>
      </c>
      <c r="Q346" s="4">
        <v>1</v>
      </c>
    </row>
    <row r="347" spans="1:20" s="16" customFormat="1" ht="18.5" thickBot="1" x14ac:dyDescent="0.6">
      <c r="A347" s="16" t="s">
        <v>1396</v>
      </c>
      <c r="C347" s="16" t="s">
        <v>4130</v>
      </c>
      <c r="D347" s="16" t="s">
        <v>4131</v>
      </c>
      <c r="E347" s="16" t="s">
        <v>39</v>
      </c>
      <c r="F347" s="16" t="s">
        <v>30</v>
      </c>
      <c r="G347" s="16" t="s">
        <v>31</v>
      </c>
      <c r="H347" s="16" t="s">
        <v>991</v>
      </c>
      <c r="I347" s="16" t="s">
        <v>4063</v>
      </c>
      <c r="J347" s="16" t="s">
        <v>4064</v>
      </c>
      <c r="K347" s="16" t="s">
        <v>39</v>
      </c>
      <c r="L347" s="16" t="s">
        <v>30</v>
      </c>
      <c r="M347" s="16" t="s">
        <v>31</v>
      </c>
      <c r="N347" s="16" t="s">
        <v>991</v>
      </c>
      <c r="Q347" s="17">
        <f>S347/T347</f>
        <v>0.23333333333333334</v>
      </c>
      <c r="S347" s="16">
        <f>MID(D347,FIND("x",D347)+7,4)*1</f>
        <v>1400</v>
      </c>
      <c r="T347" s="16">
        <v>6000</v>
      </c>
    </row>
    <row r="348" spans="1:20" x14ac:dyDescent="0.55000000000000004">
      <c r="A348" t="s">
        <v>1399</v>
      </c>
      <c r="C348" t="s">
        <v>4132</v>
      </c>
      <c r="D348" t="s">
        <v>4133</v>
      </c>
      <c r="E348" t="s">
        <v>35</v>
      </c>
      <c r="F348" t="s">
        <v>30</v>
      </c>
      <c r="G348" t="s">
        <v>31</v>
      </c>
      <c r="H348" t="s">
        <v>36</v>
      </c>
      <c r="I348" t="s">
        <v>4134</v>
      </c>
      <c r="J348" t="s">
        <v>4135</v>
      </c>
      <c r="K348" t="s">
        <v>39</v>
      </c>
      <c r="L348" t="s">
        <v>30</v>
      </c>
      <c r="M348" t="s">
        <v>31</v>
      </c>
      <c r="N348" t="s">
        <v>991</v>
      </c>
      <c r="Q348" s="4">
        <v>1</v>
      </c>
    </row>
    <row r="349" spans="1:20" x14ac:dyDescent="0.55000000000000004">
      <c r="A349" t="s">
        <v>1402</v>
      </c>
      <c r="C349" t="s">
        <v>4134</v>
      </c>
      <c r="D349" t="s">
        <v>4135</v>
      </c>
      <c r="E349" t="s">
        <v>39</v>
      </c>
      <c r="F349" t="s">
        <v>30</v>
      </c>
      <c r="G349" t="s">
        <v>31</v>
      </c>
      <c r="H349" t="s">
        <v>4014</v>
      </c>
      <c r="I349" t="s">
        <v>4059</v>
      </c>
      <c r="J349" t="s">
        <v>4060</v>
      </c>
      <c r="K349" t="s">
        <v>362</v>
      </c>
      <c r="L349" t="s">
        <v>30</v>
      </c>
      <c r="M349" t="s">
        <v>31</v>
      </c>
      <c r="Q349" s="4">
        <v>1</v>
      </c>
    </row>
    <row r="350" spans="1:20" x14ac:dyDescent="0.55000000000000004">
      <c r="A350" t="s">
        <v>1405</v>
      </c>
      <c r="C350" t="s">
        <v>4134</v>
      </c>
      <c r="D350" t="s">
        <v>4135</v>
      </c>
      <c r="E350" t="s">
        <v>39</v>
      </c>
      <c r="F350" t="s">
        <v>30</v>
      </c>
      <c r="G350" t="s">
        <v>31</v>
      </c>
      <c r="H350" t="s">
        <v>4014</v>
      </c>
      <c r="I350" t="s">
        <v>4136</v>
      </c>
      <c r="J350" t="s">
        <v>4137</v>
      </c>
      <c r="K350" t="s">
        <v>39</v>
      </c>
      <c r="L350" t="s">
        <v>30</v>
      </c>
      <c r="M350" t="s">
        <v>31</v>
      </c>
      <c r="N350" t="s">
        <v>991</v>
      </c>
      <c r="Q350" s="4">
        <v>1</v>
      </c>
    </row>
    <row r="351" spans="1:20" s="16" customFormat="1" ht="18.5" thickBot="1" x14ac:dyDescent="0.6">
      <c r="A351" s="16" t="s">
        <v>1408</v>
      </c>
      <c r="C351" s="16" t="s">
        <v>4136</v>
      </c>
      <c r="D351" s="16" t="s">
        <v>4137</v>
      </c>
      <c r="E351" s="16" t="s">
        <v>39</v>
      </c>
      <c r="F351" s="16" t="s">
        <v>30</v>
      </c>
      <c r="G351" s="16" t="s">
        <v>31</v>
      </c>
      <c r="H351" s="16" t="s">
        <v>991</v>
      </c>
      <c r="I351" s="16" t="s">
        <v>4063</v>
      </c>
      <c r="J351" s="16" t="s">
        <v>4064</v>
      </c>
      <c r="K351" s="16" t="s">
        <v>39</v>
      </c>
      <c r="L351" s="16" t="s">
        <v>30</v>
      </c>
      <c r="M351" s="16" t="s">
        <v>31</v>
      </c>
      <c r="N351" s="16" t="s">
        <v>991</v>
      </c>
      <c r="Q351" s="17">
        <f>S351/T351</f>
        <v>0.25</v>
      </c>
      <c r="S351" s="16">
        <f>MID(D351,FIND("x",D351)+7,4)*1</f>
        <v>1500</v>
      </c>
      <c r="T351" s="16">
        <v>6000</v>
      </c>
    </row>
    <row r="352" spans="1:20" x14ac:dyDescent="0.55000000000000004">
      <c r="A352" t="s">
        <v>1411</v>
      </c>
      <c r="C352" t="s">
        <v>4138</v>
      </c>
      <c r="D352" t="s">
        <v>4139</v>
      </c>
      <c r="E352" t="s">
        <v>35</v>
      </c>
      <c r="F352" t="s">
        <v>30</v>
      </c>
      <c r="G352" t="s">
        <v>31</v>
      </c>
      <c r="H352" t="s">
        <v>36</v>
      </c>
      <c r="I352" t="s">
        <v>4140</v>
      </c>
      <c r="J352" t="s">
        <v>4141</v>
      </c>
      <c r="K352" t="s">
        <v>39</v>
      </c>
      <c r="L352" t="s">
        <v>30</v>
      </c>
      <c r="M352" t="s">
        <v>31</v>
      </c>
      <c r="N352" t="s">
        <v>991</v>
      </c>
      <c r="Q352" s="4">
        <v>1</v>
      </c>
    </row>
    <row r="353" spans="1:20" x14ac:dyDescent="0.55000000000000004">
      <c r="A353" t="s">
        <v>1414</v>
      </c>
      <c r="C353" t="s">
        <v>4140</v>
      </c>
      <c r="D353" t="s">
        <v>4141</v>
      </c>
      <c r="E353" t="s">
        <v>39</v>
      </c>
      <c r="F353" t="s">
        <v>30</v>
      </c>
      <c r="G353" t="s">
        <v>31</v>
      </c>
      <c r="H353" t="s">
        <v>4014</v>
      </c>
      <c r="I353" t="s">
        <v>4059</v>
      </c>
      <c r="J353" t="s">
        <v>4060</v>
      </c>
      <c r="K353" t="s">
        <v>362</v>
      </c>
      <c r="L353" t="s">
        <v>30</v>
      </c>
      <c r="M353" t="s">
        <v>31</v>
      </c>
      <c r="Q353" s="4">
        <v>1</v>
      </c>
    </row>
    <row r="354" spans="1:20" x14ac:dyDescent="0.55000000000000004">
      <c r="A354" t="s">
        <v>1417</v>
      </c>
      <c r="C354" t="s">
        <v>4140</v>
      </c>
      <c r="D354" t="s">
        <v>4141</v>
      </c>
      <c r="E354" t="s">
        <v>39</v>
      </c>
      <c r="F354" t="s">
        <v>30</v>
      </c>
      <c r="G354" t="s">
        <v>31</v>
      </c>
      <c r="H354" t="s">
        <v>4014</v>
      </c>
      <c r="I354" t="s">
        <v>4142</v>
      </c>
      <c r="J354" t="s">
        <v>4143</v>
      </c>
      <c r="K354" t="s">
        <v>39</v>
      </c>
      <c r="L354" t="s">
        <v>30</v>
      </c>
      <c r="M354" t="s">
        <v>31</v>
      </c>
      <c r="N354" t="s">
        <v>991</v>
      </c>
      <c r="Q354" s="4">
        <v>1</v>
      </c>
    </row>
    <row r="355" spans="1:20" s="16" customFormat="1" ht="18.5" thickBot="1" x14ac:dyDescent="0.6">
      <c r="A355" s="16" t="s">
        <v>1420</v>
      </c>
      <c r="C355" s="16" t="s">
        <v>4142</v>
      </c>
      <c r="D355" s="16" t="s">
        <v>4143</v>
      </c>
      <c r="E355" s="16" t="s">
        <v>39</v>
      </c>
      <c r="F355" s="16" t="s">
        <v>30</v>
      </c>
      <c r="G355" s="16" t="s">
        <v>31</v>
      </c>
      <c r="H355" s="16" t="s">
        <v>991</v>
      </c>
      <c r="I355" s="16" t="s">
        <v>4063</v>
      </c>
      <c r="J355" s="16" t="s">
        <v>4064</v>
      </c>
      <c r="K355" s="16" t="s">
        <v>39</v>
      </c>
      <c r="L355" s="16" t="s">
        <v>30</v>
      </c>
      <c r="M355" s="16" t="s">
        <v>31</v>
      </c>
      <c r="N355" s="16" t="s">
        <v>991</v>
      </c>
      <c r="Q355" s="17">
        <f>S355/T355</f>
        <v>0.26666666666666666</v>
      </c>
      <c r="S355" s="16">
        <f>MID(D355,FIND("x",D355)+7,4)*1</f>
        <v>1600</v>
      </c>
      <c r="T355" s="16">
        <v>6000</v>
      </c>
    </row>
    <row r="356" spans="1:20" x14ac:dyDescent="0.55000000000000004">
      <c r="A356" t="s">
        <v>1423</v>
      </c>
      <c r="C356" t="s">
        <v>4144</v>
      </c>
      <c r="D356" t="s">
        <v>4145</v>
      </c>
      <c r="E356" t="s">
        <v>35</v>
      </c>
      <c r="F356" t="s">
        <v>30</v>
      </c>
      <c r="G356" t="s">
        <v>31</v>
      </c>
      <c r="H356" t="s">
        <v>36</v>
      </c>
      <c r="I356" t="s">
        <v>4146</v>
      </c>
      <c r="J356" t="s">
        <v>4147</v>
      </c>
      <c r="K356" t="s">
        <v>39</v>
      </c>
      <c r="L356" t="s">
        <v>30</v>
      </c>
      <c r="M356" t="s">
        <v>31</v>
      </c>
      <c r="N356" t="s">
        <v>991</v>
      </c>
      <c r="Q356" s="4">
        <v>1</v>
      </c>
    </row>
    <row r="357" spans="1:20" x14ac:dyDescent="0.55000000000000004">
      <c r="A357" t="s">
        <v>1426</v>
      </c>
      <c r="C357" t="s">
        <v>4146</v>
      </c>
      <c r="D357" t="s">
        <v>4147</v>
      </c>
      <c r="E357" t="s">
        <v>39</v>
      </c>
      <c r="F357" t="s">
        <v>30</v>
      </c>
      <c r="G357" t="s">
        <v>31</v>
      </c>
      <c r="H357" t="s">
        <v>4014</v>
      </c>
      <c r="I357" t="s">
        <v>4059</v>
      </c>
      <c r="J357" t="s">
        <v>4060</v>
      </c>
      <c r="K357" t="s">
        <v>362</v>
      </c>
      <c r="L357" t="s">
        <v>30</v>
      </c>
      <c r="M357" t="s">
        <v>31</v>
      </c>
      <c r="Q357" s="4">
        <v>1</v>
      </c>
    </row>
    <row r="358" spans="1:20" x14ac:dyDescent="0.55000000000000004">
      <c r="A358" t="s">
        <v>1429</v>
      </c>
      <c r="C358" t="s">
        <v>4146</v>
      </c>
      <c r="D358" t="s">
        <v>4147</v>
      </c>
      <c r="E358" t="s">
        <v>39</v>
      </c>
      <c r="F358" t="s">
        <v>30</v>
      </c>
      <c r="G358" t="s">
        <v>31</v>
      </c>
      <c r="H358" t="s">
        <v>4014</v>
      </c>
      <c r="I358" t="s">
        <v>4148</v>
      </c>
      <c r="J358" t="s">
        <v>4149</v>
      </c>
      <c r="K358" t="s">
        <v>39</v>
      </c>
      <c r="L358" t="s">
        <v>30</v>
      </c>
      <c r="M358" t="s">
        <v>31</v>
      </c>
      <c r="N358" t="s">
        <v>991</v>
      </c>
      <c r="Q358" s="4">
        <v>1</v>
      </c>
    </row>
    <row r="359" spans="1:20" s="16" customFormat="1" ht="18.5" thickBot="1" x14ac:dyDescent="0.6">
      <c r="A359" s="16" t="s">
        <v>1432</v>
      </c>
      <c r="C359" s="16" t="s">
        <v>4148</v>
      </c>
      <c r="D359" s="16" t="s">
        <v>4149</v>
      </c>
      <c r="E359" s="16" t="s">
        <v>39</v>
      </c>
      <c r="F359" s="16" t="s">
        <v>30</v>
      </c>
      <c r="G359" s="16" t="s">
        <v>31</v>
      </c>
      <c r="H359" s="16" t="s">
        <v>991</v>
      </c>
      <c r="I359" s="16" t="s">
        <v>4063</v>
      </c>
      <c r="J359" s="16" t="s">
        <v>4064</v>
      </c>
      <c r="K359" s="16" t="s">
        <v>39</v>
      </c>
      <c r="L359" s="16" t="s">
        <v>30</v>
      </c>
      <c r="M359" s="16" t="s">
        <v>31</v>
      </c>
      <c r="N359" s="16" t="s">
        <v>991</v>
      </c>
      <c r="Q359" s="17">
        <f>S359/T359</f>
        <v>0.28333333333333333</v>
      </c>
      <c r="S359" s="16">
        <f>MID(D359,FIND("x",D359)+7,4)*1</f>
        <v>1700</v>
      </c>
      <c r="T359" s="16">
        <v>6000</v>
      </c>
    </row>
    <row r="360" spans="1:20" x14ac:dyDescent="0.55000000000000004">
      <c r="A360" t="s">
        <v>1435</v>
      </c>
      <c r="C360" t="s">
        <v>3203</v>
      </c>
      <c r="D360" t="s">
        <v>3204</v>
      </c>
      <c r="E360" t="s">
        <v>35</v>
      </c>
      <c r="F360" t="s">
        <v>30</v>
      </c>
      <c r="G360" t="s">
        <v>31</v>
      </c>
      <c r="H360" t="s">
        <v>36</v>
      </c>
      <c r="I360" t="s">
        <v>3205</v>
      </c>
      <c r="J360" t="s">
        <v>3206</v>
      </c>
      <c r="K360" t="s">
        <v>362</v>
      </c>
      <c r="L360" t="s">
        <v>30</v>
      </c>
      <c r="M360" t="s">
        <v>31</v>
      </c>
      <c r="Q360" s="4">
        <v>1</v>
      </c>
    </row>
    <row r="361" spans="1:20" x14ac:dyDescent="0.55000000000000004">
      <c r="A361" t="s">
        <v>1438</v>
      </c>
      <c r="C361" t="s">
        <v>3207</v>
      </c>
      <c r="D361" t="s">
        <v>3208</v>
      </c>
      <c r="E361" t="s">
        <v>35</v>
      </c>
      <c r="F361" t="s">
        <v>30</v>
      </c>
      <c r="G361" t="s">
        <v>31</v>
      </c>
      <c r="H361" t="s">
        <v>36</v>
      </c>
      <c r="I361" t="s">
        <v>3209</v>
      </c>
      <c r="J361" t="s">
        <v>3210</v>
      </c>
      <c r="K361" t="s">
        <v>362</v>
      </c>
      <c r="L361" t="s">
        <v>30</v>
      </c>
      <c r="M361" t="s">
        <v>31</v>
      </c>
      <c r="Q361" s="4">
        <v>1</v>
      </c>
    </row>
    <row r="362" spans="1:20" x14ac:dyDescent="0.55000000000000004">
      <c r="A362" t="s">
        <v>1441</v>
      </c>
      <c r="C362" t="s">
        <v>3211</v>
      </c>
      <c r="D362" t="s">
        <v>3212</v>
      </c>
      <c r="E362" t="s">
        <v>35</v>
      </c>
      <c r="F362" t="s">
        <v>30</v>
      </c>
      <c r="G362" t="s">
        <v>31</v>
      </c>
      <c r="H362" t="s">
        <v>36</v>
      </c>
      <c r="I362" t="s">
        <v>3213</v>
      </c>
      <c r="J362" t="s">
        <v>3214</v>
      </c>
      <c r="K362" t="s">
        <v>362</v>
      </c>
      <c r="L362" t="s">
        <v>30</v>
      </c>
      <c r="M362" t="s">
        <v>31</v>
      </c>
      <c r="Q362" s="4">
        <v>1</v>
      </c>
    </row>
    <row r="363" spans="1:20" x14ac:dyDescent="0.55000000000000004">
      <c r="A363" t="s">
        <v>1444</v>
      </c>
      <c r="C363" t="s">
        <v>3215</v>
      </c>
      <c r="D363" t="s">
        <v>3216</v>
      </c>
      <c r="E363" t="s">
        <v>35</v>
      </c>
      <c r="F363" t="s">
        <v>30</v>
      </c>
      <c r="G363" t="s">
        <v>31</v>
      </c>
      <c r="H363" t="s">
        <v>36</v>
      </c>
      <c r="I363" t="s">
        <v>3217</v>
      </c>
      <c r="J363" t="s">
        <v>3218</v>
      </c>
      <c r="K363" t="s">
        <v>362</v>
      </c>
      <c r="L363" t="s">
        <v>30</v>
      </c>
      <c r="M363" t="s">
        <v>31</v>
      </c>
      <c r="Q363" s="4">
        <v>1</v>
      </c>
    </row>
    <row r="364" spans="1:20" x14ac:dyDescent="0.55000000000000004">
      <c r="A364" t="s">
        <v>1447</v>
      </c>
      <c r="C364" t="s">
        <v>3219</v>
      </c>
      <c r="D364" t="s">
        <v>3220</v>
      </c>
      <c r="E364" t="s">
        <v>35</v>
      </c>
      <c r="F364" t="s">
        <v>30</v>
      </c>
      <c r="G364" t="s">
        <v>31</v>
      </c>
      <c r="H364" t="s">
        <v>36</v>
      </c>
      <c r="I364" t="s">
        <v>3221</v>
      </c>
      <c r="J364" t="s">
        <v>3222</v>
      </c>
      <c r="K364" t="s">
        <v>362</v>
      </c>
      <c r="L364" t="s">
        <v>30</v>
      </c>
      <c r="M364" t="s">
        <v>31</v>
      </c>
      <c r="Q364" s="4">
        <v>1</v>
      </c>
    </row>
    <row r="365" spans="1:20" x14ac:dyDescent="0.55000000000000004">
      <c r="A365" t="s">
        <v>1450</v>
      </c>
      <c r="C365" t="s">
        <v>3223</v>
      </c>
      <c r="D365" t="s">
        <v>3224</v>
      </c>
      <c r="E365" t="s">
        <v>35</v>
      </c>
      <c r="F365" t="s">
        <v>30</v>
      </c>
      <c r="G365" t="s">
        <v>31</v>
      </c>
      <c r="H365" t="s">
        <v>36</v>
      </c>
      <c r="I365" t="s">
        <v>3225</v>
      </c>
      <c r="J365" t="s">
        <v>3226</v>
      </c>
      <c r="K365" t="s">
        <v>362</v>
      </c>
      <c r="L365" t="s">
        <v>30</v>
      </c>
      <c r="M365" t="s">
        <v>31</v>
      </c>
      <c r="Q365" s="4">
        <v>1</v>
      </c>
    </row>
    <row r="366" spans="1:20" x14ac:dyDescent="0.55000000000000004">
      <c r="A366" t="s">
        <v>1453</v>
      </c>
      <c r="C366" t="s">
        <v>3227</v>
      </c>
      <c r="D366" t="s">
        <v>3228</v>
      </c>
      <c r="E366" t="s">
        <v>35</v>
      </c>
      <c r="F366" t="s">
        <v>30</v>
      </c>
      <c r="G366" t="s">
        <v>31</v>
      </c>
      <c r="H366" t="s">
        <v>36</v>
      </c>
      <c r="I366" t="s">
        <v>3229</v>
      </c>
      <c r="J366" t="s">
        <v>3230</v>
      </c>
      <c r="K366" t="s">
        <v>362</v>
      </c>
      <c r="L366" t="s">
        <v>30</v>
      </c>
      <c r="M366" t="s">
        <v>31</v>
      </c>
      <c r="Q366" s="4">
        <v>1</v>
      </c>
    </row>
    <row r="367" spans="1:20" x14ac:dyDescent="0.55000000000000004">
      <c r="A367" t="s">
        <v>1456</v>
      </c>
      <c r="C367" t="s">
        <v>3231</v>
      </c>
      <c r="D367" t="s">
        <v>3232</v>
      </c>
      <c r="E367" t="s">
        <v>35</v>
      </c>
      <c r="F367" t="s">
        <v>30</v>
      </c>
      <c r="G367" t="s">
        <v>31</v>
      </c>
      <c r="H367" t="s">
        <v>36</v>
      </c>
      <c r="I367" t="s">
        <v>3233</v>
      </c>
      <c r="J367" t="s">
        <v>3234</v>
      </c>
      <c r="K367" t="s">
        <v>362</v>
      </c>
      <c r="L367" t="s">
        <v>30</v>
      </c>
      <c r="M367" t="s">
        <v>31</v>
      </c>
      <c r="Q367" s="4">
        <v>1</v>
      </c>
    </row>
    <row r="368" spans="1:20" x14ac:dyDescent="0.55000000000000004">
      <c r="A368" t="s">
        <v>1459</v>
      </c>
      <c r="C368" t="s">
        <v>3235</v>
      </c>
      <c r="D368" t="s">
        <v>3236</v>
      </c>
      <c r="E368" t="s">
        <v>35</v>
      </c>
      <c r="F368" t="s">
        <v>30</v>
      </c>
      <c r="G368" t="s">
        <v>31</v>
      </c>
      <c r="H368" t="s">
        <v>36</v>
      </c>
      <c r="I368" t="s">
        <v>3237</v>
      </c>
      <c r="J368" t="s">
        <v>3238</v>
      </c>
      <c r="K368" t="s">
        <v>362</v>
      </c>
      <c r="L368" t="s">
        <v>30</v>
      </c>
      <c r="M368" t="s">
        <v>31</v>
      </c>
      <c r="Q368" s="4">
        <v>1</v>
      </c>
    </row>
    <row r="369" spans="1:17" x14ac:dyDescent="0.55000000000000004">
      <c r="A369" t="s">
        <v>1462</v>
      </c>
      <c r="C369" t="s">
        <v>3239</v>
      </c>
      <c r="D369" t="s">
        <v>3240</v>
      </c>
      <c r="E369" t="s">
        <v>35</v>
      </c>
      <c r="F369" t="s">
        <v>30</v>
      </c>
      <c r="G369" t="s">
        <v>31</v>
      </c>
      <c r="H369" t="s">
        <v>36</v>
      </c>
      <c r="I369" t="s">
        <v>3241</v>
      </c>
      <c r="J369" t="s">
        <v>3242</v>
      </c>
      <c r="K369" t="s">
        <v>362</v>
      </c>
      <c r="L369" t="s">
        <v>30</v>
      </c>
      <c r="M369" t="s">
        <v>31</v>
      </c>
      <c r="Q369" s="4">
        <v>1</v>
      </c>
    </row>
    <row r="370" spans="1:17" x14ac:dyDescent="0.55000000000000004">
      <c r="A370" t="s">
        <v>1465</v>
      </c>
      <c r="C370" t="s">
        <v>3243</v>
      </c>
      <c r="D370" t="s">
        <v>3244</v>
      </c>
      <c r="E370" t="s">
        <v>35</v>
      </c>
      <c r="F370" t="s">
        <v>30</v>
      </c>
      <c r="G370" t="s">
        <v>31</v>
      </c>
      <c r="H370" t="s">
        <v>36</v>
      </c>
      <c r="I370" t="s">
        <v>3245</v>
      </c>
      <c r="J370" t="s">
        <v>3246</v>
      </c>
      <c r="K370" t="s">
        <v>362</v>
      </c>
      <c r="L370" t="s">
        <v>30</v>
      </c>
      <c r="M370" t="s">
        <v>31</v>
      </c>
      <c r="Q370" s="4">
        <v>1</v>
      </c>
    </row>
    <row r="371" spans="1:17" x14ac:dyDescent="0.55000000000000004">
      <c r="A371" t="s">
        <v>1468</v>
      </c>
      <c r="C371" t="s">
        <v>3247</v>
      </c>
      <c r="D371" t="s">
        <v>3248</v>
      </c>
      <c r="E371" t="s">
        <v>35</v>
      </c>
      <c r="F371" t="s">
        <v>30</v>
      </c>
      <c r="G371" t="s">
        <v>31</v>
      </c>
      <c r="H371" t="s">
        <v>36</v>
      </c>
      <c r="I371" t="s">
        <v>3249</v>
      </c>
      <c r="J371" t="s">
        <v>3250</v>
      </c>
      <c r="K371" t="s">
        <v>362</v>
      </c>
      <c r="L371" t="s">
        <v>30</v>
      </c>
      <c r="M371" t="s">
        <v>31</v>
      </c>
      <c r="Q371" s="4">
        <v>1</v>
      </c>
    </row>
    <row r="372" spans="1:17" x14ac:dyDescent="0.55000000000000004">
      <c r="A372" t="s">
        <v>1471</v>
      </c>
      <c r="C372" t="s">
        <v>3251</v>
      </c>
      <c r="D372" t="s">
        <v>3252</v>
      </c>
      <c r="E372" t="s">
        <v>35</v>
      </c>
      <c r="F372" t="s">
        <v>30</v>
      </c>
      <c r="G372" t="s">
        <v>31</v>
      </c>
      <c r="H372" t="s">
        <v>36</v>
      </c>
      <c r="I372" t="s">
        <v>3253</v>
      </c>
      <c r="J372" t="s">
        <v>3254</v>
      </c>
      <c r="K372" t="s">
        <v>362</v>
      </c>
      <c r="L372" t="s">
        <v>30</v>
      </c>
      <c r="M372" t="s">
        <v>31</v>
      </c>
      <c r="Q372" s="4">
        <v>1</v>
      </c>
    </row>
    <row r="373" spans="1:17" x14ac:dyDescent="0.55000000000000004">
      <c r="A373" t="s">
        <v>1474</v>
      </c>
      <c r="C373" t="s">
        <v>3255</v>
      </c>
      <c r="D373" t="s">
        <v>3256</v>
      </c>
      <c r="E373" t="s">
        <v>35</v>
      </c>
      <c r="F373" t="s">
        <v>30</v>
      </c>
      <c r="G373" t="s">
        <v>31</v>
      </c>
      <c r="H373" t="s">
        <v>36</v>
      </c>
      <c r="I373" t="s">
        <v>3257</v>
      </c>
      <c r="J373" t="s">
        <v>3258</v>
      </c>
      <c r="K373" t="s">
        <v>362</v>
      </c>
      <c r="L373" t="s">
        <v>30</v>
      </c>
      <c r="M373" t="s">
        <v>31</v>
      </c>
      <c r="Q373" s="4">
        <v>1</v>
      </c>
    </row>
    <row r="374" spans="1:17" x14ac:dyDescent="0.55000000000000004">
      <c r="A374" t="s">
        <v>1477</v>
      </c>
      <c r="C374" t="s">
        <v>3259</v>
      </c>
      <c r="D374" t="s">
        <v>3260</v>
      </c>
      <c r="E374" t="s">
        <v>35</v>
      </c>
      <c r="F374" t="s">
        <v>30</v>
      </c>
      <c r="G374" t="s">
        <v>31</v>
      </c>
      <c r="H374" t="s">
        <v>36</v>
      </c>
      <c r="I374" t="s">
        <v>3261</v>
      </c>
      <c r="J374" t="s">
        <v>3262</v>
      </c>
      <c r="K374" t="s">
        <v>362</v>
      </c>
      <c r="L374" t="s">
        <v>30</v>
      </c>
      <c r="M374" t="s">
        <v>31</v>
      </c>
      <c r="Q374" s="4">
        <v>1</v>
      </c>
    </row>
    <row r="375" spans="1:17" x14ac:dyDescent="0.55000000000000004">
      <c r="A375" t="s">
        <v>1480</v>
      </c>
      <c r="C375" t="s">
        <v>3263</v>
      </c>
      <c r="D375" t="s">
        <v>3264</v>
      </c>
      <c r="E375" t="s">
        <v>35</v>
      </c>
      <c r="F375" t="s">
        <v>30</v>
      </c>
      <c r="G375" t="s">
        <v>31</v>
      </c>
      <c r="H375" t="s">
        <v>36</v>
      </c>
      <c r="I375" t="s">
        <v>3265</v>
      </c>
      <c r="J375" t="s">
        <v>3266</v>
      </c>
      <c r="K375" t="s">
        <v>362</v>
      </c>
      <c r="L375" t="s">
        <v>30</v>
      </c>
      <c r="M375" t="s">
        <v>31</v>
      </c>
      <c r="Q375" s="4">
        <v>1</v>
      </c>
    </row>
    <row r="376" spans="1:17" x14ac:dyDescent="0.55000000000000004">
      <c r="A376" t="s">
        <v>1483</v>
      </c>
      <c r="C376" t="s">
        <v>3267</v>
      </c>
      <c r="D376" t="s">
        <v>3268</v>
      </c>
      <c r="E376" t="s">
        <v>35</v>
      </c>
      <c r="F376" t="s">
        <v>30</v>
      </c>
      <c r="G376" t="s">
        <v>31</v>
      </c>
      <c r="H376" t="s">
        <v>36</v>
      </c>
      <c r="I376" t="s">
        <v>3269</v>
      </c>
      <c r="J376" t="s">
        <v>3270</v>
      </c>
      <c r="K376" t="s">
        <v>362</v>
      </c>
      <c r="L376" t="s">
        <v>30</v>
      </c>
      <c r="M376" t="s">
        <v>31</v>
      </c>
      <c r="Q376" s="4">
        <v>1</v>
      </c>
    </row>
    <row r="377" spans="1:17" x14ac:dyDescent="0.55000000000000004">
      <c r="A377" t="s">
        <v>1486</v>
      </c>
      <c r="C377" t="s">
        <v>3271</v>
      </c>
      <c r="D377" t="s">
        <v>3272</v>
      </c>
      <c r="E377" t="s">
        <v>35</v>
      </c>
      <c r="F377" t="s">
        <v>30</v>
      </c>
      <c r="G377" t="s">
        <v>31</v>
      </c>
      <c r="H377" t="s">
        <v>36</v>
      </c>
      <c r="I377" t="s">
        <v>3273</v>
      </c>
      <c r="J377" t="s">
        <v>3274</v>
      </c>
      <c r="K377" t="s">
        <v>362</v>
      </c>
      <c r="L377" t="s">
        <v>30</v>
      </c>
      <c r="M377" t="s">
        <v>31</v>
      </c>
      <c r="Q377" s="4">
        <v>1</v>
      </c>
    </row>
    <row r="378" spans="1:17" x14ac:dyDescent="0.55000000000000004">
      <c r="A378" t="s">
        <v>1489</v>
      </c>
      <c r="C378" t="s">
        <v>3275</v>
      </c>
      <c r="D378" t="s">
        <v>3276</v>
      </c>
      <c r="E378" t="s">
        <v>35</v>
      </c>
      <c r="F378" t="s">
        <v>30</v>
      </c>
      <c r="G378" t="s">
        <v>31</v>
      </c>
      <c r="H378" t="s">
        <v>36</v>
      </c>
      <c r="I378" t="s">
        <v>3277</v>
      </c>
      <c r="J378" t="s">
        <v>3278</v>
      </c>
      <c r="K378" t="s">
        <v>362</v>
      </c>
      <c r="L378" t="s">
        <v>30</v>
      </c>
      <c r="M378" t="s">
        <v>31</v>
      </c>
      <c r="Q378" s="4">
        <v>1</v>
      </c>
    </row>
    <row r="379" spans="1:17" x14ac:dyDescent="0.55000000000000004">
      <c r="A379" t="s">
        <v>1492</v>
      </c>
      <c r="C379" t="s">
        <v>3279</v>
      </c>
      <c r="D379" t="s">
        <v>3280</v>
      </c>
      <c r="E379" t="s">
        <v>35</v>
      </c>
      <c r="F379" t="s">
        <v>30</v>
      </c>
      <c r="G379" t="s">
        <v>31</v>
      </c>
      <c r="H379" t="s">
        <v>36</v>
      </c>
      <c r="I379" t="s">
        <v>3281</v>
      </c>
      <c r="J379" t="s">
        <v>3282</v>
      </c>
      <c r="K379" t="s">
        <v>362</v>
      </c>
      <c r="L379" t="s">
        <v>30</v>
      </c>
      <c r="M379" t="s">
        <v>31</v>
      </c>
      <c r="Q379" s="4">
        <v>1</v>
      </c>
    </row>
    <row r="380" spans="1:17" x14ac:dyDescent="0.55000000000000004">
      <c r="A380" t="s">
        <v>1495</v>
      </c>
      <c r="C380" t="s">
        <v>3283</v>
      </c>
      <c r="D380" t="s">
        <v>3284</v>
      </c>
      <c r="E380" t="s">
        <v>35</v>
      </c>
      <c r="F380" t="s">
        <v>30</v>
      </c>
      <c r="G380" t="s">
        <v>31</v>
      </c>
      <c r="H380" t="s">
        <v>36</v>
      </c>
      <c r="I380" t="s">
        <v>3285</v>
      </c>
      <c r="J380" t="s">
        <v>3286</v>
      </c>
      <c r="K380" t="s">
        <v>362</v>
      </c>
      <c r="L380" t="s">
        <v>30</v>
      </c>
      <c r="M380" t="s">
        <v>31</v>
      </c>
      <c r="Q380" s="4">
        <v>1</v>
      </c>
    </row>
    <row r="381" spans="1:17" x14ac:dyDescent="0.55000000000000004">
      <c r="A381" t="s">
        <v>1498</v>
      </c>
      <c r="C381" t="s">
        <v>3287</v>
      </c>
      <c r="D381" t="s">
        <v>3288</v>
      </c>
      <c r="E381" t="s">
        <v>35</v>
      </c>
      <c r="F381" t="s">
        <v>30</v>
      </c>
      <c r="G381" t="s">
        <v>31</v>
      </c>
      <c r="H381" t="s">
        <v>36</v>
      </c>
      <c r="I381" t="s">
        <v>3289</v>
      </c>
      <c r="J381" t="s">
        <v>3290</v>
      </c>
      <c r="K381" t="s">
        <v>362</v>
      </c>
      <c r="L381" t="s">
        <v>30</v>
      </c>
      <c r="M381" t="s">
        <v>31</v>
      </c>
      <c r="Q381" s="4">
        <v>1</v>
      </c>
    </row>
    <row r="382" spans="1:17" x14ac:dyDescent="0.55000000000000004">
      <c r="A382" t="s">
        <v>1501</v>
      </c>
      <c r="C382" t="s">
        <v>3291</v>
      </c>
      <c r="D382" t="s">
        <v>3292</v>
      </c>
      <c r="E382" t="s">
        <v>35</v>
      </c>
      <c r="F382" t="s">
        <v>30</v>
      </c>
      <c r="G382" t="s">
        <v>31</v>
      </c>
      <c r="H382" t="s">
        <v>36</v>
      </c>
      <c r="I382" t="s">
        <v>3293</v>
      </c>
      <c r="J382" t="s">
        <v>3294</v>
      </c>
      <c r="K382" t="s">
        <v>362</v>
      </c>
      <c r="L382" t="s">
        <v>30</v>
      </c>
      <c r="M382" t="s">
        <v>31</v>
      </c>
      <c r="Q382" s="4">
        <v>1</v>
      </c>
    </row>
    <row r="383" spans="1:17" x14ac:dyDescent="0.55000000000000004">
      <c r="A383" t="s">
        <v>1504</v>
      </c>
      <c r="C383" t="s">
        <v>3295</v>
      </c>
      <c r="D383" t="s">
        <v>3296</v>
      </c>
      <c r="E383" t="s">
        <v>35</v>
      </c>
      <c r="F383" t="s">
        <v>30</v>
      </c>
      <c r="G383" t="s">
        <v>31</v>
      </c>
      <c r="H383" t="s">
        <v>36</v>
      </c>
      <c r="I383" t="s">
        <v>3297</v>
      </c>
      <c r="J383" t="s">
        <v>3298</v>
      </c>
      <c r="K383" t="s">
        <v>362</v>
      </c>
      <c r="L383" t="s">
        <v>30</v>
      </c>
      <c r="M383" t="s">
        <v>31</v>
      </c>
      <c r="Q383" s="4">
        <v>1</v>
      </c>
    </row>
    <row r="384" spans="1:17" x14ac:dyDescent="0.55000000000000004">
      <c r="A384" t="s">
        <v>1507</v>
      </c>
      <c r="C384" t="s">
        <v>3299</v>
      </c>
      <c r="D384" t="s">
        <v>3300</v>
      </c>
      <c r="E384" t="s">
        <v>35</v>
      </c>
      <c r="F384" t="s">
        <v>30</v>
      </c>
      <c r="G384" t="s">
        <v>31</v>
      </c>
      <c r="H384" t="s">
        <v>36</v>
      </c>
      <c r="I384" t="s">
        <v>3301</v>
      </c>
      <c r="J384" t="s">
        <v>3302</v>
      </c>
      <c r="K384" t="s">
        <v>362</v>
      </c>
      <c r="L384" t="s">
        <v>30</v>
      </c>
      <c r="M384" t="s">
        <v>31</v>
      </c>
      <c r="Q384" s="4">
        <v>1</v>
      </c>
    </row>
    <row r="385" spans="1:17" x14ac:dyDescent="0.55000000000000004">
      <c r="A385" t="s">
        <v>1510</v>
      </c>
      <c r="C385" t="s">
        <v>3303</v>
      </c>
      <c r="D385" t="s">
        <v>3304</v>
      </c>
      <c r="E385" t="s">
        <v>35</v>
      </c>
      <c r="F385" t="s">
        <v>30</v>
      </c>
      <c r="G385" t="s">
        <v>31</v>
      </c>
      <c r="H385" t="s">
        <v>36</v>
      </c>
      <c r="I385" t="s">
        <v>3305</v>
      </c>
      <c r="J385" t="s">
        <v>3306</v>
      </c>
      <c r="K385" t="s">
        <v>362</v>
      </c>
      <c r="L385" t="s">
        <v>30</v>
      </c>
      <c r="M385" t="s">
        <v>31</v>
      </c>
      <c r="Q385" s="4">
        <v>1</v>
      </c>
    </row>
    <row r="386" spans="1:17" x14ac:dyDescent="0.55000000000000004">
      <c r="A386" t="s">
        <v>1513</v>
      </c>
      <c r="C386" t="s">
        <v>3307</v>
      </c>
      <c r="D386" t="s">
        <v>3308</v>
      </c>
      <c r="E386" t="s">
        <v>35</v>
      </c>
      <c r="F386" t="s">
        <v>30</v>
      </c>
      <c r="G386" t="s">
        <v>31</v>
      </c>
      <c r="H386" t="s">
        <v>36</v>
      </c>
      <c r="I386" t="s">
        <v>3309</v>
      </c>
      <c r="J386" t="s">
        <v>3310</v>
      </c>
      <c r="K386" t="s">
        <v>362</v>
      </c>
      <c r="L386" t="s">
        <v>30</v>
      </c>
      <c r="M386" t="s">
        <v>31</v>
      </c>
      <c r="Q386" s="4">
        <v>1</v>
      </c>
    </row>
    <row r="387" spans="1:17" x14ac:dyDescent="0.55000000000000004">
      <c r="A387" t="s">
        <v>1516</v>
      </c>
      <c r="C387" t="s">
        <v>3311</v>
      </c>
      <c r="D387" t="s">
        <v>3312</v>
      </c>
      <c r="E387" t="s">
        <v>35</v>
      </c>
      <c r="F387" t="s">
        <v>30</v>
      </c>
      <c r="G387" t="s">
        <v>31</v>
      </c>
      <c r="H387" t="s">
        <v>36</v>
      </c>
      <c r="I387" t="s">
        <v>3313</v>
      </c>
      <c r="J387" t="s">
        <v>3314</v>
      </c>
      <c r="K387" t="s">
        <v>362</v>
      </c>
      <c r="L387" t="s">
        <v>30</v>
      </c>
      <c r="M387" t="s">
        <v>31</v>
      </c>
      <c r="Q387" s="4">
        <v>1</v>
      </c>
    </row>
    <row r="388" spans="1:17" x14ac:dyDescent="0.55000000000000004">
      <c r="A388" t="s">
        <v>1519</v>
      </c>
      <c r="C388" t="s">
        <v>3315</v>
      </c>
      <c r="D388" t="s">
        <v>3316</v>
      </c>
      <c r="E388" t="s">
        <v>35</v>
      </c>
      <c r="F388" t="s">
        <v>30</v>
      </c>
      <c r="G388" t="s">
        <v>31</v>
      </c>
      <c r="H388" t="s">
        <v>36</v>
      </c>
      <c r="I388" t="s">
        <v>3317</v>
      </c>
      <c r="J388" t="s">
        <v>3318</v>
      </c>
      <c r="K388" t="s">
        <v>362</v>
      </c>
      <c r="L388" t="s">
        <v>30</v>
      </c>
      <c r="M388" t="s">
        <v>31</v>
      </c>
      <c r="Q388" s="4">
        <v>1</v>
      </c>
    </row>
    <row r="389" spans="1:17" x14ac:dyDescent="0.55000000000000004">
      <c r="A389" t="s">
        <v>1522</v>
      </c>
      <c r="C389" t="s">
        <v>3319</v>
      </c>
      <c r="D389" t="s">
        <v>3320</v>
      </c>
      <c r="E389" t="s">
        <v>35</v>
      </c>
      <c r="F389" t="s">
        <v>30</v>
      </c>
      <c r="G389" t="s">
        <v>31</v>
      </c>
      <c r="H389" t="s">
        <v>36</v>
      </c>
      <c r="I389" t="s">
        <v>3321</v>
      </c>
      <c r="J389" t="s">
        <v>3322</v>
      </c>
      <c r="K389" t="s">
        <v>362</v>
      </c>
      <c r="L389" t="s">
        <v>30</v>
      </c>
      <c r="M389" t="s">
        <v>31</v>
      </c>
      <c r="Q389" s="4">
        <v>1</v>
      </c>
    </row>
    <row r="390" spans="1:17" x14ac:dyDescent="0.55000000000000004">
      <c r="A390" t="s">
        <v>1525</v>
      </c>
      <c r="C390" t="s">
        <v>3323</v>
      </c>
      <c r="D390" t="s">
        <v>3324</v>
      </c>
      <c r="E390" t="s">
        <v>35</v>
      </c>
      <c r="F390" t="s">
        <v>30</v>
      </c>
      <c r="G390" t="s">
        <v>31</v>
      </c>
      <c r="H390" t="s">
        <v>36</v>
      </c>
      <c r="I390" t="s">
        <v>3325</v>
      </c>
      <c r="J390" t="s">
        <v>3326</v>
      </c>
      <c r="K390" t="s">
        <v>362</v>
      </c>
      <c r="L390" t="s">
        <v>30</v>
      </c>
      <c r="M390" t="s">
        <v>31</v>
      </c>
      <c r="Q390" s="4">
        <v>1</v>
      </c>
    </row>
    <row r="391" spans="1:17" x14ac:dyDescent="0.55000000000000004">
      <c r="A391" t="s">
        <v>1528</v>
      </c>
      <c r="C391" t="s">
        <v>3327</v>
      </c>
      <c r="D391" t="s">
        <v>3328</v>
      </c>
      <c r="E391" t="s">
        <v>35</v>
      </c>
      <c r="F391" t="s">
        <v>30</v>
      </c>
      <c r="G391" t="s">
        <v>31</v>
      </c>
      <c r="H391" t="s">
        <v>36</v>
      </c>
      <c r="I391" t="s">
        <v>3329</v>
      </c>
      <c r="J391" t="s">
        <v>3330</v>
      </c>
      <c r="K391" t="s">
        <v>362</v>
      </c>
      <c r="L391" t="s">
        <v>30</v>
      </c>
      <c r="M391" t="s">
        <v>31</v>
      </c>
      <c r="Q391" s="4">
        <v>1</v>
      </c>
    </row>
    <row r="392" spans="1:17" x14ac:dyDescent="0.55000000000000004">
      <c r="A392" t="s">
        <v>1531</v>
      </c>
      <c r="C392" t="s">
        <v>3331</v>
      </c>
      <c r="D392" t="s">
        <v>3332</v>
      </c>
      <c r="E392" t="s">
        <v>35</v>
      </c>
      <c r="F392" t="s">
        <v>30</v>
      </c>
      <c r="G392" t="s">
        <v>31</v>
      </c>
      <c r="H392" t="s">
        <v>36</v>
      </c>
      <c r="I392" t="s">
        <v>3333</v>
      </c>
      <c r="J392" t="s">
        <v>3334</v>
      </c>
      <c r="K392" t="s">
        <v>362</v>
      </c>
      <c r="L392" t="s">
        <v>30</v>
      </c>
      <c r="M392" t="s">
        <v>31</v>
      </c>
      <c r="Q392" s="4">
        <v>1</v>
      </c>
    </row>
    <row r="393" spans="1:17" x14ac:dyDescent="0.55000000000000004">
      <c r="A393" t="s">
        <v>1534</v>
      </c>
      <c r="C393" t="s">
        <v>3335</v>
      </c>
      <c r="D393" t="s">
        <v>3336</v>
      </c>
      <c r="E393" t="s">
        <v>35</v>
      </c>
      <c r="F393" t="s">
        <v>30</v>
      </c>
      <c r="G393" t="s">
        <v>31</v>
      </c>
      <c r="H393" t="s">
        <v>36</v>
      </c>
      <c r="I393" t="s">
        <v>3337</v>
      </c>
      <c r="J393" t="s">
        <v>3338</v>
      </c>
      <c r="K393" t="s">
        <v>362</v>
      </c>
      <c r="L393" t="s">
        <v>30</v>
      </c>
      <c r="M393" t="s">
        <v>31</v>
      </c>
      <c r="Q393" s="4">
        <v>1</v>
      </c>
    </row>
    <row r="394" spans="1:17" x14ac:dyDescent="0.55000000000000004">
      <c r="A394" t="s">
        <v>1537</v>
      </c>
      <c r="C394" t="s">
        <v>3339</v>
      </c>
      <c r="D394" t="s">
        <v>3340</v>
      </c>
      <c r="E394" t="s">
        <v>35</v>
      </c>
      <c r="F394" t="s">
        <v>30</v>
      </c>
      <c r="G394" t="s">
        <v>31</v>
      </c>
      <c r="H394" t="s">
        <v>36</v>
      </c>
      <c r="I394" t="s">
        <v>3341</v>
      </c>
      <c r="J394" t="s">
        <v>3342</v>
      </c>
      <c r="K394" t="s">
        <v>362</v>
      </c>
      <c r="L394" t="s">
        <v>30</v>
      </c>
      <c r="M394" t="s">
        <v>31</v>
      </c>
      <c r="Q394" s="4">
        <v>1</v>
      </c>
    </row>
    <row r="395" spans="1:17" x14ac:dyDescent="0.55000000000000004">
      <c r="A395" t="s">
        <v>1540</v>
      </c>
      <c r="C395" t="s">
        <v>3343</v>
      </c>
      <c r="D395" t="s">
        <v>3344</v>
      </c>
      <c r="E395" t="s">
        <v>35</v>
      </c>
      <c r="F395" t="s">
        <v>30</v>
      </c>
      <c r="G395" t="s">
        <v>31</v>
      </c>
      <c r="H395" t="s">
        <v>36</v>
      </c>
      <c r="I395" t="s">
        <v>3345</v>
      </c>
      <c r="J395" t="s">
        <v>3346</v>
      </c>
      <c r="K395" t="s">
        <v>362</v>
      </c>
      <c r="L395" t="s">
        <v>30</v>
      </c>
      <c r="M395" t="s">
        <v>31</v>
      </c>
      <c r="Q395" s="4">
        <v>1</v>
      </c>
    </row>
    <row r="396" spans="1:17" x14ac:dyDescent="0.55000000000000004">
      <c r="A396" t="s">
        <v>1543</v>
      </c>
      <c r="C396" t="s">
        <v>3347</v>
      </c>
      <c r="D396" t="s">
        <v>3348</v>
      </c>
      <c r="E396" t="s">
        <v>35</v>
      </c>
      <c r="F396" t="s">
        <v>30</v>
      </c>
      <c r="G396" t="s">
        <v>31</v>
      </c>
      <c r="H396" t="s">
        <v>36</v>
      </c>
      <c r="I396" t="s">
        <v>3349</v>
      </c>
      <c r="J396" t="s">
        <v>3350</v>
      </c>
      <c r="K396" t="s">
        <v>362</v>
      </c>
      <c r="L396" t="s">
        <v>30</v>
      </c>
      <c r="M396" t="s">
        <v>31</v>
      </c>
      <c r="Q396" s="4">
        <v>1</v>
      </c>
    </row>
    <row r="397" spans="1:17" x14ac:dyDescent="0.55000000000000004">
      <c r="A397" t="s">
        <v>1546</v>
      </c>
      <c r="C397" t="s">
        <v>3351</v>
      </c>
      <c r="D397" t="s">
        <v>3352</v>
      </c>
      <c r="E397" t="s">
        <v>35</v>
      </c>
      <c r="F397" t="s">
        <v>30</v>
      </c>
      <c r="G397" t="s">
        <v>31</v>
      </c>
      <c r="H397" t="s">
        <v>36</v>
      </c>
      <c r="I397" t="s">
        <v>3353</v>
      </c>
      <c r="J397" t="s">
        <v>3354</v>
      </c>
      <c r="K397" t="s">
        <v>362</v>
      </c>
      <c r="L397" t="s">
        <v>30</v>
      </c>
      <c r="M397" t="s">
        <v>31</v>
      </c>
      <c r="Q397" s="4">
        <v>1</v>
      </c>
    </row>
    <row r="398" spans="1:17" x14ac:dyDescent="0.55000000000000004">
      <c r="A398" t="s">
        <v>4539</v>
      </c>
      <c r="C398" t="s">
        <v>3355</v>
      </c>
      <c r="D398" t="s">
        <v>3356</v>
      </c>
      <c r="E398" t="s">
        <v>35</v>
      </c>
      <c r="F398" t="s">
        <v>30</v>
      </c>
      <c r="G398" t="s">
        <v>31</v>
      </c>
      <c r="H398" t="s">
        <v>36</v>
      </c>
      <c r="I398" t="s">
        <v>3357</v>
      </c>
      <c r="J398" t="s">
        <v>3358</v>
      </c>
      <c r="K398" t="s">
        <v>362</v>
      </c>
      <c r="L398" t="s">
        <v>30</v>
      </c>
      <c r="M398" t="s">
        <v>31</v>
      </c>
      <c r="Q398" s="4">
        <v>1</v>
      </c>
    </row>
    <row r="399" spans="1:17" x14ac:dyDescent="0.55000000000000004">
      <c r="A399" t="s">
        <v>1551</v>
      </c>
      <c r="C399" t="s">
        <v>3359</v>
      </c>
      <c r="D399" t="s">
        <v>3360</v>
      </c>
      <c r="E399" t="s">
        <v>35</v>
      </c>
      <c r="F399" t="s">
        <v>30</v>
      </c>
      <c r="G399" t="s">
        <v>31</v>
      </c>
      <c r="H399" t="s">
        <v>36</v>
      </c>
      <c r="I399" t="s">
        <v>3361</v>
      </c>
      <c r="J399" t="s">
        <v>3362</v>
      </c>
      <c r="K399" t="s">
        <v>362</v>
      </c>
      <c r="L399" t="s">
        <v>30</v>
      </c>
      <c r="M399" t="s">
        <v>31</v>
      </c>
      <c r="Q399" s="4">
        <v>1</v>
      </c>
    </row>
    <row r="400" spans="1:17" x14ac:dyDescent="0.55000000000000004">
      <c r="A400" t="s">
        <v>4540</v>
      </c>
      <c r="C400" t="s">
        <v>3363</v>
      </c>
      <c r="D400" t="s">
        <v>3364</v>
      </c>
      <c r="E400" t="s">
        <v>35</v>
      </c>
      <c r="F400" t="s">
        <v>30</v>
      </c>
      <c r="G400" t="s">
        <v>31</v>
      </c>
      <c r="H400" t="s">
        <v>36</v>
      </c>
      <c r="I400" t="s">
        <v>3365</v>
      </c>
      <c r="J400" t="s">
        <v>3366</v>
      </c>
      <c r="K400" t="s">
        <v>362</v>
      </c>
      <c r="L400" t="s">
        <v>30</v>
      </c>
      <c r="M400" t="s">
        <v>31</v>
      </c>
      <c r="Q400" s="4">
        <v>1</v>
      </c>
    </row>
    <row r="401" spans="1:20" x14ac:dyDescent="0.55000000000000004">
      <c r="A401" t="s">
        <v>1556</v>
      </c>
      <c r="C401" t="s">
        <v>3367</v>
      </c>
      <c r="D401" t="s">
        <v>3368</v>
      </c>
      <c r="E401" t="s">
        <v>35</v>
      </c>
      <c r="F401" t="s">
        <v>30</v>
      </c>
      <c r="G401" t="s">
        <v>31</v>
      </c>
      <c r="H401" t="s">
        <v>36</v>
      </c>
      <c r="I401" t="s">
        <v>3369</v>
      </c>
      <c r="J401" t="s">
        <v>3370</v>
      </c>
      <c r="K401" t="s">
        <v>362</v>
      </c>
      <c r="L401" t="s">
        <v>30</v>
      </c>
      <c r="M401" t="s">
        <v>31</v>
      </c>
      <c r="Q401" s="4">
        <v>1</v>
      </c>
    </row>
    <row r="402" spans="1:20" x14ac:dyDescent="0.55000000000000004">
      <c r="A402" t="s">
        <v>4541</v>
      </c>
      <c r="C402" t="s">
        <v>3371</v>
      </c>
      <c r="D402" t="s">
        <v>3372</v>
      </c>
      <c r="E402" t="s">
        <v>35</v>
      </c>
      <c r="F402" t="s">
        <v>30</v>
      </c>
      <c r="G402" t="s">
        <v>31</v>
      </c>
      <c r="H402" t="s">
        <v>36</v>
      </c>
      <c r="I402" t="s">
        <v>3373</v>
      </c>
      <c r="J402" t="s">
        <v>3374</v>
      </c>
      <c r="K402" t="s">
        <v>362</v>
      </c>
      <c r="L402" t="s">
        <v>30</v>
      </c>
      <c r="M402" t="s">
        <v>31</v>
      </c>
      <c r="Q402" s="4">
        <v>1</v>
      </c>
    </row>
    <row r="403" spans="1:20" x14ac:dyDescent="0.55000000000000004">
      <c r="A403" t="s">
        <v>1561</v>
      </c>
      <c r="C403" t="s">
        <v>3375</v>
      </c>
      <c r="D403" t="s">
        <v>3376</v>
      </c>
      <c r="E403" t="s">
        <v>35</v>
      </c>
      <c r="F403" t="s">
        <v>30</v>
      </c>
      <c r="G403" t="s">
        <v>31</v>
      </c>
      <c r="H403" t="s">
        <v>36</v>
      </c>
      <c r="I403" t="s">
        <v>3377</v>
      </c>
      <c r="J403" t="s">
        <v>3378</v>
      </c>
      <c r="K403" t="s">
        <v>362</v>
      </c>
      <c r="L403" t="s">
        <v>30</v>
      </c>
      <c r="M403" t="s">
        <v>31</v>
      </c>
      <c r="Q403" s="4">
        <v>1</v>
      </c>
    </row>
    <row r="404" spans="1:20" x14ac:dyDescent="0.55000000000000004">
      <c r="A404" t="s">
        <v>4542</v>
      </c>
      <c r="C404" t="s">
        <v>3379</v>
      </c>
      <c r="D404" t="s">
        <v>3380</v>
      </c>
      <c r="E404" t="s">
        <v>35</v>
      </c>
      <c r="F404" t="s">
        <v>30</v>
      </c>
      <c r="G404" t="s">
        <v>31</v>
      </c>
      <c r="H404" t="s">
        <v>36</v>
      </c>
      <c r="I404" t="s">
        <v>3381</v>
      </c>
      <c r="J404" t="s">
        <v>3382</v>
      </c>
      <c r="K404" t="s">
        <v>362</v>
      </c>
      <c r="L404" t="s">
        <v>30</v>
      </c>
      <c r="M404" t="s">
        <v>31</v>
      </c>
      <c r="Q404" s="4">
        <v>1</v>
      </c>
    </row>
    <row r="405" spans="1:20" x14ac:dyDescent="0.55000000000000004">
      <c r="A405" t="s">
        <v>1566</v>
      </c>
      <c r="C405" t="s">
        <v>3383</v>
      </c>
      <c r="D405" t="s">
        <v>3384</v>
      </c>
      <c r="E405" t="s">
        <v>35</v>
      </c>
      <c r="F405" t="s">
        <v>30</v>
      </c>
      <c r="G405" t="s">
        <v>31</v>
      </c>
      <c r="H405" t="s">
        <v>36</v>
      </c>
      <c r="I405" t="s">
        <v>3385</v>
      </c>
      <c r="J405" t="s">
        <v>3386</v>
      </c>
      <c r="K405" t="s">
        <v>362</v>
      </c>
      <c r="L405" t="s">
        <v>30</v>
      </c>
      <c r="M405" t="s">
        <v>31</v>
      </c>
      <c r="Q405" s="4">
        <v>1</v>
      </c>
    </row>
    <row r="406" spans="1:20" x14ac:dyDescent="0.55000000000000004">
      <c r="A406" t="s">
        <v>4543</v>
      </c>
      <c r="C406" t="s">
        <v>3387</v>
      </c>
      <c r="D406" t="s">
        <v>3388</v>
      </c>
      <c r="E406" t="s">
        <v>35</v>
      </c>
      <c r="F406" t="s">
        <v>30</v>
      </c>
      <c r="G406" t="s">
        <v>31</v>
      </c>
      <c r="H406" t="s">
        <v>36</v>
      </c>
      <c r="I406" t="s">
        <v>3389</v>
      </c>
      <c r="J406" t="s">
        <v>3390</v>
      </c>
      <c r="K406" t="s">
        <v>362</v>
      </c>
      <c r="L406" t="s">
        <v>30</v>
      </c>
      <c r="M406" t="s">
        <v>31</v>
      </c>
      <c r="Q406" s="4">
        <v>1</v>
      </c>
    </row>
    <row r="407" spans="1:20" s="16" customFormat="1" ht="18.5" thickBot="1" x14ac:dyDescent="0.6">
      <c r="A407" s="16" t="s">
        <v>1571</v>
      </c>
      <c r="C407" s="16" t="s">
        <v>3391</v>
      </c>
      <c r="D407" s="16" t="s">
        <v>3392</v>
      </c>
      <c r="E407" s="16" t="s">
        <v>35</v>
      </c>
      <c r="F407" s="16" t="s">
        <v>30</v>
      </c>
      <c r="G407" s="16" t="s">
        <v>31</v>
      </c>
      <c r="H407" s="16" t="s">
        <v>36</v>
      </c>
      <c r="I407" s="16" t="s">
        <v>3393</v>
      </c>
      <c r="J407" s="16" t="s">
        <v>3394</v>
      </c>
      <c r="K407" s="16" t="s">
        <v>362</v>
      </c>
      <c r="L407" s="16" t="s">
        <v>30</v>
      </c>
      <c r="M407" s="16" t="s">
        <v>31</v>
      </c>
      <c r="Q407" s="18">
        <v>1</v>
      </c>
    </row>
    <row r="408" spans="1:20" x14ac:dyDescent="0.55000000000000004">
      <c r="A408" t="s">
        <v>4544</v>
      </c>
      <c r="C408" t="s">
        <v>192</v>
      </c>
      <c r="D408" t="s">
        <v>193</v>
      </c>
      <c r="E408" t="s">
        <v>35</v>
      </c>
      <c r="F408" t="s">
        <v>30</v>
      </c>
      <c r="G408" t="s">
        <v>31</v>
      </c>
      <c r="H408" t="s">
        <v>36</v>
      </c>
      <c r="I408" t="s">
        <v>194</v>
      </c>
      <c r="J408" t="s">
        <v>4000</v>
      </c>
      <c r="K408" t="s">
        <v>39</v>
      </c>
      <c r="L408" t="s">
        <v>30</v>
      </c>
      <c r="M408" t="s">
        <v>31</v>
      </c>
      <c r="N408" t="s">
        <v>4003</v>
      </c>
      <c r="Q408" s="4">
        <v>1</v>
      </c>
    </row>
    <row r="409" spans="1:20" x14ac:dyDescent="0.55000000000000004">
      <c r="A409" t="s">
        <v>1576</v>
      </c>
      <c r="C409" t="s">
        <v>194</v>
      </c>
      <c r="D409" t="s">
        <v>4000</v>
      </c>
      <c r="E409" t="s">
        <v>39</v>
      </c>
      <c r="F409" t="s">
        <v>30</v>
      </c>
      <c r="G409" t="s">
        <v>31</v>
      </c>
      <c r="H409" s="11" t="s">
        <v>991</v>
      </c>
      <c r="I409" t="s">
        <v>986</v>
      </c>
      <c r="J409" t="s">
        <v>987</v>
      </c>
      <c r="K409" t="s">
        <v>362</v>
      </c>
      <c r="L409" t="s">
        <v>30</v>
      </c>
      <c r="M409" t="s">
        <v>31</v>
      </c>
      <c r="Q409" s="4">
        <v>1</v>
      </c>
    </row>
    <row r="410" spans="1:20" x14ac:dyDescent="0.55000000000000004">
      <c r="A410" t="s">
        <v>4545</v>
      </c>
      <c r="C410" t="s">
        <v>194</v>
      </c>
      <c r="D410" t="s">
        <v>195</v>
      </c>
      <c r="E410" t="s">
        <v>39</v>
      </c>
      <c r="F410" t="s">
        <v>30</v>
      </c>
      <c r="G410" t="s">
        <v>31</v>
      </c>
      <c r="H410" s="11" t="s">
        <v>991</v>
      </c>
      <c r="I410" t="s">
        <v>989</v>
      </c>
      <c r="J410" t="s">
        <v>990</v>
      </c>
      <c r="K410" t="s">
        <v>39</v>
      </c>
      <c r="L410" t="s">
        <v>30</v>
      </c>
      <c r="M410" t="s">
        <v>31</v>
      </c>
      <c r="N410" t="s">
        <v>991</v>
      </c>
      <c r="Q410" s="4">
        <v>1</v>
      </c>
    </row>
    <row r="411" spans="1:20" x14ac:dyDescent="0.55000000000000004">
      <c r="A411" t="s">
        <v>1581</v>
      </c>
      <c r="C411" t="s">
        <v>989</v>
      </c>
      <c r="D411" t="s">
        <v>990</v>
      </c>
      <c r="E411" t="s">
        <v>39</v>
      </c>
      <c r="F411" t="s">
        <v>30</v>
      </c>
      <c r="G411" t="s">
        <v>31</v>
      </c>
      <c r="H411" t="s">
        <v>991</v>
      </c>
      <c r="I411" t="s">
        <v>2254</v>
      </c>
      <c r="J411" t="s">
        <v>2255</v>
      </c>
      <c r="K411" t="s">
        <v>39</v>
      </c>
      <c r="L411" t="s">
        <v>30</v>
      </c>
      <c r="M411" t="s">
        <v>31</v>
      </c>
      <c r="N411" t="s">
        <v>991</v>
      </c>
      <c r="Q411" s="15">
        <f>S411/T411</f>
        <v>8.3333333333333329E-2</v>
      </c>
      <c r="S411">
        <f>MID(D411,FIND("x",D411)+6,3)*1</f>
        <v>500</v>
      </c>
      <c r="T411">
        <v>6000</v>
      </c>
    </row>
    <row r="412" spans="1:20" s="16" customFormat="1" ht="18.5" thickBot="1" x14ac:dyDescent="0.6">
      <c r="A412" s="16" t="s">
        <v>4546</v>
      </c>
      <c r="C412" s="16" t="s">
        <v>2254</v>
      </c>
      <c r="D412" s="16" t="s">
        <v>2255</v>
      </c>
      <c r="E412" s="16" t="s">
        <v>39</v>
      </c>
      <c r="F412" s="16" t="s">
        <v>30</v>
      </c>
      <c r="G412" s="16" t="s">
        <v>31</v>
      </c>
      <c r="H412" s="16" t="s">
        <v>991</v>
      </c>
      <c r="I412" s="16" t="s">
        <v>2326</v>
      </c>
      <c r="J412" s="16" t="s">
        <v>2327</v>
      </c>
      <c r="K412" s="16" t="s">
        <v>362</v>
      </c>
      <c r="L412" s="16" t="s">
        <v>30</v>
      </c>
      <c r="M412" s="16" t="s">
        <v>31</v>
      </c>
      <c r="N412" s="16" t="s">
        <v>991</v>
      </c>
      <c r="Q412" s="18">
        <v>1</v>
      </c>
    </row>
    <row r="413" spans="1:20" x14ac:dyDescent="0.55000000000000004">
      <c r="A413" t="s">
        <v>1586</v>
      </c>
      <c r="C413" t="s">
        <v>198</v>
      </c>
      <c r="D413" t="s">
        <v>199</v>
      </c>
      <c r="E413" t="s">
        <v>35</v>
      </c>
      <c r="F413" t="s">
        <v>30</v>
      </c>
      <c r="G413" t="s">
        <v>31</v>
      </c>
      <c r="H413" t="s">
        <v>36</v>
      </c>
      <c r="I413" t="s">
        <v>200</v>
      </c>
      <c r="J413" t="s">
        <v>201</v>
      </c>
      <c r="K413" t="s">
        <v>39</v>
      </c>
      <c r="L413" t="s">
        <v>30</v>
      </c>
      <c r="M413" t="s">
        <v>31</v>
      </c>
      <c r="N413" t="s">
        <v>4003</v>
      </c>
      <c r="Q413" s="4">
        <v>1</v>
      </c>
    </row>
    <row r="414" spans="1:20" x14ac:dyDescent="0.55000000000000004">
      <c r="A414" t="s">
        <v>4547</v>
      </c>
      <c r="C414" t="s">
        <v>200</v>
      </c>
      <c r="D414" t="s">
        <v>201</v>
      </c>
      <c r="E414" t="s">
        <v>39</v>
      </c>
      <c r="F414" t="s">
        <v>30</v>
      </c>
      <c r="G414" t="s">
        <v>31</v>
      </c>
      <c r="H414" s="11" t="s">
        <v>991</v>
      </c>
      <c r="I414" t="s">
        <v>986</v>
      </c>
      <c r="J414" t="s">
        <v>987</v>
      </c>
      <c r="K414" t="s">
        <v>362</v>
      </c>
      <c r="L414" t="s">
        <v>30</v>
      </c>
      <c r="M414" t="s">
        <v>31</v>
      </c>
      <c r="Q414" s="4">
        <v>1</v>
      </c>
    </row>
    <row r="415" spans="1:20" x14ac:dyDescent="0.55000000000000004">
      <c r="A415" t="s">
        <v>1591</v>
      </c>
      <c r="C415" t="s">
        <v>200</v>
      </c>
      <c r="D415" t="s">
        <v>201</v>
      </c>
      <c r="E415" t="s">
        <v>39</v>
      </c>
      <c r="F415" t="s">
        <v>30</v>
      </c>
      <c r="G415" t="s">
        <v>31</v>
      </c>
      <c r="H415" s="11" t="s">
        <v>991</v>
      </c>
      <c r="I415" t="s">
        <v>996</v>
      </c>
      <c r="J415" t="s">
        <v>997</v>
      </c>
      <c r="K415" t="s">
        <v>39</v>
      </c>
      <c r="L415" t="s">
        <v>30</v>
      </c>
      <c r="M415" t="s">
        <v>31</v>
      </c>
      <c r="N415" t="s">
        <v>991</v>
      </c>
      <c r="Q415" s="4">
        <v>1</v>
      </c>
    </row>
    <row r="416" spans="1:20" s="16" customFormat="1" ht="18.5" thickBot="1" x14ac:dyDescent="0.6">
      <c r="A416" s="16" t="s">
        <v>4548</v>
      </c>
      <c r="C416" s="16" t="s">
        <v>996</v>
      </c>
      <c r="D416" s="16" t="s">
        <v>997</v>
      </c>
      <c r="E416" s="16" t="s">
        <v>39</v>
      </c>
      <c r="F416" s="16" t="s">
        <v>30</v>
      </c>
      <c r="G416" s="16" t="s">
        <v>31</v>
      </c>
      <c r="H416" s="16" t="s">
        <v>991</v>
      </c>
      <c r="I416" s="16" t="s">
        <v>2254</v>
      </c>
      <c r="J416" s="16" t="s">
        <v>2255</v>
      </c>
      <c r="K416" s="16" t="s">
        <v>39</v>
      </c>
      <c r="L416" s="16" t="s">
        <v>30</v>
      </c>
      <c r="M416" s="16" t="s">
        <v>31</v>
      </c>
      <c r="N416" s="16" t="s">
        <v>991</v>
      </c>
      <c r="Q416" s="17">
        <f>S416/T416</f>
        <v>0.1</v>
      </c>
      <c r="S416" s="16">
        <f>MID(D416,FIND("x",D416)+6,3)*1</f>
        <v>600</v>
      </c>
      <c r="T416" s="16">
        <v>6000</v>
      </c>
    </row>
    <row r="417" spans="1:20" x14ac:dyDescent="0.55000000000000004">
      <c r="A417" t="s">
        <v>1596</v>
      </c>
      <c r="C417" t="s">
        <v>203</v>
      </c>
      <c r="D417" t="s">
        <v>204</v>
      </c>
      <c r="E417" t="s">
        <v>35</v>
      </c>
      <c r="F417" t="s">
        <v>30</v>
      </c>
      <c r="G417" t="s">
        <v>31</v>
      </c>
      <c r="H417" t="s">
        <v>36</v>
      </c>
      <c r="I417" t="s">
        <v>205</v>
      </c>
      <c r="J417" t="s">
        <v>206</v>
      </c>
      <c r="K417" t="s">
        <v>39</v>
      </c>
      <c r="L417" t="s">
        <v>30</v>
      </c>
      <c r="M417" t="s">
        <v>31</v>
      </c>
      <c r="N417" t="s">
        <v>4003</v>
      </c>
      <c r="Q417" s="4">
        <v>1</v>
      </c>
    </row>
    <row r="418" spans="1:20" x14ac:dyDescent="0.55000000000000004">
      <c r="A418" t="s">
        <v>4549</v>
      </c>
      <c r="C418" t="s">
        <v>205</v>
      </c>
      <c r="D418" t="s">
        <v>206</v>
      </c>
      <c r="E418" t="s">
        <v>39</v>
      </c>
      <c r="F418" t="s">
        <v>30</v>
      </c>
      <c r="G418" t="s">
        <v>31</v>
      </c>
      <c r="H418" s="11" t="s">
        <v>991</v>
      </c>
      <c r="I418" t="s">
        <v>986</v>
      </c>
      <c r="J418" t="s">
        <v>987</v>
      </c>
      <c r="K418" t="s">
        <v>362</v>
      </c>
      <c r="L418" t="s">
        <v>30</v>
      </c>
      <c r="M418" t="s">
        <v>31</v>
      </c>
      <c r="Q418" s="4">
        <v>1</v>
      </c>
    </row>
    <row r="419" spans="1:20" x14ac:dyDescent="0.55000000000000004">
      <c r="A419" t="s">
        <v>1603</v>
      </c>
      <c r="C419" t="s">
        <v>205</v>
      </c>
      <c r="D419" t="s">
        <v>206</v>
      </c>
      <c r="E419" t="s">
        <v>39</v>
      </c>
      <c r="F419" t="s">
        <v>30</v>
      </c>
      <c r="G419" t="s">
        <v>31</v>
      </c>
      <c r="H419" s="11" t="s">
        <v>991</v>
      </c>
      <c r="I419" t="s">
        <v>1002</v>
      </c>
      <c r="J419" t="s">
        <v>1003</v>
      </c>
      <c r="K419" t="s">
        <v>39</v>
      </c>
      <c r="L419" t="s">
        <v>30</v>
      </c>
      <c r="M419" t="s">
        <v>31</v>
      </c>
      <c r="N419" t="s">
        <v>991</v>
      </c>
      <c r="Q419" s="4">
        <v>1</v>
      </c>
    </row>
    <row r="420" spans="1:20" s="16" customFormat="1" ht="18.5" thickBot="1" x14ac:dyDescent="0.6">
      <c r="A420" s="16" t="s">
        <v>4550</v>
      </c>
      <c r="C420" s="16" t="s">
        <v>1002</v>
      </c>
      <c r="D420" s="16" t="s">
        <v>1003</v>
      </c>
      <c r="E420" s="16" t="s">
        <v>39</v>
      </c>
      <c r="F420" s="16" t="s">
        <v>30</v>
      </c>
      <c r="G420" s="16" t="s">
        <v>31</v>
      </c>
      <c r="H420" s="16" t="s">
        <v>991</v>
      </c>
      <c r="I420" s="16" t="s">
        <v>2254</v>
      </c>
      <c r="J420" s="16" t="s">
        <v>2255</v>
      </c>
      <c r="K420" s="16" t="s">
        <v>39</v>
      </c>
      <c r="L420" s="16" t="s">
        <v>30</v>
      </c>
      <c r="M420" s="16" t="s">
        <v>31</v>
      </c>
      <c r="N420" s="16" t="s">
        <v>991</v>
      </c>
      <c r="Q420" s="17">
        <f>S420/T420</f>
        <v>0.11666666666666667</v>
      </c>
      <c r="S420" s="16">
        <f>MID(D420,FIND("x",D420)+6,3)*1</f>
        <v>700</v>
      </c>
      <c r="T420" s="16">
        <v>6000</v>
      </c>
    </row>
    <row r="421" spans="1:20" x14ac:dyDescent="0.55000000000000004">
      <c r="A421" t="s">
        <v>1608</v>
      </c>
      <c r="C421" t="s">
        <v>208</v>
      </c>
      <c r="D421" t="s">
        <v>209</v>
      </c>
      <c r="E421" t="s">
        <v>35</v>
      </c>
      <c r="F421" t="s">
        <v>30</v>
      </c>
      <c r="G421" t="s">
        <v>31</v>
      </c>
      <c r="H421" t="s">
        <v>36</v>
      </c>
      <c r="I421" t="s">
        <v>210</v>
      </c>
      <c r="J421" t="s">
        <v>211</v>
      </c>
      <c r="K421" t="s">
        <v>39</v>
      </c>
      <c r="L421" t="s">
        <v>30</v>
      </c>
      <c r="M421" t="s">
        <v>31</v>
      </c>
      <c r="N421" t="s">
        <v>4003</v>
      </c>
      <c r="Q421" s="4">
        <v>1</v>
      </c>
    </row>
    <row r="422" spans="1:20" x14ac:dyDescent="0.55000000000000004">
      <c r="A422" t="s">
        <v>4551</v>
      </c>
      <c r="C422" t="s">
        <v>210</v>
      </c>
      <c r="D422" t="s">
        <v>211</v>
      </c>
      <c r="E422" t="s">
        <v>39</v>
      </c>
      <c r="F422" t="s">
        <v>30</v>
      </c>
      <c r="G422" t="s">
        <v>31</v>
      </c>
      <c r="H422" s="11" t="s">
        <v>991</v>
      </c>
      <c r="I422" t="s">
        <v>986</v>
      </c>
      <c r="J422" t="s">
        <v>987</v>
      </c>
      <c r="K422" t="s">
        <v>362</v>
      </c>
      <c r="L422" t="s">
        <v>30</v>
      </c>
      <c r="M422" t="s">
        <v>31</v>
      </c>
      <c r="Q422" s="4">
        <v>1</v>
      </c>
    </row>
    <row r="423" spans="1:20" x14ac:dyDescent="0.55000000000000004">
      <c r="A423" t="s">
        <v>1613</v>
      </c>
      <c r="C423" t="s">
        <v>210</v>
      </c>
      <c r="D423" t="s">
        <v>211</v>
      </c>
      <c r="E423" t="s">
        <v>39</v>
      </c>
      <c r="F423" t="s">
        <v>30</v>
      </c>
      <c r="G423" t="s">
        <v>31</v>
      </c>
      <c r="H423" s="11" t="s">
        <v>991</v>
      </c>
      <c r="I423" t="s">
        <v>1008</v>
      </c>
      <c r="J423" t="s">
        <v>1009</v>
      </c>
      <c r="K423" t="s">
        <v>39</v>
      </c>
      <c r="L423" t="s">
        <v>30</v>
      </c>
      <c r="M423" t="s">
        <v>31</v>
      </c>
      <c r="N423" t="s">
        <v>991</v>
      </c>
      <c r="Q423" s="4">
        <v>1</v>
      </c>
    </row>
    <row r="424" spans="1:20" s="16" customFormat="1" ht="18.5" thickBot="1" x14ac:dyDescent="0.6">
      <c r="A424" s="16" t="s">
        <v>4552</v>
      </c>
      <c r="C424" s="16" t="s">
        <v>1008</v>
      </c>
      <c r="D424" s="16" t="s">
        <v>1009</v>
      </c>
      <c r="E424" s="16" t="s">
        <v>39</v>
      </c>
      <c r="F424" s="16" t="s">
        <v>30</v>
      </c>
      <c r="G424" s="16" t="s">
        <v>31</v>
      </c>
      <c r="H424" s="16" t="s">
        <v>991</v>
      </c>
      <c r="I424" s="16" t="s">
        <v>2254</v>
      </c>
      <c r="J424" s="16" t="s">
        <v>2255</v>
      </c>
      <c r="K424" s="16" t="s">
        <v>39</v>
      </c>
      <c r="L424" s="16" t="s">
        <v>30</v>
      </c>
      <c r="M424" s="16" t="s">
        <v>31</v>
      </c>
      <c r="N424" s="16" t="s">
        <v>991</v>
      </c>
      <c r="Q424" s="17">
        <f>S424/T424</f>
        <v>0.13333333333333333</v>
      </c>
      <c r="S424" s="16">
        <f>MID(D424,FIND("x",D424)+6,3)*1</f>
        <v>800</v>
      </c>
      <c r="T424" s="16">
        <v>6000</v>
      </c>
    </row>
    <row r="425" spans="1:20" x14ac:dyDescent="0.55000000000000004">
      <c r="A425" t="s">
        <v>1618</v>
      </c>
      <c r="C425" t="s">
        <v>213</v>
      </c>
      <c r="D425" t="s">
        <v>214</v>
      </c>
      <c r="E425" t="s">
        <v>35</v>
      </c>
      <c r="F425" t="s">
        <v>30</v>
      </c>
      <c r="G425" t="s">
        <v>31</v>
      </c>
      <c r="H425" t="s">
        <v>36</v>
      </c>
      <c r="I425" t="s">
        <v>215</v>
      </c>
      <c r="J425" t="s">
        <v>216</v>
      </c>
      <c r="K425" t="s">
        <v>39</v>
      </c>
      <c r="L425" t="s">
        <v>30</v>
      </c>
      <c r="M425" t="s">
        <v>31</v>
      </c>
      <c r="N425" t="s">
        <v>4003</v>
      </c>
      <c r="Q425" s="4">
        <v>1</v>
      </c>
    </row>
    <row r="426" spans="1:20" x14ac:dyDescent="0.55000000000000004">
      <c r="A426" t="s">
        <v>4553</v>
      </c>
      <c r="C426" t="s">
        <v>215</v>
      </c>
      <c r="D426" t="s">
        <v>216</v>
      </c>
      <c r="E426" t="s">
        <v>39</v>
      </c>
      <c r="F426" t="s">
        <v>30</v>
      </c>
      <c r="G426" t="s">
        <v>31</v>
      </c>
      <c r="H426" s="11" t="s">
        <v>991</v>
      </c>
      <c r="I426" t="s">
        <v>986</v>
      </c>
      <c r="J426" t="s">
        <v>987</v>
      </c>
      <c r="K426" t="s">
        <v>362</v>
      </c>
      <c r="L426" t="s">
        <v>30</v>
      </c>
      <c r="M426" t="s">
        <v>31</v>
      </c>
      <c r="Q426" s="4">
        <v>1</v>
      </c>
    </row>
    <row r="427" spans="1:20" x14ac:dyDescent="0.55000000000000004">
      <c r="A427" t="s">
        <v>1623</v>
      </c>
      <c r="C427" t="s">
        <v>215</v>
      </c>
      <c r="D427" t="s">
        <v>216</v>
      </c>
      <c r="E427" t="s">
        <v>39</v>
      </c>
      <c r="F427" t="s">
        <v>30</v>
      </c>
      <c r="G427" t="s">
        <v>31</v>
      </c>
      <c r="H427" s="11" t="s">
        <v>991</v>
      </c>
      <c r="I427" t="s">
        <v>1014</v>
      </c>
      <c r="J427" t="s">
        <v>1015</v>
      </c>
      <c r="K427" t="s">
        <v>39</v>
      </c>
      <c r="L427" t="s">
        <v>30</v>
      </c>
      <c r="M427" t="s">
        <v>31</v>
      </c>
      <c r="N427" t="s">
        <v>991</v>
      </c>
      <c r="Q427" s="4">
        <v>1</v>
      </c>
    </row>
    <row r="428" spans="1:20" s="16" customFormat="1" ht="18.5" thickBot="1" x14ac:dyDescent="0.6">
      <c r="A428" s="16" t="s">
        <v>4554</v>
      </c>
      <c r="C428" s="16" t="s">
        <v>1014</v>
      </c>
      <c r="D428" s="16" t="s">
        <v>1015</v>
      </c>
      <c r="E428" s="16" t="s">
        <v>39</v>
      </c>
      <c r="F428" s="16" t="s">
        <v>30</v>
      </c>
      <c r="G428" s="16" t="s">
        <v>31</v>
      </c>
      <c r="H428" s="16" t="s">
        <v>991</v>
      </c>
      <c r="I428" s="16" t="s">
        <v>2254</v>
      </c>
      <c r="J428" s="16" t="s">
        <v>2255</v>
      </c>
      <c r="K428" s="16" t="s">
        <v>39</v>
      </c>
      <c r="L428" s="16" t="s">
        <v>30</v>
      </c>
      <c r="M428" s="16" t="s">
        <v>31</v>
      </c>
      <c r="N428" s="16" t="s">
        <v>991</v>
      </c>
      <c r="Q428" s="17">
        <f>S428/T428</f>
        <v>0.15</v>
      </c>
      <c r="S428" s="16">
        <f>MID(D428,FIND("x",D428)+6,3)*1</f>
        <v>900</v>
      </c>
      <c r="T428" s="16">
        <v>6000</v>
      </c>
    </row>
    <row r="429" spans="1:20" x14ac:dyDescent="0.55000000000000004">
      <c r="A429" t="s">
        <v>1628</v>
      </c>
      <c r="C429" t="s">
        <v>218</v>
      </c>
      <c r="D429" t="s">
        <v>219</v>
      </c>
      <c r="E429" t="s">
        <v>35</v>
      </c>
      <c r="F429" t="s">
        <v>30</v>
      </c>
      <c r="G429" t="s">
        <v>31</v>
      </c>
      <c r="H429" t="s">
        <v>36</v>
      </c>
      <c r="I429" t="s">
        <v>220</v>
      </c>
      <c r="J429" t="s">
        <v>221</v>
      </c>
      <c r="K429" t="s">
        <v>39</v>
      </c>
      <c r="L429" t="s">
        <v>30</v>
      </c>
      <c r="M429" t="s">
        <v>31</v>
      </c>
      <c r="N429" t="s">
        <v>4003</v>
      </c>
      <c r="Q429" s="4">
        <v>1</v>
      </c>
    </row>
    <row r="430" spans="1:20" x14ac:dyDescent="0.55000000000000004">
      <c r="A430" t="s">
        <v>4555</v>
      </c>
      <c r="C430" t="s">
        <v>220</v>
      </c>
      <c r="D430" t="s">
        <v>221</v>
      </c>
      <c r="E430" t="s">
        <v>39</v>
      </c>
      <c r="F430" t="s">
        <v>30</v>
      </c>
      <c r="G430" t="s">
        <v>31</v>
      </c>
      <c r="H430" s="11" t="s">
        <v>991</v>
      </c>
      <c r="I430" t="s">
        <v>986</v>
      </c>
      <c r="J430" t="s">
        <v>987</v>
      </c>
      <c r="K430" t="s">
        <v>362</v>
      </c>
      <c r="L430" t="s">
        <v>30</v>
      </c>
      <c r="M430" t="s">
        <v>31</v>
      </c>
      <c r="Q430" s="4">
        <v>1</v>
      </c>
    </row>
    <row r="431" spans="1:20" x14ac:dyDescent="0.55000000000000004">
      <c r="A431" t="s">
        <v>1633</v>
      </c>
      <c r="C431" t="s">
        <v>220</v>
      </c>
      <c r="D431" t="s">
        <v>221</v>
      </c>
      <c r="E431" t="s">
        <v>39</v>
      </c>
      <c r="F431" t="s">
        <v>30</v>
      </c>
      <c r="G431" t="s">
        <v>31</v>
      </c>
      <c r="H431" s="11" t="s">
        <v>991</v>
      </c>
      <c r="I431" t="s">
        <v>1020</v>
      </c>
      <c r="J431" t="s">
        <v>1021</v>
      </c>
      <c r="K431" t="s">
        <v>39</v>
      </c>
      <c r="L431" t="s">
        <v>30</v>
      </c>
      <c r="M431" t="s">
        <v>31</v>
      </c>
      <c r="N431" t="s">
        <v>991</v>
      </c>
      <c r="Q431" s="4">
        <v>1</v>
      </c>
    </row>
    <row r="432" spans="1:20" s="16" customFormat="1" ht="18.5" thickBot="1" x14ac:dyDescent="0.6">
      <c r="A432" s="16" t="s">
        <v>4556</v>
      </c>
      <c r="C432" s="16" t="s">
        <v>1020</v>
      </c>
      <c r="D432" s="16" t="s">
        <v>1021</v>
      </c>
      <c r="E432" s="16" t="s">
        <v>39</v>
      </c>
      <c r="F432" s="16" t="s">
        <v>30</v>
      </c>
      <c r="G432" s="16" t="s">
        <v>31</v>
      </c>
      <c r="H432" s="16" t="s">
        <v>991</v>
      </c>
      <c r="I432" s="16" t="s">
        <v>2254</v>
      </c>
      <c r="J432" s="16" t="s">
        <v>2255</v>
      </c>
      <c r="K432" s="16" t="s">
        <v>39</v>
      </c>
      <c r="L432" s="16" t="s">
        <v>30</v>
      </c>
      <c r="M432" s="16" t="s">
        <v>31</v>
      </c>
      <c r="N432" s="16" t="s">
        <v>991</v>
      </c>
      <c r="Q432" s="17">
        <f>S432/T432</f>
        <v>0.16666666666666666</v>
      </c>
      <c r="S432" s="16">
        <f>MID(D432,FIND("x",D432)+7,4)*1</f>
        <v>1000</v>
      </c>
      <c r="T432" s="16">
        <v>6000</v>
      </c>
    </row>
    <row r="433" spans="1:20" x14ac:dyDescent="0.55000000000000004">
      <c r="A433" t="s">
        <v>1638</v>
      </c>
      <c r="C433" t="s">
        <v>223</v>
      </c>
      <c r="D433" t="s">
        <v>224</v>
      </c>
      <c r="E433" t="s">
        <v>35</v>
      </c>
      <c r="F433" t="s">
        <v>30</v>
      </c>
      <c r="G433" t="s">
        <v>31</v>
      </c>
      <c r="H433" t="s">
        <v>36</v>
      </c>
      <c r="I433" t="s">
        <v>225</v>
      </c>
      <c r="J433" t="s">
        <v>226</v>
      </c>
      <c r="K433" t="s">
        <v>39</v>
      </c>
      <c r="L433" t="s">
        <v>30</v>
      </c>
      <c r="M433" t="s">
        <v>31</v>
      </c>
      <c r="N433" t="s">
        <v>4003</v>
      </c>
      <c r="Q433" s="4">
        <v>1</v>
      </c>
    </row>
    <row r="434" spans="1:20" x14ac:dyDescent="0.55000000000000004">
      <c r="A434" t="s">
        <v>4557</v>
      </c>
      <c r="C434" t="s">
        <v>225</v>
      </c>
      <c r="D434" t="s">
        <v>226</v>
      </c>
      <c r="E434" t="s">
        <v>39</v>
      </c>
      <c r="F434" t="s">
        <v>30</v>
      </c>
      <c r="G434" t="s">
        <v>31</v>
      </c>
      <c r="H434" s="11" t="s">
        <v>991</v>
      </c>
      <c r="I434" t="s">
        <v>986</v>
      </c>
      <c r="J434" t="s">
        <v>987</v>
      </c>
      <c r="K434" t="s">
        <v>362</v>
      </c>
      <c r="L434" t="s">
        <v>30</v>
      </c>
      <c r="M434" t="s">
        <v>31</v>
      </c>
      <c r="Q434" s="4">
        <v>1</v>
      </c>
    </row>
    <row r="435" spans="1:20" x14ac:dyDescent="0.55000000000000004">
      <c r="A435" t="s">
        <v>1643</v>
      </c>
      <c r="C435" t="s">
        <v>225</v>
      </c>
      <c r="D435" t="s">
        <v>226</v>
      </c>
      <c r="E435" t="s">
        <v>39</v>
      </c>
      <c r="F435" t="s">
        <v>30</v>
      </c>
      <c r="G435" t="s">
        <v>31</v>
      </c>
      <c r="H435" s="11" t="s">
        <v>991</v>
      </c>
      <c r="I435" t="s">
        <v>1026</v>
      </c>
      <c r="J435" t="s">
        <v>1027</v>
      </c>
      <c r="K435" t="s">
        <v>39</v>
      </c>
      <c r="L435" t="s">
        <v>30</v>
      </c>
      <c r="M435" t="s">
        <v>31</v>
      </c>
      <c r="N435" t="s">
        <v>991</v>
      </c>
      <c r="Q435" s="4">
        <v>1</v>
      </c>
    </row>
    <row r="436" spans="1:20" s="16" customFormat="1" ht="18.5" thickBot="1" x14ac:dyDescent="0.6">
      <c r="A436" s="16" t="s">
        <v>4558</v>
      </c>
      <c r="C436" s="16" t="s">
        <v>1026</v>
      </c>
      <c r="D436" s="16" t="s">
        <v>1027</v>
      </c>
      <c r="E436" s="16" t="s">
        <v>39</v>
      </c>
      <c r="F436" s="16" t="s">
        <v>30</v>
      </c>
      <c r="G436" s="16" t="s">
        <v>31</v>
      </c>
      <c r="H436" s="16" t="s">
        <v>991</v>
      </c>
      <c r="I436" s="16" t="s">
        <v>2254</v>
      </c>
      <c r="J436" s="16" t="s">
        <v>2255</v>
      </c>
      <c r="K436" s="16" t="s">
        <v>39</v>
      </c>
      <c r="L436" s="16" t="s">
        <v>30</v>
      </c>
      <c r="M436" s="16" t="s">
        <v>31</v>
      </c>
      <c r="N436" s="16" t="s">
        <v>991</v>
      </c>
      <c r="Q436" s="17">
        <f>S436/T436</f>
        <v>0.18333333333333332</v>
      </c>
      <c r="S436" s="16">
        <f>MID(D436,FIND("x",D436)+7,4)*1</f>
        <v>1100</v>
      </c>
      <c r="T436" s="16">
        <v>6000</v>
      </c>
    </row>
    <row r="437" spans="1:20" x14ac:dyDescent="0.55000000000000004">
      <c r="A437" t="s">
        <v>1648</v>
      </c>
      <c r="C437" t="s">
        <v>228</v>
      </c>
      <c r="D437" t="s">
        <v>229</v>
      </c>
      <c r="E437" t="s">
        <v>35</v>
      </c>
      <c r="F437" t="s">
        <v>30</v>
      </c>
      <c r="G437" t="s">
        <v>31</v>
      </c>
      <c r="H437" t="s">
        <v>36</v>
      </c>
      <c r="I437" t="s">
        <v>230</v>
      </c>
      <c r="J437" t="s">
        <v>231</v>
      </c>
      <c r="K437" t="s">
        <v>39</v>
      </c>
      <c r="L437" t="s">
        <v>30</v>
      </c>
      <c r="M437" t="s">
        <v>31</v>
      </c>
      <c r="N437" t="s">
        <v>4003</v>
      </c>
      <c r="Q437" s="4">
        <v>1</v>
      </c>
    </row>
    <row r="438" spans="1:20" x14ac:dyDescent="0.55000000000000004">
      <c r="A438" t="s">
        <v>4559</v>
      </c>
      <c r="C438" t="s">
        <v>230</v>
      </c>
      <c r="D438" t="s">
        <v>231</v>
      </c>
      <c r="E438" t="s">
        <v>39</v>
      </c>
      <c r="F438" t="s">
        <v>30</v>
      </c>
      <c r="G438" t="s">
        <v>31</v>
      </c>
      <c r="H438" s="11" t="s">
        <v>991</v>
      </c>
      <c r="I438" t="s">
        <v>986</v>
      </c>
      <c r="J438" t="s">
        <v>987</v>
      </c>
      <c r="K438" t="s">
        <v>362</v>
      </c>
      <c r="L438" t="s">
        <v>30</v>
      </c>
      <c r="M438" t="s">
        <v>31</v>
      </c>
      <c r="Q438" s="4">
        <v>1</v>
      </c>
    </row>
    <row r="439" spans="1:20" x14ac:dyDescent="0.55000000000000004">
      <c r="A439" t="s">
        <v>1653</v>
      </c>
      <c r="C439" t="s">
        <v>230</v>
      </c>
      <c r="D439" t="s">
        <v>231</v>
      </c>
      <c r="E439" t="s">
        <v>39</v>
      </c>
      <c r="F439" t="s">
        <v>30</v>
      </c>
      <c r="G439" t="s">
        <v>31</v>
      </c>
      <c r="H439" s="11" t="s">
        <v>991</v>
      </c>
      <c r="I439" t="s">
        <v>1032</v>
      </c>
      <c r="J439" t="s">
        <v>1033</v>
      </c>
      <c r="K439" t="s">
        <v>39</v>
      </c>
      <c r="L439" t="s">
        <v>30</v>
      </c>
      <c r="M439" t="s">
        <v>31</v>
      </c>
      <c r="N439" t="s">
        <v>991</v>
      </c>
      <c r="Q439" s="4">
        <v>1</v>
      </c>
    </row>
    <row r="440" spans="1:20" s="16" customFormat="1" ht="18.5" thickBot="1" x14ac:dyDescent="0.6">
      <c r="A440" s="16" t="s">
        <v>4560</v>
      </c>
      <c r="C440" s="16" t="s">
        <v>1032</v>
      </c>
      <c r="D440" s="16" t="s">
        <v>1033</v>
      </c>
      <c r="E440" s="16" t="s">
        <v>39</v>
      </c>
      <c r="F440" s="16" t="s">
        <v>30</v>
      </c>
      <c r="G440" s="16" t="s">
        <v>31</v>
      </c>
      <c r="H440" s="16" t="s">
        <v>991</v>
      </c>
      <c r="I440" s="16" t="s">
        <v>2254</v>
      </c>
      <c r="J440" s="16" t="s">
        <v>2255</v>
      </c>
      <c r="K440" s="16" t="s">
        <v>39</v>
      </c>
      <c r="L440" s="16" t="s">
        <v>30</v>
      </c>
      <c r="M440" s="16" t="s">
        <v>31</v>
      </c>
      <c r="N440" s="16" t="s">
        <v>991</v>
      </c>
      <c r="Q440" s="17">
        <f>S440/T440</f>
        <v>0.2</v>
      </c>
      <c r="S440" s="16">
        <f>MID(D440,FIND("x",D440)+7,4)*1</f>
        <v>1200</v>
      </c>
      <c r="T440" s="16">
        <v>6000</v>
      </c>
    </row>
    <row r="441" spans="1:20" x14ac:dyDescent="0.55000000000000004">
      <c r="A441" t="s">
        <v>1658</v>
      </c>
      <c r="C441" t="s">
        <v>233</v>
      </c>
      <c r="D441" t="s">
        <v>234</v>
      </c>
      <c r="E441" t="s">
        <v>35</v>
      </c>
      <c r="F441" t="s">
        <v>30</v>
      </c>
      <c r="G441" t="s">
        <v>31</v>
      </c>
      <c r="H441" t="s">
        <v>36</v>
      </c>
      <c r="I441" t="s">
        <v>235</v>
      </c>
      <c r="J441" t="s">
        <v>236</v>
      </c>
      <c r="K441" t="s">
        <v>39</v>
      </c>
      <c r="L441" t="s">
        <v>30</v>
      </c>
      <c r="M441" t="s">
        <v>31</v>
      </c>
      <c r="N441" t="s">
        <v>4003</v>
      </c>
      <c r="Q441" s="4">
        <v>1</v>
      </c>
    </row>
    <row r="442" spans="1:20" x14ac:dyDescent="0.55000000000000004">
      <c r="A442" t="s">
        <v>4561</v>
      </c>
      <c r="C442" t="s">
        <v>235</v>
      </c>
      <c r="D442" t="s">
        <v>236</v>
      </c>
      <c r="E442" t="s">
        <v>39</v>
      </c>
      <c r="F442" t="s">
        <v>30</v>
      </c>
      <c r="G442" t="s">
        <v>31</v>
      </c>
      <c r="H442" s="11" t="s">
        <v>991</v>
      </c>
      <c r="I442" t="s">
        <v>986</v>
      </c>
      <c r="J442" t="s">
        <v>987</v>
      </c>
      <c r="K442" t="s">
        <v>362</v>
      </c>
      <c r="L442" t="s">
        <v>30</v>
      </c>
      <c r="M442" t="s">
        <v>31</v>
      </c>
      <c r="Q442" s="4">
        <v>1</v>
      </c>
    </row>
    <row r="443" spans="1:20" x14ac:dyDescent="0.55000000000000004">
      <c r="A443" t="s">
        <v>1663</v>
      </c>
      <c r="C443" t="s">
        <v>235</v>
      </c>
      <c r="D443" t="s">
        <v>236</v>
      </c>
      <c r="E443" t="s">
        <v>39</v>
      </c>
      <c r="F443" t="s">
        <v>30</v>
      </c>
      <c r="G443" t="s">
        <v>31</v>
      </c>
      <c r="H443" s="11" t="s">
        <v>991</v>
      </c>
      <c r="I443" t="s">
        <v>1038</v>
      </c>
      <c r="J443" t="s">
        <v>1039</v>
      </c>
      <c r="K443" t="s">
        <v>39</v>
      </c>
      <c r="L443" t="s">
        <v>30</v>
      </c>
      <c r="M443" t="s">
        <v>31</v>
      </c>
      <c r="N443" t="s">
        <v>991</v>
      </c>
      <c r="Q443" s="4">
        <v>1</v>
      </c>
    </row>
    <row r="444" spans="1:20" s="16" customFormat="1" ht="18.5" thickBot="1" x14ac:dyDescent="0.6">
      <c r="A444" s="16" t="s">
        <v>4562</v>
      </c>
      <c r="C444" s="16" t="s">
        <v>1038</v>
      </c>
      <c r="D444" s="16" t="s">
        <v>1039</v>
      </c>
      <c r="E444" s="16" t="s">
        <v>39</v>
      </c>
      <c r="F444" s="16" t="s">
        <v>30</v>
      </c>
      <c r="G444" s="16" t="s">
        <v>31</v>
      </c>
      <c r="H444" s="16" t="s">
        <v>991</v>
      </c>
      <c r="I444" s="16" t="s">
        <v>2254</v>
      </c>
      <c r="J444" s="16" t="s">
        <v>2255</v>
      </c>
      <c r="K444" s="16" t="s">
        <v>39</v>
      </c>
      <c r="L444" s="16" t="s">
        <v>30</v>
      </c>
      <c r="M444" s="16" t="s">
        <v>31</v>
      </c>
      <c r="N444" s="16" t="s">
        <v>991</v>
      </c>
      <c r="Q444" s="17">
        <f>S444/T444</f>
        <v>0.21666666666666667</v>
      </c>
      <c r="S444" s="16">
        <f>MID(D444,FIND("x",D444)+7,4)*1</f>
        <v>1300</v>
      </c>
      <c r="T444" s="16">
        <v>6000</v>
      </c>
    </row>
    <row r="445" spans="1:20" x14ac:dyDescent="0.55000000000000004">
      <c r="A445" t="s">
        <v>1668</v>
      </c>
      <c r="C445" t="s">
        <v>238</v>
      </c>
      <c r="D445" t="s">
        <v>239</v>
      </c>
      <c r="E445" t="s">
        <v>35</v>
      </c>
      <c r="F445" t="s">
        <v>30</v>
      </c>
      <c r="G445" t="s">
        <v>31</v>
      </c>
      <c r="H445" t="s">
        <v>36</v>
      </c>
      <c r="I445" t="s">
        <v>240</v>
      </c>
      <c r="J445" t="s">
        <v>241</v>
      </c>
      <c r="K445" t="s">
        <v>39</v>
      </c>
      <c r="L445" t="s">
        <v>30</v>
      </c>
      <c r="M445" t="s">
        <v>31</v>
      </c>
      <c r="N445" t="s">
        <v>4003</v>
      </c>
      <c r="Q445" s="4">
        <v>1</v>
      </c>
    </row>
    <row r="446" spans="1:20" x14ac:dyDescent="0.55000000000000004">
      <c r="A446" t="s">
        <v>4563</v>
      </c>
      <c r="C446" t="s">
        <v>240</v>
      </c>
      <c r="D446" t="s">
        <v>241</v>
      </c>
      <c r="E446" t="s">
        <v>39</v>
      </c>
      <c r="F446" t="s">
        <v>30</v>
      </c>
      <c r="G446" t="s">
        <v>31</v>
      </c>
      <c r="H446" s="11" t="s">
        <v>991</v>
      </c>
      <c r="I446" t="s">
        <v>986</v>
      </c>
      <c r="J446" t="s">
        <v>987</v>
      </c>
      <c r="K446" t="s">
        <v>362</v>
      </c>
      <c r="L446" t="s">
        <v>30</v>
      </c>
      <c r="M446" t="s">
        <v>31</v>
      </c>
      <c r="Q446" s="4">
        <v>1</v>
      </c>
    </row>
    <row r="447" spans="1:20" x14ac:dyDescent="0.55000000000000004">
      <c r="A447" t="s">
        <v>1673</v>
      </c>
      <c r="C447" t="s">
        <v>240</v>
      </c>
      <c r="D447" t="s">
        <v>241</v>
      </c>
      <c r="E447" t="s">
        <v>39</v>
      </c>
      <c r="F447" t="s">
        <v>30</v>
      </c>
      <c r="G447" t="s">
        <v>31</v>
      </c>
      <c r="H447" s="11" t="s">
        <v>991</v>
      </c>
      <c r="I447" t="s">
        <v>1044</v>
      </c>
      <c r="J447" t="s">
        <v>1045</v>
      </c>
      <c r="K447" t="s">
        <v>39</v>
      </c>
      <c r="L447" t="s">
        <v>30</v>
      </c>
      <c r="M447" t="s">
        <v>31</v>
      </c>
      <c r="N447" t="s">
        <v>991</v>
      </c>
      <c r="Q447" s="4">
        <v>1</v>
      </c>
    </row>
    <row r="448" spans="1:20" s="16" customFormat="1" ht="18.5" thickBot="1" x14ac:dyDescent="0.6">
      <c r="A448" s="16" t="s">
        <v>1676</v>
      </c>
      <c r="C448" s="16" t="s">
        <v>1044</v>
      </c>
      <c r="D448" s="16" t="s">
        <v>1045</v>
      </c>
      <c r="E448" s="16" t="s">
        <v>39</v>
      </c>
      <c r="F448" s="16" t="s">
        <v>30</v>
      </c>
      <c r="G448" s="16" t="s">
        <v>31</v>
      </c>
      <c r="H448" s="16" t="s">
        <v>991</v>
      </c>
      <c r="I448" s="16" t="s">
        <v>2254</v>
      </c>
      <c r="J448" s="16" t="s">
        <v>2255</v>
      </c>
      <c r="K448" s="16" t="s">
        <v>39</v>
      </c>
      <c r="L448" s="16" t="s">
        <v>30</v>
      </c>
      <c r="M448" s="16" t="s">
        <v>31</v>
      </c>
      <c r="N448" s="16" t="s">
        <v>991</v>
      </c>
      <c r="Q448" s="17">
        <f>S448/T448</f>
        <v>0.23333333333333334</v>
      </c>
      <c r="S448" s="16">
        <f>MID(D448,FIND("x",D448)+7,4)*1</f>
        <v>1400</v>
      </c>
      <c r="T448" s="16">
        <v>6000</v>
      </c>
    </row>
    <row r="449" spans="1:20" x14ac:dyDescent="0.55000000000000004">
      <c r="A449" t="s">
        <v>1679</v>
      </c>
      <c r="C449" t="s">
        <v>243</v>
      </c>
      <c r="D449" t="s">
        <v>244</v>
      </c>
      <c r="E449" t="s">
        <v>35</v>
      </c>
      <c r="F449" t="s">
        <v>30</v>
      </c>
      <c r="G449" t="s">
        <v>31</v>
      </c>
      <c r="H449" t="s">
        <v>36</v>
      </c>
      <c r="I449" t="s">
        <v>245</v>
      </c>
      <c r="J449" t="s">
        <v>246</v>
      </c>
      <c r="K449" t="s">
        <v>39</v>
      </c>
      <c r="L449" t="s">
        <v>30</v>
      </c>
      <c r="M449" t="s">
        <v>31</v>
      </c>
      <c r="N449" t="s">
        <v>4003</v>
      </c>
      <c r="Q449" s="4">
        <v>1</v>
      </c>
    </row>
    <row r="450" spans="1:20" x14ac:dyDescent="0.55000000000000004">
      <c r="A450" t="s">
        <v>1682</v>
      </c>
      <c r="C450" t="s">
        <v>245</v>
      </c>
      <c r="D450" t="s">
        <v>246</v>
      </c>
      <c r="E450" t="s">
        <v>39</v>
      </c>
      <c r="F450" t="s">
        <v>30</v>
      </c>
      <c r="G450" t="s">
        <v>31</v>
      </c>
      <c r="H450" s="11" t="s">
        <v>991</v>
      </c>
      <c r="I450" t="s">
        <v>986</v>
      </c>
      <c r="J450" t="s">
        <v>987</v>
      </c>
      <c r="K450" t="s">
        <v>362</v>
      </c>
      <c r="L450" t="s">
        <v>30</v>
      </c>
      <c r="M450" t="s">
        <v>31</v>
      </c>
      <c r="Q450" s="4">
        <v>1</v>
      </c>
    </row>
    <row r="451" spans="1:20" x14ac:dyDescent="0.55000000000000004">
      <c r="A451" t="s">
        <v>1685</v>
      </c>
      <c r="C451" t="s">
        <v>245</v>
      </c>
      <c r="D451" t="s">
        <v>246</v>
      </c>
      <c r="E451" t="s">
        <v>39</v>
      </c>
      <c r="F451" t="s">
        <v>30</v>
      </c>
      <c r="G451" t="s">
        <v>31</v>
      </c>
      <c r="H451" s="11" t="s">
        <v>991</v>
      </c>
      <c r="I451" t="s">
        <v>1050</v>
      </c>
      <c r="J451" t="s">
        <v>1051</v>
      </c>
      <c r="K451" t="s">
        <v>39</v>
      </c>
      <c r="L451" t="s">
        <v>30</v>
      </c>
      <c r="M451" t="s">
        <v>31</v>
      </c>
      <c r="N451" t="s">
        <v>991</v>
      </c>
      <c r="Q451" s="4">
        <v>1</v>
      </c>
    </row>
    <row r="452" spans="1:20" s="16" customFormat="1" ht="18.5" thickBot="1" x14ac:dyDescent="0.6">
      <c r="A452" s="16" t="s">
        <v>1688</v>
      </c>
      <c r="C452" s="16" t="s">
        <v>1050</v>
      </c>
      <c r="D452" s="16" t="s">
        <v>1051</v>
      </c>
      <c r="E452" s="16" t="s">
        <v>39</v>
      </c>
      <c r="F452" s="16" t="s">
        <v>30</v>
      </c>
      <c r="G452" s="16" t="s">
        <v>31</v>
      </c>
      <c r="H452" s="16" t="s">
        <v>991</v>
      </c>
      <c r="I452" s="16" t="s">
        <v>2254</v>
      </c>
      <c r="J452" s="16" t="s">
        <v>2255</v>
      </c>
      <c r="K452" s="16" t="s">
        <v>39</v>
      </c>
      <c r="L452" s="16" t="s">
        <v>30</v>
      </c>
      <c r="M452" s="16" t="s">
        <v>31</v>
      </c>
      <c r="N452" s="16" t="s">
        <v>991</v>
      </c>
      <c r="Q452" s="17">
        <f>S452/T452</f>
        <v>0.25</v>
      </c>
      <c r="S452" s="16">
        <f>MID(D452,FIND("x",D452)+7,4)*1</f>
        <v>1500</v>
      </c>
      <c r="T452" s="16">
        <v>6000</v>
      </c>
    </row>
    <row r="453" spans="1:20" x14ac:dyDescent="0.55000000000000004">
      <c r="A453" t="s">
        <v>1691</v>
      </c>
      <c r="C453" t="s">
        <v>248</v>
      </c>
      <c r="D453" t="s">
        <v>249</v>
      </c>
      <c r="E453" t="s">
        <v>35</v>
      </c>
      <c r="F453" t="s">
        <v>30</v>
      </c>
      <c r="G453" t="s">
        <v>31</v>
      </c>
      <c r="H453" t="s">
        <v>36</v>
      </c>
      <c r="I453" t="s">
        <v>250</v>
      </c>
      <c r="J453" t="s">
        <v>251</v>
      </c>
      <c r="K453" t="s">
        <v>39</v>
      </c>
      <c r="L453" t="s">
        <v>30</v>
      </c>
      <c r="M453" t="s">
        <v>31</v>
      </c>
      <c r="N453" t="s">
        <v>4003</v>
      </c>
      <c r="Q453" s="4">
        <v>1</v>
      </c>
    </row>
    <row r="454" spans="1:20" x14ac:dyDescent="0.55000000000000004">
      <c r="A454" t="s">
        <v>1694</v>
      </c>
      <c r="C454" t="s">
        <v>250</v>
      </c>
      <c r="D454" t="s">
        <v>251</v>
      </c>
      <c r="E454" t="s">
        <v>39</v>
      </c>
      <c r="F454" t="s">
        <v>30</v>
      </c>
      <c r="G454" t="s">
        <v>31</v>
      </c>
      <c r="H454" s="11" t="s">
        <v>991</v>
      </c>
      <c r="I454" t="s">
        <v>986</v>
      </c>
      <c r="J454" t="s">
        <v>987</v>
      </c>
      <c r="K454" t="s">
        <v>362</v>
      </c>
      <c r="L454" t="s">
        <v>30</v>
      </c>
      <c r="M454" t="s">
        <v>31</v>
      </c>
      <c r="Q454" s="4">
        <v>1</v>
      </c>
    </row>
    <row r="455" spans="1:20" x14ac:dyDescent="0.55000000000000004">
      <c r="A455" t="s">
        <v>1697</v>
      </c>
      <c r="C455" t="s">
        <v>250</v>
      </c>
      <c r="D455" t="s">
        <v>251</v>
      </c>
      <c r="E455" t="s">
        <v>39</v>
      </c>
      <c r="F455" t="s">
        <v>30</v>
      </c>
      <c r="G455" t="s">
        <v>31</v>
      </c>
      <c r="H455" s="11" t="s">
        <v>991</v>
      </c>
      <c r="I455" t="s">
        <v>1056</v>
      </c>
      <c r="J455" t="s">
        <v>1057</v>
      </c>
      <c r="K455" t="s">
        <v>39</v>
      </c>
      <c r="L455" t="s">
        <v>30</v>
      </c>
      <c r="M455" t="s">
        <v>31</v>
      </c>
      <c r="N455" t="s">
        <v>991</v>
      </c>
      <c r="Q455" s="4">
        <v>1</v>
      </c>
    </row>
    <row r="456" spans="1:20" s="16" customFormat="1" ht="18.5" thickBot="1" x14ac:dyDescent="0.6">
      <c r="A456" s="16" t="s">
        <v>1700</v>
      </c>
      <c r="C456" s="16" t="s">
        <v>1056</v>
      </c>
      <c r="D456" s="16" t="s">
        <v>1057</v>
      </c>
      <c r="E456" s="16" t="s">
        <v>39</v>
      </c>
      <c r="F456" s="16" t="s">
        <v>30</v>
      </c>
      <c r="G456" s="16" t="s">
        <v>31</v>
      </c>
      <c r="H456" s="16" t="s">
        <v>991</v>
      </c>
      <c r="I456" s="16" t="s">
        <v>2254</v>
      </c>
      <c r="J456" s="16" t="s">
        <v>2255</v>
      </c>
      <c r="K456" s="16" t="s">
        <v>39</v>
      </c>
      <c r="L456" s="16" t="s">
        <v>30</v>
      </c>
      <c r="M456" s="16" t="s">
        <v>31</v>
      </c>
      <c r="N456" s="16" t="s">
        <v>991</v>
      </c>
      <c r="Q456" s="17">
        <f>S456/T456</f>
        <v>0.26666666666666666</v>
      </c>
      <c r="S456" s="16">
        <f>MID(D456,FIND("x",D456)+7,4)*1</f>
        <v>1600</v>
      </c>
      <c r="T456" s="16">
        <v>6000</v>
      </c>
    </row>
    <row r="457" spans="1:20" x14ac:dyDescent="0.55000000000000004">
      <c r="A457" t="s">
        <v>1703</v>
      </c>
      <c r="C457" t="s">
        <v>253</v>
      </c>
      <c r="D457" t="s">
        <v>254</v>
      </c>
      <c r="E457" t="s">
        <v>35</v>
      </c>
      <c r="F457" t="s">
        <v>30</v>
      </c>
      <c r="G457" t="s">
        <v>31</v>
      </c>
      <c r="H457" t="s">
        <v>36</v>
      </c>
      <c r="I457" t="s">
        <v>255</v>
      </c>
      <c r="J457" t="s">
        <v>256</v>
      </c>
      <c r="K457" t="s">
        <v>39</v>
      </c>
      <c r="L457" t="s">
        <v>30</v>
      </c>
      <c r="M457" t="s">
        <v>31</v>
      </c>
      <c r="N457" t="s">
        <v>4003</v>
      </c>
      <c r="Q457" s="4">
        <v>1</v>
      </c>
    </row>
    <row r="458" spans="1:20" x14ac:dyDescent="0.55000000000000004">
      <c r="A458" t="s">
        <v>1706</v>
      </c>
      <c r="C458" t="s">
        <v>255</v>
      </c>
      <c r="D458" t="s">
        <v>256</v>
      </c>
      <c r="E458" t="s">
        <v>39</v>
      </c>
      <c r="F458" t="s">
        <v>30</v>
      </c>
      <c r="G458" t="s">
        <v>31</v>
      </c>
      <c r="H458" s="11" t="s">
        <v>991</v>
      </c>
      <c r="I458" t="s">
        <v>986</v>
      </c>
      <c r="J458" t="s">
        <v>987</v>
      </c>
      <c r="K458" t="s">
        <v>362</v>
      </c>
      <c r="L458" t="s">
        <v>30</v>
      </c>
      <c r="M458" t="s">
        <v>31</v>
      </c>
      <c r="Q458" s="4">
        <v>1</v>
      </c>
    </row>
    <row r="459" spans="1:20" x14ac:dyDescent="0.55000000000000004">
      <c r="A459" t="s">
        <v>1709</v>
      </c>
      <c r="C459" t="s">
        <v>255</v>
      </c>
      <c r="D459" t="s">
        <v>256</v>
      </c>
      <c r="E459" t="s">
        <v>39</v>
      </c>
      <c r="F459" t="s">
        <v>30</v>
      </c>
      <c r="G459" t="s">
        <v>31</v>
      </c>
      <c r="H459" s="11" t="s">
        <v>991</v>
      </c>
      <c r="I459" t="s">
        <v>1062</v>
      </c>
      <c r="J459" t="s">
        <v>1063</v>
      </c>
      <c r="K459" t="s">
        <v>39</v>
      </c>
      <c r="L459" t="s">
        <v>30</v>
      </c>
      <c r="M459" t="s">
        <v>31</v>
      </c>
      <c r="N459" t="s">
        <v>991</v>
      </c>
      <c r="Q459" s="4">
        <v>1</v>
      </c>
    </row>
    <row r="460" spans="1:20" s="16" customFormat="1" ht="18.5" thickBot="1" x14ac:dyDescent="0.6">
      <c r="A460" s="16" t="s">
        <v>1712</v>
      </c>
      <c r="C460" s="16" t="s">
        <v>1062</v>
      </c>
      <c r="D460" s="16" t="s">
        <v>1063</v>
      </c>
      <c r="E460" s="16" t="s">
        <v>39</v>
      </c>
      <c r="F460" s="16" t="s">
        <v>30</v>
      </c>
      <c r="G460" s="16" t="s">
        <v>31</v>
      </c>
      <c r="H460" s="16" t="s">
        <v>991</v>
      </c>
      <c r="I460" s="16" t="s">
        <v>2254</v>
      </c>
      <c r="J460" s="16" t="s">
        <v>2255</v>
      </c>
      <c r="K460" s="16" t="s">
        <v>39</v>
      </c>
      <c r="L460" s="16" t="s">
        <v>30</v>
      </c>
      <c r="M460" s="16" t="s">
        <v>31</v>
      </c>
      <c r="N460" s="16" t="s">
        <v>991</v>
      </c>
      <c r="Q460" s="17">
        <f>S460/T460</f>
        <v>0.28333333333333333</v>
      </c>
      <c r="S460" s="16">
        <f>MID(D460,FIND("x",D460)+7,4)*1</f>
        <v>1700</v>
      </c>
      <c r="T460" s="16">
        <v>6000</v>
      </c>
    </row>
    <row r="461" spans="1:20" x14ac:dyDescent="0.55000000000000004">
      <c r="A461" t="s">
        <v>1715</v>
      </c>
      <c r="C461" t="s">
        <v>258</v>
      </c>
      <c r="D461" t="s">
        <v>259</v>
      </c>
      <c r="E461" t="s">
        <v>35</v>
      </c>
      <c r="F461" t="s">
        <v>30</v>
      </c>
      <c r="G461" t="s">
        <v>31</v>
      </c>
      <c r="H461" t="s">
        <v>36</v>
      </c>
      <c r="I461" t="s">
        <v>260</v>
      </c>
      <c r="J461" t="s">
        <v>261</v>
      </c>
      <c r="K461" t="s">
        <v>39</v>
      </c>
      <c r="L461" t="s">
        <v>30</v>
      </c>
      <c r="M461" t="s">
        <v>31</v>
      </c>
      <c r="N461" t="s">
        <v>4003</v>
      </c>
      <c r="Q461" s="4">
        <v>1</v>
      </c>
    </row>
    <row r="462" spans="1:20" x14ac:dyDescent="0.55000000000000004">
      <c r="A462" t="s">
        <v>1718</v>
      </c>
      <c r="C462" t="s">
        <v>260</v>
      </c>
      <c r="D462" t="s">
        <v>261</v>
      </c>
      <c r="E462" t="s">
        <v>39</v>
      </c>
      <c r="F462" t="s">
        <v>30</v>
      </c>
      <c r="G462" t="s">
        <v>31</v>
      </c>
      <c r="H462" s="11" t="s">
        <v>991</v>
      </c>
      <c r="I462" t="s">
        <v>986</v>
      </c>
      <c r="J462" t="s">
        <v>987</v>
      </c>
      <c r="K462" t="s">
        <v>362</v>
      </c>
      <c r="L462" t="s">
        <v>30</v>
      </c>
      <c r="M462" t="s">
        <v>31</v>
      </c>
      <c r="Q462" s="4">
        <v>1</v>
      </c>
    </row>
    <row r="463" spans="1:20" x14ac:dyDescent="0.55000000000000004">
      <c r="A463" t="s">
        <v>1721</v>
      </c>
      <c r="C463" t="s">
        <v>260</v>
      </c>
      <c r="D463" t="s">
        <v>261</v>
      </c>
      <c r="E463" t="s">
        <v>39</v>
      </c>
      <c r="F463" t="s">
        <v>30</v>
      </c>
      <c r="G463" t="s">
        <v>31</v>
      </c>
      <c r="H463" s="11" t="s">
        <v>991</v>
      </c>
      <c r="I463" t="s">
        <v>1068</v>
      </c>
      <c r="J463" t="s">
        <v>1069</v>
      </c>
      <c r="K463" t="s">
        <v>39</v>
      </c>
      <c r="L463" t="s">
        <v>30</v>
      </c>
      <c r="M463" t="s">
        <v>31</v>
      </c>
      <c r="N463" t="s">
        <v>991</v>
      </c>
      <c r="Q463" s="4">
        <v>1</v>
      </c>
    </row>
    <row r="464" spans="1:20" s="16" customFormat="1" ht="18.5" thickBot="1" x14ac:dyDescent="0.6">
      <c r="A464" s="16" t="s">
        <v>1724</v>
      </c>
      <c r="C464" s="16" t="s">
        <v>1068</v>
      </c>
      <c r="D464" s="16" t="s">
        <v>1069</v>
      </c>
      <c r="E464" s="16" t="s">
        <v>39</v>
      </c>
      <c r="F464" s="16" t="s">
        <v>30</v>
      </c>
      <c r="G464" s="16" t="s">
        <v>31</v>
      </c>
      <c r="H464" s="16" t="s">
        <v>991</v>
      </c>
      <c r="I464" s="16" t="s">
        <v>2254</v>
      </c>
      <c r="J464" s="16" t="s">
        <v>2255</v>
      </c>
      <c r="K464" s="16" t="s">
        <v>39</v>
      </c>
      <c r="L464" s="16" t="s">
        <v>30</v>
      </c>
      <c r="M464" s="16" t="s">
        <v>31</v>
      </c>
      <c r="N464" s="16" t="s">
        <v>991</v>
      </c>
      <c r="Q464" s="17">
        <f>S464/T464</f>
        <v>0.3</v>
      </c>
      <c r="S464" s="16">
        <f>MID(D464,FIND("x",D464)+7,4)*1</f>
        <v>1800</v>
      </c>
      <c r="T464" s="16">
        <v>6000</v>
      </c>
    </row>
    <row r="465" spans="1:20" x14ac:dyDescent="0.55000000000000004">
      <c r="A465" t="s">
        <v>1727</v>
      </c>
      <c r="C465" t="s">
        <v>263</v>
      </c>
      <c r="D465" t="s">
        <v>264</v>
      </c>
      <c r="E465" t="s">
        <v>35</v>
      </c>
      <c r="F465" t="s">
        <v>30</v>
      </c>
      <c r="G465" t="s">
        <v>31</v>
      </c>
      <c r="H465" t="s">
        <v>36</v>
      </c>
      <c r="I465" t="s">
        <v>265</v>
      </c>
      <c r="J465" t="s">
        <v>266</v>
      </c>
      <c r="K465" t="s">
        <v>39</v>
      </c>
      <c r="L465" t="s">
        <v>30</v>
      </c>
      <c r="M465" t="s">
        <v>31</v>
      </c>
      <c r="N465" t="s">
        <v>4003</v>
      </c>
      <c r="Q465" s="4">
        <v>1</v>
      </c>
    </row>
    <row r="466" spans="1:20" x14ac:dyDescent="0.55000000000000004">
      <c r="A466" t="s">
        <v>1730</v>
      </c>
      <c r="C466" t="s">
        <v>265</v>
      </c>
      <c r="D466" t="s">
        <v>266</v>
      </c>
      <c r="E466" t="s">
        <v>39</v>
      </c>
      <c r="F466" t="s">
        <v>30</v>
      </c>
      <c r="G466" t="s">
        <v>31</v>
      </c>
      <c r="H466" s="11" t="s">
        <v>991</v>
      </c>
      <c r="I466" t="s">
        <v>986</v>
      </c>
      <c r="J466" t="s">
        <v>987</v>
      </c>
      <c r="K466" t="s">
        <v>362</v>
      </c>
      <c r="L466" t="s">
        <v>30</v>
      </c>
      <c r="M466" t="s">
        <v>31</v>
      </c>
      <c r="Q466" s="4">
        <v>1</v>
      </c>
    </row>
    <row r="467" spans="1:20" x14ac:dyDescent="0.55000000000000004">
      <c r="A467" t="s">
        <v>1733</v>
      </c>
      <c r="C467" t="s">
        <v>265</v>
      </c>
      <c r="D467" t="s">
        <v>266</v>
      </c>
      <c r="E467" t="s">
        <v>39</v>
      </c>
      <c r="F467" t="s">
        <v>30</v>
      </c>
      <c r="G467" t="s">
        <v>31</v>
      </c>
      <c r="H467" s="11" t="s">
        <v>991</v>
      </c>
      <c r="I467" t="s">
        <v>1074</v>
      </c>
      <c r="J467" t="s">
        <v>1075</v>
      </c>
      <c r="K467" t="s">
        <v>39</v>
      </c>
      <c r="L467" t="s">
        <v>30</v>
      </c>
      <c r="M467" t="s">
        <v>31</v>
      </c>
      <c r="N467" t="s">
        <v>991</v>
      </c>
      <c r="Q467" s="4">
        <v>1</v>
      </c>
    </row>
    <row r="468" spans="1:20" s="16" customFormat="1" ht="18.5" thickBot="1" x14ac:dyDescent="0.6">
      <c r="A468" s="16" t="s">
        <v>1736</v>
      </c>
      <c r="C468" s="16" t="s">
        <v>1074</v>
      </c>
      <c r="D468" s="16" t="s">
        <v>1075</v>
      </c>
      <c r="E468" s="16" t="s">
        <v>39</v>
      </c>
      <c r="F468" s="16" t="s">
        <v>30</v>
      </c>
      <c r="G468" s="16" t="s">
        <v>31</v>
      </c>
      <c r="H468" s="16" t="s">
        <v>991</v>
      </c>
      <c r="I468" s="16" t="s">
        <v>2254</v>
      </c>
      <c r="J468" s="16" t="s">
        <v>2255</v>
      </c>
      <c r="K468" s="16" t="s">
        <v>39</v>
      </c>
      <c r="L468" s="16" t="s">
        <v>30</v>
      </c>
      <c r="M468" s="16" t="s">
        <v>31</v>
      </c>
      <c r="N468" s="16" t="s">
        <v>991</v>
      </c>
      <c r="Q468" s="17">
        <f>S468/T468</f>
        <v>0.31666666666666665</v>
      </c>
      <c r="S468" s="16">
        <f>MID(D468,FIND("x",D468)+7,4)*1</f>
        <v>1900</v>
      </c>
      <c r="T468" s="16">
        <v>6000</v>
      </c>
    </row>
    <row r="469" spans="1:20" x14ac:dyDescent="0.55000000000000004">
      <c r="A469" t="s">
        <v>1739</v>
      </c>
      <c r="C469" t="s">
        <v>268</v>
      </c>
      <c r="D469" t="s">
        <v>269</v>
      </c>
      <c r="E469" t="s">
        <v>35</v>
      </c>
      <c r="F469" t="s">
        <v>30</v>
      </c>
      <c r="G469" t="s">
        <v>31</v>
      </c>
      <c r="H469" t="s">
        <v>36</v>
      </c>
      <c r="I469" t="s">
        <v>270</v>
      </c>
      <c r="J469" t="s">
        <v>271</v>
      </c>
      <c r="K469" t="s">
        <v>39</v>
      </c>
      <c r="L469" t="s">
        <v>30</v>
      </c>
      <c r="M469" t="s">
        <v>31</v>
      </c>
      <c r="N469" t="s">
        <v>4003</v>
      </c>
      <c r="Q469" s="4">
        <v>1</v>
      </c>
    </row>
    <row r="470" spans="1:20" x14ac:dyDescent="0.55000000000000004">
      <c r="A470" t="s">
        <v>1742</v>
      </c>
      <c r="C470" t="s">
        <v>270</v>
      </c>
      <c r="D470" t="s">
        <v>271</v>
      </c>
      <c r="E470" t="s">
        <v>39</v>
      </c>
      <c r="F470" t="s">
        <v>30</v>
      </c>
      <c r="G470" t="s">
        <v>31</v>
      </c>
      <c r="H470" s="11" t="s">
        <v>991</v>
      </c>
      <c r="I470" t="s">
        <v>986</v>
      </c>
      <c r="J470" t="s">
        <v>987</v>
      </c>
      <c r="K470" t="s">
        <v>362</v>
      </c>
      <c r="L470" t="s">
        <v>30</v>
      </c>
      <c r="M470" t="s">
        <v>31</v>
      </c>
      <c r="Q470" s="4">
        <v>1</v>
      </c>
    </row>
    <row r="471" spans="1:20" x14ac:dyDescent="0.55000000000000004">
      <c r="A471" t="s">
        <v>1745</v>
      </c>
      <c r="C471" t="s">
        <v>270</v>
      </c>
      <c r="D471" t="s">
        <v>271</v>
      </c>
      <c r="E471" t="s">
        <v>39</v>
      </c>
      <c r="F471" t="s">
        <v>30</v>
      </c>
      <c r="G471" t="s">
        <v>31</v>
      </c>
      <c r="H471" s="11" t="s">
        <v>991</v>
      </c>
      <c r="I471" t="s">
        <v>1080</v>
      </c>
      <c r="J471" t="s">
        <v>1081</v>
      </c>
      <c r="K471" t="s">
        <v>39</v>
      </c>
      <c r="L471" t="s">
        <v>30</v>
      </c>
      <c r="M471" t="s">
        <v>31</v>
      </c>
      <c r="N471" t="s">
        <v>991</v>
      </c>
      <c r="Q471" s="4">
        <v>1</v>
      </c>
    </row>
    <row r="472" spans="1:20" s="16" customFormat="1" ht="18.5" thickBot="1" x14ac:dyDescent="0.6">
      <c r="A472" s="16" t="s">
        <v>1748</v>
      </c>
      <c r="C472" s="16" t="s">
        <v>1080</v>
      </c>
      <c r="D472" s="16" t="s">
        <v>1081</v>
      </c>
      <c r="E472" s="16" t="s">
        <v>39</v>
      </c>
      <c r="F472" s="16" t="s">
        <v>30</v>
      </c>
      <c r="G472" s="16" t="s">
        <v>31</v>
      </c>
      <c r="H472" s="16" t="s">
        <v>991</v>
      </c>
      <c r="I472" s="16" t="s">
        <v>2254</v>
      </c>
      <c r="J472" s="16" t="s">
        <v>2255</v>
      </c>
      <c r="K472" s="16" t="s">
        <v>39</v>
      </c>
      <c r="L472" s="16" t="s">
        <v>30</v>
      </c>
      <c r="M472" s="16" t="s">
        <v>31</v>
      </c>
      <c r="N472" s="16" t="s">
        <v>991</v>
      </c>
      <c r="Q472" s="17">
        <f>S472/T472</f>
        <v>0.33333333333333331</v>
      </c>
      <c r="S472" s="16">
        <f>MID(D472,FIND("x",D472)+7,4)*1</f>
        <v>2000</v>
      </c>
      <c r="T472" s="16">
        <v>6000</v>
      </c>
    </row>
    <row r="473" spans="1:20" x14ac:dyDescent="0.55000000000000004">
      <c r="A473" t="s">
        <v>1751</v>
      </c>
      <c r="C473" t="s">
        <v>273</v>
      </c>
      <c r="D473" t="s">
        <v>274</v>
      </c>
      <c r="E473" t="s">
        <v>35</v>
      </c>
      <c r="F473" t="s">
        <v>30</v>
      </c>
      <c r="G473" t="s">
        <v>31</v>
      </c>
      <c r="H473" t="s">
        <v>36</v>
      </c>
      <c r="I473" t="s">
        <v>275</v>
      </c>
      <c r="J473" t="s">
        <v>276</v>
      </c>
      <c r="K473" t="s">
        <v>39</v>
      </c>
      <c r="L473" t="s">
        <v>30</v>
      </c>
      <c r="M473" t="s">
        <v>31</v>
      </c>
      <c r="N473" t="s">
        <v>4003</v>
      </c>
      <c r="Q473" s="4">
        <v>1</v>
      </c>
    </row>
    <row r="474" spans="1:20" x14ac:dyDescent="0.55000000000000004">
      <c r="A474" t="s">
        <v>1754</v>
      </c>
      <c r="C474" t="s">
        <v>275</v>
      </c>
      <c r="D474" t="s">
        <v>276</v>
      </c>
      <c r="E474" t="s">
        <v>39</v>
      </c>
      <c r="F474" t="s">
        <v>30</v>
      </c>
      <c r="G474" t="s">
        <v>31</v>
      </c>
      <c r="H474" s="11" t="s">
        <v>991</v>
      </c>
      <c r="I474" t="s">
        <v>986</v>
      </c>
      <c r="J474" t="s">
        <v>987</v>
      </c>
      <c r="K474" t="s">
        <v>362</v>
      </c>
      <c r="L474" t="s">
        <v>30</v>
      </c>
      <c r="M474" t="s">
        <v>31</v>
      </c>
      <c r="Q474" s="4">
        <v>1</v>
      </c>
    </row>
    <row r="475" spans="1:20" x14ac:dyDescent="0.55000000000000004">
      <c r="A475" t="s">
        <v>1757</v>
      </c>
      <c r="C475" t="s">
        <v>275</v>
      </c>
      <c r="D475" t="s">
        <v>276</v>
      </c>
      <c r="E475" t="s">
        <v>39</v>
      </c>
      <c r="F475" t="s">
        <v>30</v>
      </c>
      <c r="G475" t="s">
        <v>31</v>
      </c>
      <c r="H475" s="11" t="s">
        <v>991</v>
      </c>
      <c r="I475" t="s">
        <v>1086</v>
      </c>
      <c r="J475" t="s">
        <v>1087</v>
      </c>
      <c r="K475" t="s">
        <v>39</v>
      </c>
      <c r="L475" t="s">
        <v>30</v>
      </c>
      <c r="M475" t="s">
        <v>31</v>
      </c>
      <c r="N475" t="s">
        <v>991</v>
      </c>
      <c r="Q475" s="4">
        <v>1</v>
      </c>
    </row>
    <row r="476" spans="1:20" s="16" customFormat="1" ht="18.5" thickBot="1" x14ac:dyDescent="0.6">
      <c r="A476" s="16" t="s">
        <v>1760</v>
      </c>
      <c r="C476" s="16" t="s">
        <v>1086</v>
      </c>
      <c r="D476" s="16" t="s">
        <v>1087</v>
      </c>
      <c r="E476" s="16" t="s">
        <v>39</v>
      </c>
      <c r="F476" s="16" t="s">
        <v>30</v>
      </c>
      <c r="G476" s="16" t="s">
        <v>31</v>
      </c>
      <c r="H476" s="16" t="s">
        <v>991</v>
      </c>
      <c r="I476" s="16" t="s">
        <v>2254</v>
      </c>
      <c r="J476" s="16" t="s">
        <v>2255</v>
      </c>
      <c r="K476" s="16" t="s">
        <v>39</v>
      </c>
      <c r="L476" s="16" t="s">
        <v>30</v>
      </c>
      <c r="M476" s="16" t="s">
        <v>31</v>
      </c>
      <c r="N476" s="16" t="s">
        <v>991</v>
      </c>
      <c r="Q476" s="17">
        <f>S476/T476</f>
        <v>0.35</v>
      </c>
      <c r="S476" s="16">
        <f>MID(D476,FIND("x",D476)+7,4)*1</f>
        <v>2100</v>
      </c>
      <c r="T476" s="16">
        <v>6000</v>
      </c>
    </row>
    <row r="477" spans="1:20" x14ac:dyDescent="0.55000000000000004">
      <c r="A477" t="s">
        <v>1763</v>
      </c>
      <c r="C477" t="s">
        <v>278</v>
      </c>
      <c r="D477" t="s">
        <v>279</v>
      </c>
      <c r="E477" t="s">
        <v>35</v>
      </c>
      <c r="F477" t="s">
        <v>30</v>
      </c>
      <c r="G477" t="s">
        <v>31</v>
      </c>
      <c r="H477" t="s">
        <v>36</v>
      </c>
      <c r="I477" t="s">
        <v>280</v>
      </c>
      <c r="J477" t="s">
        <v>281</v>
      </c>
      <c r="K477" t="s">
        <v>39</v>
      </c>
      <c r="L477" t="s">
        <v>30</v>
      </c>
      <c r="M477" t="s">
        <v>31</v>
      </c>
      <c r="N477" t="s">
        <v>4003</v>
      </c>
      <c r="Q477" s="4">
        <v>1</v>
      </c>
    </row>
    <row r="478" spans="1:20" x14ac:dyDescent="0.55000000000000004">
      <c r="A478" t="s">
        <v>1766</v>
      </c>
      <c r="C478" t="s">
        <v>280</v>
      </c>
      <c r="D478" t="s">
        <v>281</v>
      </c>
      <c r="E478" t="s">
        <v>39</v>
      </c>
      <c r="F478" t="s">
        <v>30</v>
      </c>
      <c r="G478" t="s">
        <v>31</v>
      </c>
      <c r="H478" s="11" t="s">
        <v>991</v>
      </c>
      <c r="I478" t="s">
        <v>986</v>
      </c>
      <c r="J478" t="s">
        <v>987</v>
      </c>
      <c r="K478" t="s">
        <v>362</v>
      </c>
      <c r="L478" t="s">
        <v>30</v>
      </c>
      <c r="M478" t="s">
        <v>31</v>
      </c>
      <c r="Q478" s="4">
        <v>1</v>
      </c>
    </row>
    <row r="479" spans="1:20" x14ac:dyDescent="0.55000000000000004">
      <c r="A479" t="s">
        <v>1769</v>
      </c>
      <c r="C479" t="s">
        <v>280</v>
      </c>
      <c r="D479" t="s">
        <v>281</v>
      </c>
      <c r="E479" t="s">
        <v>39</v>
      </c>
      <c r="F479" t="s">
        <v>30</v>
      </c>
      <c r="G479" t="s">
        <v>31</v>
      </c>
      <c r="H479" s="11" t="s">
        <v>991</v>
      </c>
      <c r="I479" t="s">
        <v>1092</v>
      </c>
      <c r="J479" t="s">
        <v>1093</v>
      </c>
      <c r="K479" t="s">
        <v>39</v>
      </c>
      <c r="L479" t="s">
        <v>30</v>
      </c>
      <c r="M479" t="s">
        <v>31</v>
      </c>
      <c r="N479" t="s">
        <v>991</v>
      </c>
      <c r="Q479" s="4">
        <v>1</v>
      </c>
    </row>
    <row r="480" spans="1:20" s="16" customFormat="1" ht="18.5" thickBot="1" x14ac:dyDescent="0.6">
      <c r="A480" s="16" t="s">
        <v>1772</v>
      </c>
      <c r="C480" s="16" t="s">
        <v>1092</v>
      </c>
      <c r="D480" s="16" t="s">
        <v>1093</v>
      </c>
      <c r="E480" s="16" t="s">
        <v>39</v>
      </c>
      <c r="F480" s="16" t="s">
        <v>30</v>
      </c>
      <c r="G480" s="16" t="s">
        <v>31</v>
      </c>
      <c r="H480" s="16" t="s">
        <v>991</v>
      </c>
      <c r="I480" s="16" t="s">
        <v>2254</v>
      </c>
      <c r="J480" s="16" t="s">
        <v>2255</v>
      </c>
      <c r="K480" s="16" t="s">
        <v>39</v>
      </c>
      <c r="L480" s="16" t="s">
        <v>30</v>
      </c>
      <c r="M480" s="16" t="s">
        <v>31</v>
      </c>
      <c r="N480" s="16" t="s">
        <v>991</v>
      </c>
      <c r="Q480" s="17">
        <f>S480/T480</f>
        <v>0.36666666666666664</v>
      </c>
      <c r="S480" s="16">
        <f>MID(D480,FIND("x",D480)+7,4)*1</f>
        <v>2200</v>
      </c>
      <c r="T480" s="16">
        <v>6000</v>
      </c>
    </row>
    <row r="481" spans="1:20" x14ac:dyDescent="0.55000000000000004">
      <c r="A481" t="s">
        <v>1775</v>
      </c>
      <c r="C481" t="s">
        <v>283</v>
      </c>
      <c r="D481" t="s">
        <v>284</v>
      </c>
      <c r="E481" t="s">
        <v>35</v>
      </c>
      <c r="F481" t="s">
        <v>30</v>
      </c>
      <c r="G481" t="s">
        <v>31</v>
      </c>
      <c r="H481" t="s">
        <v>36</v>
      </c>
      <c r="I481" t="s">
        <v>285</v>
      </c>
      <c r="J481" t="s">
        <v>286</v>
      </c>
      <c r="K481" t="s">
        <v>39</v>
      </c>
      <c r="L481" t="s">
        <v>30</v>
      </c>
      <c r="M481" t="s">
        <v>31</v>
      </c>
      <c r="N481" t="s">
        <v>4003</v>
      </c>
      <c r="Q481" s="4">
        <v>1</v>
      </c>
    </row>
    <row r="482" spans="1:20" x14ac:dyDescent="0.55000000000000004">
      <c r="A482" t="s">
        <v>1778</v>
      </c>
      <c r="C482" t="s">
        <v>285</v>
      </c>
      <c r="D482" t="s">
        <v>286</v>
      </c>
      <c r="E482" t="s">
        <v>39</v>
      </c>
      <c r="F482" t="s">
        <v>30</v>
      </c>
      <c r="G482" t="s">
        <v>31</v>
      </c>
      <c r="H482" s="11" t="s">
        <v>991</v>
      </c>
      <c r="I482" t="s">
        <v>986</v>
      </c>
      <c r="J482" t="s">
        <v>987</v>
      </c>
      <c r="K482" t="s">
        <v>362</v>
      </c>
      <c r="L482" t="s">
        <v>30</v>
      </c>
      <c r="M482" t="s">
        <v>31</v>
      </c>
      <c r="Q482" s="4">
        <v>1</v>
      </c>
    </row>
    <row r="483" spans="1:20" x14ac:dyDescent="0.55000000000000004">
      <c r="A483" t="s">
        <v>1781</v>
      </c>
      <c r="C483" t="s">
        <v>285</v>
      </c>
      <c r="D483" t="s">
        <v>286</v>
      </c>
      <c r="E483" t="s">
        <v>39</v>
      </c>
      <c r="F483" t="s">
        <v>30</v>
      </c>
      <c r="G483" t="s">
        <v>31</v>
      </c>
      <c r="H483" s="11" t="s">
        <v>991</v>
      </c>
      <c r="I483" t="s">
        <v>1098</v>
      </c>
      <c r="J483" t="s">
        <v>1099</v>
      </c>
      <c r="K483" t="s">
        <v>39</v>
      </c>
      <c r="L483" t="s">
        <v>30</v>
      </c>
      <c r="M483" t="s">
        <v>31</v>
      </c>
      <c r="N483" t="s">
        <v>991</v>
      </c>
      <c r="Q483" s="4">
        <v>1</v>
      </c>
    </row>
    <row r="484" spans="1:20" s="16" customFormat="1" ht="18.5" thickBot="1" x14ac:dyDescent="0.6">
      <c r="A484" s="16" t="s">
        <v>1784</v>
      </c>
      <c r="C484" s="16" t="s">
        <v>1098</v>
      </c>
      <c r="D484" s="16" t="s">
        <v>1099</v>
      </c>
      <c r="E484" s="16" t="s">
        <v>39</v>
      </c>
      <c r="F484" s="16" t="s">
        <v>30</v>
      </c>
      <c r="G484" s="16" t="s">
        <v>31</v>
      </c>
      <c r="H484" s="16" t="s">
        <v>991</v>
      </c>
      <c r="I484" s="16" t="s">
        <v>2254</v>
      </c>
      <c r="J484" s="16" t="s">
        <v>2255</v>
      </c>
      <c r="K484" s="16" t="s">
        <v>39</v>
      </c>
      <c r="L484" s="16" t="s">
        <v>30</v>
      </c>
      <c r="M484" s="16" t="s">
        <v>31</v>
      </c>
      <c r="N484" s="16" t="s">
        <v>991</v>
      </c>
      <c r="Q484" s="17">
        <f>S484/T484</f>
        <v>0.38333333333333336</v>
      </c>
      <c r="S484" s="16">
        <f>MID(D484,FIND("x",D484)+7,4)*1</f>
        <v>2300</v>
      </c>
      <c r="T484" s="16">
        <v>6000</v>
      </c>
    </row>
    <row r="485" spans="1:20" x14ac:dyDescent="0.55000000000000004">
      <c r="A485" t="s">
        <v>1787</v>
      </c>
      <c r="C485" t="s">
        <v>288</v>
      </c>
      <c r="D485" t="s">
        <v>289</v>
      </c>
      <c r="E485" t="s">
        <v>35</v>
      </c>
      <c r="F485" t="s">
        <v>30</v>
      </c>
      <c r="G485" t="s">
        <v>31</v>
      </c>
      <c r="H485" t="s">
        <v>36</v>
      </c>
      <c r="I485" t="s">
        <v>290</v>
      </c>
      <c r="J485" t="s">
        <v>291</v>
      </c>
      <c r="K485" t="s">
        <v>39</v>
      </c>
      <c r="L485" t="s">
        <v>30</v>
      </c>
      <c r="M485" t="s">
        <v>31</v>
      </c>
      <c r="N485" t="s">
        <v>4003</v>
      </c>
      <c r="Q485" s="4">
        <v>1</v>
      </c>
    </row>
    <row r="486" spans="1:20" x14ac:dyDescent="0.55000000000000004">
      <c r="A486" t="s">
        <v>1790</v>
      </c>
      <c r="C486" t="s">
        <v>290</v>
      </c>
      <c r="D486" t="s">
        <v>291</v>
      </c>
      <c r="E486" t="s">
        <v>39</v>
      </c>
      <c r="F486" t="s">
        <v>30</v>
      </c>
      <c r="G486" t="s">
        <v>31</v>
      </c>
      <c r="H486" s="11" t="s">
        <v>991</v>
      </c>
      <c r="I486" t="s">
        <v>986</v>
      </c>
      <c r="J486" t="s">
        <v>987</v>
      </c>
      <c r="K486" t="s">
        <v>362</v>
      </c>
      <c r="L486" t="s">
        <v>30</v>
      </c>
      <c r="M486" t="s">
        <v>31</v>
      </c>
      <c r="Q486" s="4">
        <v>1</v>
      </c>
    </row>
    <row r="487" spans="1:20" x14ac:dyDescent="0.55000000000000004">
      <c r="A487" t="s">
        <v>1793</v>
      </c>
      <c r="C487" t="s">
        <v>290</v>
      </c>
      <c r="D487" t="s">
        <v>291</v>
      </c>
      <c r="E487" t="s">
        <v>39</v>
      </c>
      <c r="F487" t="s">
        <v>30</v>
      </c>
      <c r="G487" t="s">
        <v>31</v>
      </c>
      <c r="H487" s="11" t="s">
        <v>991</v>
      </c>
      <c r="I487" t="s">
        <v>1104</v>
      </c>
      <c r="J487" t="s">
        <v>1105</v>
      </c>
      <c r="K487" t="s">
        <v>39</v>
      </c>
      <c r="L487" t="s">
        <v>30</v>
      </c>
      <c r="M487" t="s">
        <v>31</v>
      </c>
      <c r="N487" t="s">
        <v>991</v>
      </c>
      <c r="Q487" s="4">
        <v>1</v>
      </c>
    </row>
    <row r="488" spans="1:20" s="16" customFormat="1" ht="18.5" thickBot="1" x14ac:dyDescent="0.6">
      <c r="A488" s="16" t="s">
        <v>1796</v>
      </c>
      <c r="C488" s="16" t="s">
        <v>1104</v>
      </c>
      <c r="D488" s="16" t="s">
        <v>1105</v>
      </c>
      <c r="E488" s="16" t="s">
        <v>39</v>
      </c>
      <c r="F488" s="16" t="s">
        <v>30</v>
      </c>
      <c r="G488" s="16" t="s">
        <v>31</v>
      </c>
      <c r="H488" s="16" t="s">
        <v>991</v>
      </c>
      <c r="I488" s="16" t="s">
        <v>2254</v>
      </c>
      <c r="J488" s="16" t="s">
        <v>2255</v>
      </c>
      <c r="K488" s="16" t="s">
        <v>39</v>
      </c>
      <c r="L488" s="16" t="s">
        <v>30</v>
      </c>
      <c r="M488" s="16" t="s">
        <v>31</v>
      </c>
      <c r="N488" s="16" t="s">
        <v>991</v>
      </c>
      <c r="Q488" s="17">
        <f>S488/T488</f>
        <v>0.4</v>
      </c>
      <c r="S488" s="16">
        <f>MID(D488,FIND("x",D488)+7,4)*1</f>
        <v>2400</v>
      </c>
      <c r="T488" s="16">
        <v>6000</v>
      </c>
    </row>
    <row r="489" spans="1:20" x14ac:dyDescent="0.55000000000000004">
      <c r="A489" t="s">
        <v>1799</v>
      </c>
      <c r="C489" t="s">
        <v>293</v>
      </c>
      <c r="D489" t="s">
        <v>294</v>
      </c>
      <c r="E489" t="s">
        <v>35</v>
      </c>
      <c r="F489" t="s">
        <v>30</v>
      </c>
      <c r="G489" t="s">
        <v>31</v>
      </c>
      <c r="H489" t="s">
        <v>36</v>
      </c>
      <c r="I489" t="s">
        <v>295</v>
      </c>
      <c r="J489" t="s">
        <v>296</v>
      </c>
      <c r="K489" t="s">
        <v>39</v>
      </c>
      <c r="L489" t="s">
        <v>30</v>
      </c>
      <c r="M489" t="s">
        <v>31</v>
      </c>
      <c r="N489" t="s">
        <v>4003</v>
      </c>
      <c r="Q489" s="4">
        <v>1</v>
      </c>
    </row>
    <row r="490" spans="1:20" x14ac:dyDescent="0.55000000000000004">
      <c r="A490" t="s">
        <v>1802</v>
      </c>
      <c r="C490" t="s">
        <v>295</v>
      </c>
      <c r="D490" t="s">
        <v>296</v>
      </c>
      <c r="E490" t="s">
        <v>39</v>
      </c>
      <c r="F490" t="s">
        <v>30</v>
      </c>
      <c r="G490" t="s">
        <v>31</v>
      </c>
      <c r="H490" s="11" t="s">
        <v>991</v>
      </c>
      <c r="I490" t="s">
        <v>986</v>
      </c>
      <c r="J490" t="s">
        <v>987</v>
      </c>
      <c r="K490" t="s">
        <v>362</v>
      </c>
      <c r="L490" t="s">
        <v>30</v>
      </c>
      <c r="M490" t="s">
        <v>31</v>
      </c>
      <c r="Q490" s="4">
        <v>1</v>
      </c>
    </row>
    <row r="491" spans="1:20" x14ac:dyDescent="0.55000000000000004">
      <c r="A491" t="s">
        <v>1805</v>
      </c>
      <c r="C491" t="s">
        <v>295</v>
      </c>
      <c r="D491" t="s">
        <v>296</v>
      </c>
      <c r="E491" t="s">
        <v>39</v>
      </c>
      <c r="F491" t="s">
        <v>30</v>
      </c>
      <c r="G491" t="s">
        <v>31</v>
      </c>
      <c r="H491" s="11" t="s">
        <v>991</v>
      </c>
      <c r="I491" t="s">
        <v>1110</v>
      </c>
      <c r="J491" t="s">
        <v>1111</v>
      </c>
      <c r="K491" t="s">
        <v>39</v>
      </c>
      <c r="L491" t="s">
        <v>30</v>
      </c>
      <c r="M491" t="s">
        <v>31</v>
      </c>
      <c r="N491" t="s">
        <v>991</v>
      </c>
      <c r="Q491" s="4">
        <v>1</v>
      </c>
    </row>
    <row r="492" spans="1:20" s="16" customFormat="1" ht="18.5" thickBot="1" x14ac:dyDescent="0.6">
      <c r="A492" s="16" t="s">
        <v>1808</v>
      </c>
      <c r="C492" s="16" t="s">
        <v>1110</v>
      </c>
      <c r="D492" s="16" t="s">
        <v>1111</v>
      </c>
      <c r="E492" s="16" t="s">
        <v>39</v>
      </c>
      <c r="F492" s="16" t="s">
        <v>30</v>
      </c>
      <c r="G492" s="16" t="s">
        <v>31</v>
      </c>
      <c r="H492" s="16" t="s">
        <v>991</v>
      </c>
      <c r="I492" s="16" t="s">
        <v>2254</v>
      </c>
      <c r="J492" s="16" t="s">
        <v>2255</v>
      </c>
      <c r="K492" s="16" t="s">
        <v>39</v>
      </c>
      <c r="L492" s="16" t="s">
        <v>30</v>
      </c>
      <c r="M492" s="16" t="s">
        <v>31</v>
      </c>
      <c r="N492" s="16" t="s">
        <v>991</v>
      </c>
      <c r="Q492" s="17">
        <f>S492/T492</f>
        <v>0.41666666666666669</v>
      </c>
      <c r="S492" s="16">
        <f>MID(D492,FIND("x",D492)+7,4)*1</f>
        <v>2500</v>
      </c>
      <c r="T492" s="16">
        <v>6000</v>
      </c>
    </row>
    <row r="493" spans="1:20" x14ac:dyDescent="0.55000000000000004">
      <c r="A493" t="s">
        <v>1811</v>
      </c>
      <c r="C493" t="s">
        <v>298</v>
      </c>
      <c r="D493" t="s">
        <v>299</v>
      </c>
      <c r="E493" t="s">
        <v>35</v>
      </c>
      <c r="F493" t="s">
        <v>30</v>
      </c>
      <c r="G493" t="s">
        <v>31</v>
      </c>
      <c r="H493" t="s">
        <v>36</v>
      </c>
      <c r="I493" t="s">
        <v>300</v>
      </c>
      <c r="J493" t="s">
        <v>301</v>
      </c>
      <c r="K493" t="s">
        <v>39</v>
      </c>
      <c r="L493" t="s">
        <v>30</v>
      </c>
      <c r="M493" t="s">
        <v>31</v>
      </c>
      <c r="N493" t="s">
        <v>4003</v>
      </c>
      <c r="Q493" s="4">
        <v>1</v>
      </c>
    </row>
    <row r="494" spans="1:20" x14ac:dyDescent="0.55000000000000004">
      <c r="A494" t="s">
        <v>1814</v>
      </c>
      <c r="C494" t="s">
        <v>300</v>
      </c>
      <c r="D494" t="s">
        <v>301</v>
      </c>
      <c r="E494" t="s">
        <v>39</v>
      </c>
      <c r="F494" t="s">
        <v>30</v>
      </c>
      <c r="G494" t="s">
        <v>31</v>
      </c>
      <c r="H494" s="11" t="s">
        <v>991</v>
      </c>
      <c r="I494" t="s">
        <v>986</v>
      </c>
      <c r="J494" t="s">
        <v>987</v>
      </c>
      <c r="K494" t="s">
        <v>362</v>
      </c>
      <c r="L494" t="s">
        <v>30</v>
      </c>
      <c r="M494" t="s">
        <v>31</v>
      </c>
      <c r="Q494" s="4">
        <v>1</v>
      </c>
    </row>
    <row r="495" spans="1:20" x14ac:dyDescent="0.55000000000000004">
      <c r="A495" t="s">
        <v>1817</v>
      </c>
      <c r="C495" t="s">
        <v>300</v>
      </c>
      <c r="D495" t="s">
        <v>301</v>
      </c>
      <c r="E495" t="s">
        <v>39</v>
      </c>
      <c r="F495" t="s">
        <v>30</v>
      </c>
      <c r="G495" t="s">
        <v>31</v>
      </c>
      <c r="H495" s="11" t="s">
        <v>991</v>
      </c>
      <c r="I495" t="s">
        <v>1116</v>
      </c>
      <c r="J495" t="s">
        <v>1117</v>
      </c>
      <c r="K495" t="s">
        <v>39</v>
      </c>
      <c r="L495" t="s">
        <v>30</v>
      </c>
      <c r="M495" t="s">
        <v>31</v>
      </c>
      <c r="N495" t="s">
        <v>991</v>
      </c>
      <c r="Q495" s="4">
        <v>1</v>
      </c>
    </row>
    <row r="496" spans="1:20" s="16" customFormat="1" ht="18.5" thickBot="1" x14ac:dyDescent="0.6">
      <c r="A496" s="16" t="s">
        <v>1820</v>
      </c>
      <c r="C496" s="16" t="s">
        <v>1116</v>
      </c>
      <c r="D496" s="16" t="s">
        <v>1117</v>
      </c>
      <c r="E496" s="16" t="s">
        <v>39</v>
      </c>
      <c r="F496" s="16" t="s">
        <v>30</v>
      </c>
      <c r="G496" s="16" t="s">
        <v>31</v>
      </c>
      <c r="H496" s="16" t="s">
        <v>991</v>
      </c>
      <c r="I496" s="16" t="s">
        <v>2254</v>
      </c>
      <c r="J496" s="16" t="s">
        <v>2255</v>
      </c>
      <c r="K496" s="16" t="s">
        <v>39</v>
      </c>
      <c r="L496" s="16" t="s">
        <v>30</v>
      </c>
      <c r="M496" s="16" t="s">
        <v>31</v>
      </c>
      <c r="N496" s="16" t="s">
        <v>991</v>
      </c>
      <c r="Q496" s="17">
        <f>S496/T496</f>
        <v>0.43333333333333335</v>
      </c>
      <c r="S496" s="16">
        <f>MID(D496,FIND("x",D496)+7,4)*1</f>
        <v>2600</v>
      </c>
      <c r="T496" s="16">
        <v>6000</v>
      </c>
    </row>
    <row r="497" spans="1:20" x14ac:dyDescent="0.55000000000000004">
      <c r="A497" t="s">
        <v>1823</v>
      </c>
      <c r="C497" t="s">
        <v>303</v>
      </c>
      <c r="D497" t="s">
        <v>304</v>
      </c>
      <c r="E497" t="s">
        <v>35</v>
      </c>
      <c r="F497" t="s">
        <v>30</v>
      </c>
      <c r="G497" t="s">
        <v>31</v>
      </c>
      <c r="H497" t="s">
        <v>36</v>
      </c>
      <c r="I497" t="s">
        <v>305</v>
      </c>
      <c r="J497" t="s">
        <v>306</v>
      </c>
      <c r="K497" t="s">
        <v>39</v>
      </c>
      <c r="L497" t="s">
        <v>30</v>
      </c>
      <c r="M497" t="s">
        <v>31</v>
      </c>
      <c r="N497" t="s">
        <v>4003</v>
      </c>
      <c r="Q497" s="4">
        <v>1</v>
      </c>
    </row>
    <row r="498" spans="1:20" x14ac:dyDescent="0.55000000000000004">
      <c r="A498" t="s">
        <v>1826</v>
      </c>
      <c r="C498" t="s">
        <v>305</v>
      </c>
      <c r="D498" t="s">
        <v>306</v>
      </c>
      <c r="E498" t="s">
        <v>39</v>
      </c>
      <c r="F498" t="s">
        <v>30</v>
      </c>
      <c r="G498" t="s">
        <v>31</v>
      </c>
      <c r="H498" s="11" t="s">
        <v>991</v>
      </c>
      <c r="I498" t="s">
        <v>986</v>
      </c>
      <c r="J498" t="s">
        <v>987</v>
      </c>
      <c r="K498" t="s">
        <v>362</v>
      </c>
      <c r="L498" t="s">
        <v>30</v>
      </c>
      <c r="M498" t="s">
        <v>31</v>
      </c>
      <c r="Q498" s="4">
        <v>1</v>
      </c>
    </row>
    <row r="499" spans="1:20" x14ac:dyDescent="0.55000000000000004">
      <c r="A499" t="s">
        <v>1829</v>
      </c>
      <c r="C499" t="s">
        <v>305</v>
      </c>
      <c r="D499" t="s">
        <v>306</v>
      </c>
      <c r="E499" t="s">
        <v>39</v>
      </c>
      <c r="F499" t="s">
        <v>30</v>
      </c>
      <c r="G499" t="s">
        <v>31</v>
      </c>
      <c r="H499" s="11" t="s">
        <v>991</v>
      </c>
      <c r="I499" t="s">
        <v>1122</v>
      </c>
      <c r="J499" t="s">
        <v>1123</v>
      </c>
      <c r="K499" t="s">
        <v>39</v>
      </c>
      <c r="L499" t="s">
        <v>30</v>
      </c>
      <c r="M499" t="s">
        <v>31</v>
      </c>
      <c r="N499" t="s">
        <v>991</v>
      </c>
      <c r="Q499" s="4">
        <v>1</v>
      </c>
    </row>
    <row r="500" spans="1:20" s="16" customFormat="1" ht="18.5" thickBot="1" x14ac:dyDescent="0.6">
      <c r="A500" s="16" t="s">
        <v>1832</v>
      </c>
      <c r="C500" s="16" t="s">
        <v>1122</v>
      </c>
      <c r="D500" s="16" t="s">
        <v>1123</v>
      </c>
      <c r="E500" s="16" t="s">
        <v>39</v>
      </c>
      <c r="F500" s="16" t="s">
        <v>30</v>
      </c>
      <c r="G500" s="16" t="s">
        <v>31</v>
      </c>
      <c r="H500" s="16" t="s">
        <v>991</v>
      </c>
      <c r="I500" s="16" t="s">
        <v>2254</v>
      </c>
      <c r="J500" s="16" t="s">
        <v>2255</v>
      </c>
      <c r="K500" s="16" t="s">
        <v>39</v>
      </c>
      <c r="L500" s="16" t="s">
        <v>30</v>
      </c>
      <c r="M500" s="16" t="s">
        <v>31</v>
      </c>
      <c r="N500" s="16" t="s">
        <v>991</v>
      </c>
      <c r="Q500" s="17">
        <f>S500/T500</f>
        <v>0.45</v>
      </c>
      <c r="S500" s="16">
        <f>MID(D500,FIND("x",D500)+7,4)*1</f>
        <v>2700</v>
      </c>
      <c r="T500" s="16">
        <v>6000</v>
      </c>
    </row>
    <row r="501" spans="1:20" x14ac:dyDescent="0.55000000000000004">
      <c r="A501" t="s">
        <v>1835</v>
      </c>
      <c r="C501" t="s">
        <v>308</v>
      </c>
      <c r="D501" t="s">
        <v>309</v>
      </c>
      <c r="E501" t="s">
        <v>35</v>
      </c>
      <c r="F501" t="s">
        <v>30</v>
      </c>
      <c r="G501" t="s">
        <v>31</v>
      </c>
      <c r="H501" t="s">
        <v>36</v>
      </c>
      <c r="I501" t="s">
        <v>310</v>
      </c>
      <c r="J501" t="s">
        <v>311</v>
      </c>
      <c r="K501" t="s">
        <v>39</v>
      </c>
      <c r="L501" t="s">
        <v>30</v>
      </c>
      <c r="M501" t="s">
        <v>31</v>
      </c>
      <c r="N501" t="s">
        <v>4003</v>
      </c>
      <c r="Q501" s="4">
        <v>1</v>
      </c>
    </row>
    <row r="502" spans="1:20" x14ac:dyDescent="0.55000000000000004">
      <c r="A502" t="s">
        <v>1838</v>
      </c>
      <c r="C502" t="s">
        <v>310</v>
      </c>
      <c r="D502" t="s">
        <v>311</v>
      </c>
      <c r="E502" t="s">
        <v>39</v>
      </c>
      <c r="F502" t="s">
        <v>30</v>
      </c>
      <c r="G502" t="s">
        <v>31</v>
      </c>
      <c r="H502" s="11" t="s">
        <v>991</v>
      </c>
      <c r="I502" t="s">
        <v>986</v>
      </c>
      <c r="J502" t="s">
        <v>987</v>
      </c>
      <c r="K502" t="s">
        <v>362</v>
      </c>
      <c r="L502" t="s">
        <v>30</v>
      </c>
      <c r="M502" t="s">
        <v>31</v>
      </c>
      <c r="Q502" s="4">
        <v>1</v>
      </c>
    </row>
    <row r="503" spans="1:20" x14ac:dyDescent="0.55000000000000004">
      <c r="A503" t="s">
        <v>1841</v>
      </c>
      <c r="C503" t="s">
        <v>310</v>
      </c>
      <c r="D503" t="s">
        <v>311</v>
      </c>
      <c r="E503" t="s">
        <v>39</v>
      </c>
      <c r="F503" t="s">
        <v>30</v>
      </c>
      <c r="G503" t="s">
        <v>31</v>
      </c>
      <c r="H503" s="11" t="s">
        <v>991</v>
      </c>
      <c r="I503" t="s">
        <v>1128</v>
      </c>
      <c r="J503" t="s">
        <v>1129</v>
      </c>
      <c r="K503" t="s">
        <v>39</v>
      </c>
      <c r="L503" t="s">
        <v>30</v>
      </c>
      <c r="M503" t="s">
        <v>31</v>
      </c>
      <c r="N503" t="s">
        <v>991</v>
      </c>
      <c r="Q503" s="4">
        <v>1</v>
      </c>
    </row>
    <row r="504" spans="1:20" s="16" customFormat="1" ht="18.5" thickBot="1" x14ac:dyDescent="0.6">
      <c r="A504" s="16" t="s">
        <v>1844</v>
      </c>
      <c r="C504" s="16" t="s">
        <v>1128</v>
      </c>
      <c r="D504" s="16" t="s">
        <v>1129</v>
      </c>
      <c r="E504" s="16" t="s">
        <v>39</v>
      </c>
      <c r="F504" s="16" t="s">
        <v>30</v>
      </c>
      <c r="G504" s="16" t="s">
        <v>31</v>
      </c>
      <c r="H504" s="16" t="s">
        <v>991</v>
      </c>
      <c r="I504" s="16" t="s">
        <v>2254</v>
      </c>
      <c r="J504" s="16" t="s">
        <v>2255</v>
      </c>
      <c r="K504" s="16" t="s">
        <v>39</v>
      </c>
      <c r="L504" s="16" t="s">
        <v>30</v>
      </c>
      <c r="M504" s="16" t="s">
        <v>31</v>
      </c>
      <c r="N504" s="16" t="s">
        <v>991</v>
      </c>
      <c r="Q504" s="17">
        <f>S504/T504</f>
        <v>0.46666666666666667</v>
      </c>
      <c r="S504" s="16">
        <f>MID(D504,FIND("x",D504)+7,4)*1</f>
        <v>2800</v>
      </c>
      <c r="T504" s="16">
        <v>6000</v>
      </c>
    </row>
    <row r="505" spans="1:20" x14ac:dyDescent="0.55000000000000004">
      <c r="A505" t="s">
        <v>1847</v>
      </c>
      <c r="C505" t="s">
        <v>313</v>
      </c>
      <c r="D505" t="s">
        <v>314</v>
      </c>
      <c r="E505" t="s">
        <v>35</v>
      </c>
      <c r="F505" t="s">
        <v>30</v>
      </c>
      <c r="G505" t="s">
        <v>31</v>
      </c>
      <c r="H505" t="s">
        <v>36</v>
      </c>
      <c r="I505" t="s">
        <v>315</v>
      </c>
      <c r="J505" t="s">
        <v>316</v>
      </c>
      <c r="K505" t="s">
        <v>39</v>
      </c>
      <c r="L505" t="s">
        <v>30</v>
      </c>
      <c r="M505" t="s">
        <v>31</v>
      </c>
      <c r="N505" t="s">
        <v>4003</v>
      </c>
      <c r="Q505" s="4">
        <v>1</v>
      </c>
    </row>
    <row r="506" spans="1:20" x14ac:dyDescent="0.55000000000000004">
      <c r="A506" t="s">
        <v>1850</v>
      </c>
      <c r="C506" t="s">
        <v>315</v>
      </c>
      <c r="D506" t="s">
        <v>316</v>
      </c>
      <c r="E506" t="s">
        <v>39</v>
      </c>
      <c r="F506" t="s">
        <v>30</v>
      </c>
      <c r="G506" t="s">
        <v>31</v>
      </c>
      <c r="H506" s="11" t="s">
        <v>991</v>
      </c>
      <c r="I506" t="s">
        <v>986</v>
      </c>
      <c r="J506" t="s">
        <v>987</v>
      </c>
      <c r="K506" t="s">
        <v>362</v>
      </c>
      <c r="L506" t="s">
        <v>30</v>
      </c>
      <c r="M506" t="s">
        <v>31</v>
      </c>
      <c r="Q506" s="4">
        <v>1</v>
      </c>
    </row>
    <row r="507" spans="1:20" x14ac:dyDescent="0.55000000000000004">
      <c r="A507" t="s">
        <v>1853</v>
      </c>
      <c r="C507" t="s">
        <v>315</v>
      </c>
      <c r="D507" t="s">
        <v>316</v>
      </c>
      <c r="E507" t="s">
        <v>39</v>
      </c>
      <c r="F507" t="s">
        <v>30</v>
      </c>
      <c r="G507" t="s">
        <v>31</v>
      </c>
      <c r="H507" s="11" t="s">
        <v>991</v>
      </c>
      <c r="I507" t="s">
        <v>1134</v>
      </c>
      <c r="J507" t="s">
        <v>1135</v>
      </c>
      <c r="K507" t="s">
        <v>39</v>
      </c>
      <c r="L507" t="s">
        <v>30</v>
      </c>
      <c r="M507" t="s">
        <v>31</v>
      </c>
      <c r="N507" t="s">
        <v>991</v>
      </c>
      <c r="Q507" s="4">
        <v>1</v>
      </c>
    </row>
    <row r="508" spans="1:20" s="16" customFormat="1" ht="18.5" thickBot="1" x14ac:dyDescent="0.6">
      <c r="A508" s="16" t="s">
        <v>1856</v>
      </c>
      <c r="C508" s="16" t="s">
        <v>1134</v>
      </c>
      <c r="D508" s="16" t="s">
        <v>1135</v>
      </c>
      <c r="E508" s="16" t="s">
        <v>39</v>
      </c>
      <c r="F508" s="16" t="s">
        <v>30</v>
      </c>
      <c r="G508" s="16" t="s">
        <v>31</v>
      </c>
      <c r="H508" s="16" t="s">
        <v>991</v>
      </c>
      <c r="I508" s="16" t="s">
        <v>2254</v>
      </c>
      <c r="J508" s="16" t="s">
        <v>2255</v>
      </c>
      <c r="K508" s="16" t="s">
        <v>39</v>
      </c>
      <c r="L508" s="16" t="s">
        <v>30</v>
      </c>
      <c r="M508" s="16" t="s">
        <v>31</v>
      </c>
      <c r="N508" s="16" t="s">
        <v>991</v>
      </c>
      <c r="Q508" s="17">
        <f>S508/T508</f>
        <v>0.48333333333333334</v>
      </c>
      <c r="S508" s="16">
        <f>MID(D508,FIND("x",D508)+7,4)*1</f>
        <v>2900</v>
      </c>
      <c r="T508" s="16">
        <v>6000</v>
      </c>
    </row>
    <row r="509" spans="1:20" x14ac:dyDescent="0.55000000000000004">
      <c r="A509" t="s">
        <v>1859</v>
      </c>
      <c r="C509" t="s">
        <v>318</v>
      </c>
      <c r="D509" t="s">
        <v>319</v>
      </c>
      <c r="E509" t="s">
        <v>35</v>
      </c>
      <c r="F509" t="s">
        <v>30</v>
      </c>
      <c r="G509" t="s">
        <v>31</v>
      </c>
      <c r="H509" t="s">
        <v>36</v>
      </c>
      <c r="I509" t="s">
        <v>320</v>
      </c>
      <c r="J509" t="s">
        <v>321</v>
      </c>
      <c r="K509" t="s">
        <v>39</v>
      </c>
      <c r="L509" t="s">
        <v>30</v>
      </c>
      <c r="M509" t="s">
        <v>31</v>
      </c>
      <c r="N509" t="s">
        <v>4003</v>
      </c>
      <c r="Q509" s="4">
        <v>1</v>
      </c>
    </row>
    <row r="510" spans="1:20" x14ac:dyDescent="0.55000000000000004">
      <c r="A510" t="s">
        <v>1862</v>
      </c>
      <c r="C510" t="s">
        <v>320</v>
      </c>
      <c r="D510" t="s">
        <v>321</v>
      </c>
      <c r="E510" t="s">
        <v>39</v>
      </c>
      <c r="F510" t="s">
        <v>30</v>
      </c>
      <c r="G510" t="s">
        <v>31</v>
      </c>
      <c r="H510" s="11" t="s">
        <v>991</v>
      </c>
      <c r="I510" t="s">
        <v>986</v>
      </c>
      <c r="J510" t="s">
        <v>987</v>
      </c>
      <c r="K510" t="s">
        <v>362</v>
      </c>
      <c r="L510" t="s">
        <v>30</v>
      </c>
      <c r="M510" t="s">
        <v>31</v>
      </c>
      <c r="Q510" s="4">
        <v>1</v>
      </c>
    </row>
    <row r="511" spans="1:20" x14ac:dyDescent="0.55000000000000004">
      <c r="A511" t="s">
        <v>1865</v>
      </c>
      <c r="C511" t="s">
        <v>320</v>
      </c>
      <c r="D511" t="s">
        <v>321</v>
      </c>
      <c r="E511" t="s">
        <v>39</v>
      </c>
      <c r="F511" t="s">
        <v>30</v>
      </c>
      <c r="G511" t="s">
        <v>31</v>
      </c>
      <c r="H511" s="11" t="s">
        <v>991</v>
      </c>
      <c r="I511" t="s">
        <v>1140</v>
      </c>
      <c r="J511" t="s">
        <v>1141</v>
      </c>
      <c r="K511" t="s">
        <v>39</v>
      </c>
      <c r="L511" t="s">
        <v>30</v>
      </c>
      <c r="M511" t="s">
        <v>31</v>
      </c>
      <c r="N511" t="s">
        <v>991</v>
      </c>
      <c r="Q511" s="4">
        <v>1</v>
      </c>
    </row>
    <row r="512" spans="1:20" s="16" customFormat="1" ht="18.5" thickBot="1" x14ac:dyDescent="0.6">
      <c r="A512" s="16" t="s">
        <v>1868</v>
      </c>
      <c r="C512" s="16" t="s">
        <v>1140</v>
      </c>
      <c r="D512" s="16" t="s">
        <v>1141</v>
      </c>
      <c r="E512" s="16" t="s">
        <v>39</v>
      </c>
      <c r="F512" s="16" t="s">
        <v>30</v>
      </c>
      <c r="G512" s="16" t="s">
        <v>31</v>
      </c>
      <c r="H512" s="16" t="s">
        <v>991</v>
      </c>
      <c r="I512" s="16" t="s">
        <v>2254</v>
      </c>
      <c r="J512" s="16" t="s">
        <v>2255</v>
      </c>
      <c r="K512" s="16" t="s">
        <v>39</v>
      </c>
      <c r="L512" s="16" t="s">
        <v>30</v>
      </c>
      <c r="M512" s="16" t="s">
        <v>31</v>
      </c>
      <c r="N512" s="16" t="s">
        <v>991</v>
      </c>
      <c r="Q512" s="17">
        <f>S512/T512</f>
        <v>0.5</v>
      </c>
      <c r="S512" s="16">
        <f>MID(D512,FIND("x",D512)+7,4)*1</f>
        <v>3000</v>
      </c>
      <c r="T512" s="16">
        <v>6000</v>
      </c>
    </row>
    <row r="513" spans="1:20" x14ac:dyDescent="0.55000000000000004">
      <c r="A513" t="s">
        <v>1869</v>
      </c>
      <c r="C513" t="s">
        <v>323</v>
      </c>
      <c r="D513" t="s">
        <v>324</v>
      </c>
      <c r="E513" t="s">
        <v>35</v>
      </c>
      <c r="F513" t="s">
        <v>30</v>
      </c>
      <c r="G513" t="s">
        <v>31</v>
      </c>
      <c r="H513" t="s">
        <v>36</v>
      </c>
      <c r="I513" t="s">
        <v>325</v>
      </c>
      <c r="J513" t="s">
        <v>326</v>
      </c>
      <c r="K513" t="s">
        <v>39</v>
      </c>
      <c r="L513" t="s">
        <v>30</v>
      </c>
      <c r="M513" t="s">
        <v>31</v>
      </c>
      <c r="N513" t="s">
        <v>4003</v>
      </c>
      <c r="Q513" s="4">
        <v>1</v>
      </c>
    </row>
    <row r="514" spans="1:20" x14ac:dyDescent="0.55000000000000004">
      <c r="A514" t="s">
        <v>1872</v>
      </c>
      <c r="C514" t="s">
        <v>325</v>
      </c>
      <c r="D514" t="s">
        <v>326</v>
      </c>
      <c r="E514" t="s">
        <v>39</v>
      </c>
      <c r="F514" t="s">
        <v>30</v>
      </c>
      <c r="G514" t="s">
        <v>31</v>
      </c>
      <c r="H514" s="11" t="s">
        <v>991</v>
      </c>
      <c r="I514" t="s">
        <v>986</v>
      </c>
      <c r="J514" t="s">
        <v>987</v>
      </c>
      <c r="K514" t="s">
        <v>362</v>
      </c>
      <c r="L514" t="s">
        <v>30</v>
      </c>
      <c r="M514" t="s">
        <v>31</v>
      </c>
      <c r="Q514" s="4">
        <v>1</v>
      </c>
    </row>
    <row r="515" spans="1:20" x14ac:dyDescent="0.55000000000000004">
      <c r="A515" t="s">
        <v>1873</v>
      </c>
      <c r="C515" t="s">
        <v>325</v>
      </c>
      <c r="D515" t="s">
        <v>326</v>
      </c>
      <c r="E515" t="s">
        <v>39</v>
      </c>
      <c r="F515" t="s">
        <v>30</v>
      </c>
      <c r="G515" t="s">
        <v>31</v>
      </c>
      <c r="H515" s="11" t="s">
        <v>991</v>
      </c>
      <c r="I515" t="s">
        <v>1146</v>
      </c>
      <c r="J515" t="s">
        <v>1147</v>
      </c>
      <c r="K515" t="s">
        <v>39</v>
      </c>
      <c r="L515" t="s">
        <v>30</v>
      </c>
      <c r="M515" t="s">
        <v>31</v>
      </c>
      <c r="N515" t="s">
        <v>991</v>
      </c>
      <c r="Q515" s="4">
        <v>1</v>
      </c>
    </row>
    <row r="516" spans="1:20" s="16" customFormat="1" ht="18.5" thickBot="1" x14ac:dyDescent="0.6">
      <c r="A516" s="16" t="s">
        <v>1876</v>
      </c>
      <c r="C516" s="16" t="s">
        <v>1146</v>
      </c>
      <c r="D516" s="16" t="s">
        <v>1147</v>
      </c>
      <c r="E516" s="16" t="s">
        <v>39</v>
      </c>
      <c r="F516" s="16" t="s">
        <v>30</v>
      </c>
      <c r="G516" s="16" t="s">
        <v>31</v>
      </c>
      <c r="H516" s="16" t="s">
        <v>991</v>
      </c>
      <c r="I516" s="16" t="s">
        <v>2254</v>
      </c>
      <c r="J516" s="16" t="s">
        <v>2255</v>
      </c>
      <c r="K516" s="16" t="s">
        <v>39</v>
      </c>
      <c r="L516" s="16" t="s">
        <v>30</v>
      </c>
      <c r="M516" s="16" t="s">
        <v>31</v>
      </c>
      <c r="N516" s="16" t="s">
        <v>991</v>
      </c>
      <c r="Q516" s="17">
        <f>S516/T516</f>
        <v>0.51666666666666672</v>
      </c>
      <c r="S516" s="16">
        <f>MID(D516,FIND("x",D516)+7,4)*1</f>
        <v>3100</v>
      </c>
      <c r="T516" s="16">
        <v>6000</v>
      </c>
    </row>
    <row r="517" spans="1:20" x14ac:dyDescent="0.55000000000000004">
      <c r="A517" t="s">
        <v>1877</v>
      </c>
      <c r="C517" t="s">
        <v>328</v>
      </c>
      <c r="D517" t="s">
        <v>329</v>
      </c>
      <c r="E517" t="s">
        <v>35</v>
      </c>
      <c r="F517" t="s">
        <v>30</v>
      </c>
      <c r="G517" t="s">
        <v>31</v>
      </c>
      <c r="H517" t="s">
        <v>36</v>
      </c>
      <c r="I517" t="s">
        <v>330</v>
      </c>
      <c r="J517" t="s">
        <v>331</v>
      </c>
      <c r="K517" t="s">
        <v>39</v>
      </c>
      <c r="L517" t="s">
        <v>30</v>
      </c>
      <c r="M517" t="s">
        <v>31</v>
      </c>
      <c r="N517" t="s">
        <v>4003</v>
      </c>
      <c r="Q517" s="4">
        <v>1</v>
      </c>
    </row>
    <row r="518" spans="1:20" x14ac:dyDescent="0.55000000000000004">
      <c r="A518" t="s">
        <v>1880</v>
      </c>
      <c r="C518" t="s">
        <v>330</v>
      </c>
      <c r="D518" t="s">
        <v>331</v>
      </c>
      <c r="E518" t="s">
        <v>39</v>
      </c>
      <c r="F518" t="s">
        <v>30</v>
      </c>
      <c r="G518" t="s">
        <v>31</v>
      </c>
      <c r="H518" s="11" t="s">
        <v>991</v>
      </c>
      <c r="I518" t="s">
        <v>986</v>
      </c>
      <c r="J518" t="s">
        <v>987</v>
      </c>
      <c r="K518" t="s">
        <v>362</v>
      </c>
      <c r="L518" t="s">
        <v>30</v>
      </c>
      <c r="M518" t="s">
        <v>31</v>
      </c>
      <c r="Q518" s="4">
        <v>1</v>
      </c>
    </row>
    <row r="519" spans="1:20" x14ac:dyDescent="0.55000000000000004">
      <c r="A519" t="s">
        <v>1881</v>
      </c>
      <c r="C519" t="s">
        <v>330</v>
      </c>
      <c r="D519" t="s">
        <v>331</v>
      </c>
      <c r="E519" t="s">
        <v>39</v>
      </c>
      <c r="F519" t="s">
        <v>30</v>
      </c>
      <c r="G519" t="s">
        <v>31</v>
      </c>
      <c r="H519" s="11" t="s">
        <v>991</v>
      </c>
      <c r="I519" t="s">
        <v>1152</v>
      </c>
      <c r="J519" t="s">
        <v>1153</v>
      </c>
      <c r="K519" t="s">
        <v>39</v>
      </c>
      <c r="L519" t="s">
        <v>30</v>
      </c>
      <c r="M519" t="s">
        <v>31</v>
      </c>
      <c r="N519" t="s">
        <v>991</v>
      </c>
      <c r="Q519" s="4">
        <v>1</v>
      </c>
    </row>
    <row r="520" spans="1:20" s="16" customFormat="1" ht="18.5" thickBot="1" x14ac:dyDescent="0.6">
      <c r="A520" s="16" t="s">
        <v>1884</v>
      </c>
      <c r="C520" s="16" t="s">
        <v>1152</v>
      </c>
      <c r="D520" s="16" t="s">
        <v>1153</v>
      </c>
      <c r="E520" s="16" t="s">
        <v>39</v>
      </c>
      <c r="F520" s="16" t="s">
        <v>30</v>
      </c>
      <c r="G520" s="16" t="s">
        <v>31</v>
      </c>
      <c r="H520" s="16" t="s">
        <v>991</v>
      </c>
      <c r="I520" s="16" t="s">
        <v>2254</v>
      </c>
      <c r="J520" s="16" t="s">
        <v>2255</v>
      </c>
      <c r="K520" s="16" t="s">
        <v>39</v>
      </c>
      <c r="L520" s="16" t="s">
        <v>30</v>
      </c>
      <c r="M520" s="16" t="s">
        <v>31</v>
      </c>
      <c r="N520" s="16" t="s">
        <v>991</v>
      </c>
      <c r="Q520" s="17">
        <f>S520/T520</f>
        <v>0.53333333333333333</v>
      </c>
      <c r="S520" s="16">
        <f>MID(D520,FIND("x",D520)+7,4)*1</f>
        <v>3200</v>
      </c>
      <c r="T520" s="16">
        <v>6000</v>
      </c>
    </row>
    <row r="521" spans="1:20" x14ac:dyDescent="0.55000000000000004">
      <c r="A521" t="s">
        <v>1885</v>
      </c>
      <c r="C521" t="s">
        <v>333</v>
      </c>
      <c r="D521" t="s">
        <v>334</v>
      </c>
      <c r="E521" t="s">
        <v>35</v>
      </c>
      <c r="F521" t="s">
        <v>30</v>
      </c>
      <c r="G521" t="s">
        <v>31</v>
      </c>
      <c r="H521" t="s">
        <v>36</v>
      </c>
      <c r="I521" t="s">
        <v>335</v>
      </c>
      <c r="J521" t="s">
        <v>336</v>
      </c>
      <c r="K521" t="s">
        <v>39</v>
      </c>
      <c r="L521" t="s">
        <v>30</v>
      </c>
      <c r="M521" t="s">
        <v>31</v>
      </c>
      <c r="N521" t="s">
        <v>4003</v>
      </c>
      <c r="Q521" s="4">
        <v>1</v>
      </c>
    </row>
    <row r="522" spans="1:20" x14ac:dyDescent="0.55000000000000004">
      <c r="A522" t="s">
        <v>1888</v>
      </c>
      <c r="C522" t="s">
        <v>335</v>
      </c>
      <c r="D522" t="s">
        <v>336</v>
      </c>
      <c r="E522" t="s">
        <v>39</v>
      </c>
      <c r="F522" t="s">
        <v>30</v>
      </c>
      <c r="G522" t="s">
        <v>31</v>
      </c>
      <c r="H522" s="11" t="s">
        <v>991</v>
      </c>
      <c r="I522" t="s">
        <v>986</v>
      </c>
      <c r="J522" t="s">
        <v>987</v>
      </c>
      <c r="K522" t="s">
        <v>362</v>
      </c>
      <c r="L522" t="s">
        <v>30</v>
      </c>
      <c r="M522" t="s">
        <v>31</v>
      </c>
      <c r="Q522" s="4">
        <v>1</v>
      </c>
    </row>
    <row r="523" spans="1:20" x14ac:dyDescent="0.55000000000000004">
      <c r="A523" t="s">
        <v>1889</v>
      </c>
      <c r="C523" t="s">
        <v>335</v>
      </c>
      <c r="D523" t="s">
        <v>336</v>
      </c>
      <c r="E523" t="s">
        <v>39</v>
      </c>
      <c r="F523" t="s">
        <v>30</v>
      </c>
      <c r="G523" t="s">
        <v>31</v>
      </c>
      <c r="H523" s="11" t="s">
        <v>991</v>
      </c>
      <c r="I523" t="s">
        <v>1158</v>
      </c>
      <c r="J523" t="s">
        <v>1159</v>
      </c>
      <c r="K523" t="s">
        <v>39</v>
      </c>
      <c r="L523" t="s">
        <v>30</v>
      </c>
      <c r="M523" t="s">
        <v>31</v>
      </c>
      <c r="N523" t="s">
        <v>991</v>
      </c>
      <c r="Q523" s="4">
        <v>1</v>
      </c>
    </row>
    <row r="524" spans="1:20" s="16" customFormat="1" ht="18.5" thickBot="1" x14ac:dyDescent="0.6">
      <c r="A524" s="16" t="s">
        <v>1892</v>
      </c>
      <c r="C524" s="16" t="s">
        <v>1158</v>
      </c>
      <c r="D524" s="16" t="s">
        <v>1159</v>
      </c>
      <c r="E524" s="16" t="s">
        <v>39</v>
      </c>
      <c r="F524" s="16" t="s">
        <v>30</v>
      </c>
      <c r="G524" s="16" t="s">
        <v>31</v>
      </c>
      <c r="H524" s="16" t="s">
        <v>991</v>
      </c>
      <c r="I524" s="16" t="s">
        <v>2254</v>
      </c>
      <c r="J524" s="16" t="s">
        <v>2255</v>
      </c>
      <c r="K524" s="16" t="s">
        <v>39</v>
      </c>
      <c r="L524" s="16" t="s">
        <v>30</v>
      </c>
      <c r="M524" s="16" t="s">
        <v>31</v>
      </c>
      <c r="N524" s="16" t="s">
        <v>991</v>
      </c>
      <c r="Q524" s="17">
        <f>S524/T524</f>
        <v>0.55000000000000004</v>
      </c>
      <c r="S524" s="16">
        <f>MID(D524,FIND("x",D524)+7,4)*1</f>
        <v>3300</v>
      </c>
      <c r="T524" s="16">
        <v>6000</v>
      </c>
    </row>
    <row r="525" spans="1:20" x14ac:dyDescent="0.55000000000000004">
      <c r="A525" t="s">
        <v>1893</v>
      </c>
      <c r="C525" t="s">
        <v>338</v>
      </c>
      <c r="D525" t="s">
        <v>339</v>
      </c>
      <c r="E525" t="s">
        <v>35</v>
      </c>
      <c r="F525" t="s">
        <v>30</v>
      </c>
      <c r="G525" t="s">
        <v>31</v>
      </c>
      <c r="H525" t="s">
        <v>36</v>
      </c>
      <c r="I525" t="s">
        <v>340</v>
      </c>
      <c r="J525" t="s">
        <v>341</v>
      </c>
      <c r="K525" t="s">
        <v>39</v>
      </c>
      <c r="L525" t="s">
        <v>30</v>
      </c>
      <c r="M525" t="s">
        <v>31</v>
      </c>
      <c r="N525" t="s">
        <v>4003</v>
      </c>
      <c r="Q525" s="4">
        <v>1</v>
      </c>
    </row>
    <row r="526" spans="1:20" x14ac:dyDescent="0.55000000000000004">
      <c r="A526" t="s">
        <v>1896</v>
      </c>
      <c r="C526" t="s">
        <v>340</v>
      </c>
      <c r="D526" t="s">
        <v>341</v>
      </c>
      <c r="E526" t="s">
        <v>39</v>
      </c>
      <c r="F526" t="s">
        <v>30</v>
      </c>
      <c r="G526" t="s">
        <v>31</v>
      </c>
      <c r="H526" s="11" t="s">
        <v>991</v>
      </c>
      <c r="I526" t="s">
        <v>986</v>
      </c>
      <c r="J526" t="s">
        <v>987</v>
      </c>
      <c r="K526" t="s">
        <v>362</v>
      </c>
      <c r="L526" t="s">
        <v>30</v>
      </c>
      <c r="M526" t="s">
        <v>31</v>
      </c>
      <c r="Q526" s="4">
        <v>1</v>
      </c>
    </row>
    <row r="527" spans="1:20" x14ac:dyDescent="0.55000000000000004">
      <c r="A527" t="s">
        <v>1897</v>
      </c>
      <c r="C527" t="s">
        <v>340</v>
      </c>
      <c r="D527" t="s">
        <v>341</v>
      </c>
      <c r="E527" t="s">
        <v>39</v>
      </c>
      <c r="F527" t="s">
        <v>30</v>
      </c>
      <c r="G527" t="s">
        <v>31</v>
      </c>
      <c r="H527" s="11" t="s">
        <v>991</v>
      </c>
      <c r="I527" t="s">
        <v>1164</v>
      </c>
      <c r="J527" t="s">
        <v>1165</v>
      </c>
      <c r="K527" t="s">
        <v>39</v>
      </c>
      <c r="L527" t="s">
        <v>30</v>
      </c>
      <c r="M527" t="s">
        <v>31</v>
      </c>
      <c r="N527" t="s">
        <v>991</v>
      </c>
      <c r="Q527" s="4">
        <v>1</v>
      </c>
    </row>
    <row r="528" spans="1:20" s="16" customFormat="1" ht="18.5" thickBot="1" x14ac:dyDescent="0.6">
      <c r="A528" s="16" t="s">
        <v>1900</v>
      </c>
      <c r="C528" s="16" t="s">
        <v>1164</v>
      </c>
      <c r="D528" s="16" t="s">
        <v>1165</v>
      </c>
      <c r="E528" s="16" t="s">
        <v>39</v>
      </c>
      <c r="F528" s="16" t="s">
        <v>30</v>
      </c>
      <c r="G528" s="16" t="s">
        <v>31</v>
      </c>
      <c r="H528" s="16" t="s">
        <v>991</v>
      </c>
      <c r="I528" s="16" t="s">
        <v>2254</v>
      </c>
      <c r="J528" s="16" t="s">
        <v>2255</v>
      </c>
      <c r="K528" s="16" t="s">
        <v>39</v>
      </c>
      <c r="L528" s="16" t="s">
        <v>30</v>
      </c>
      <c r="M528" s="16" t="s">
        <v>31</v>
      </c>
      <c r="N528" s="16" t="s">
        <v>991</v>
      </c>
      <c r="Q528" s="17">
        <f>S528/T528</f>
        <v>0.56666666666666665</v>
      </c>
      <c r="S528" s="16">
        <f>MID(D528,FIND("x",D528)+7,4)*1</f>
        <v>3400</v>
      </c>
      <c r="T528" s="16">
        <v>6000</v>
      </c>
    </row>
    <row r="529" spans="1:20" x14ac:dyDescent="0.55000000000000004">
      <c r="A529" t="s">
        <v>1901</v>
      </c>
      <c r="C529" t="s">
        <v>343</v>
      </c>
      <c r="D529" t="s">
        <v>344</v>
      </c>
      <c r="E529" t="s">
        <v>35</v>
      </c>
      <c r="F529" t="s">
        <v>30</v>
      </c>
      <c r="G529" t="s">
        <v>31</v>
      </c>
      <c r="H529" t="s">
        <v>36</v>
      </c>
      <c r="I529" t="s">
        <v>345</v>
      </c>
      <c r="J529" t="s">
        <v>346</v>
      </c>
      <c r="K529" t="s">
        <v>39</v>
      </c>
      <c r="L529" t="s">
        <v>30</v>
      </c>
      <c r="M529" t="s">
        <v>31</v>
      </c>
      <c r="N529" t="s">
        <v>4003</v>
      </c>
      <c r="Q529" s="4">
        <v>1</v>
      </c>
    </row>
    <row r="530" spans="1:20" x14ac:dyDescent="0.55000000000000004">
      <c r="A530" t="s">
        <v>1904</v>
      </c>
      <c r="C530" t="s">
        <v>345</v>
      </c>
      <c r="D530" t="s">
        <v>346</v>
      </c>
      <c r="E530" t="s">
        <v>39</v>
      </c>
      <c r="F530" t="s">
        <v>30</v>
      </c>
      <c r="G530" t="s">
        <v>31</v>
      </c>
      <c r="H530" s="11" t="s">
        <v>991</v>
      </c>
      <c r="I530" t="s">
        <v>986</v>
      </c>
      <c r="J530" t="s">
        <v>987</v>
      </c>
      <c r="K530" t="s">
        <v>362</v>
      </c>
      <c r="L530" t="s">
        <v>30</v>
      </c>
      <c r="M530" t="s">
        <v>31</v>
      </c>
      <c r="Q530" s="4">
        <v>1</v>
      </c>
    </row>
    <row r="531" spans="1:20" x14ac:dyDescent="0.55000000000000004">
      <c r="A531" t="s">
        <v>1905</v>
      </c>
      <c r="C531" t="s">
        <v>345</v>
      </c>
      <c r="D531" t="s">
        <v>346</v>
      </c>
      <c r="E531" t="s">
        <v>39</v>
      </c>
      <c r="F531" t="s">
        <v>30</v>
      </c>
      <c r="G531" t="s">
        <v>31</v>
      </c>
      <c r="H531" s="11" t="s">
        <v>991</v>
      </c>
      <c r="I531" t="s">
        <v>1170</v>
      </c>
      <c r="J531" t="s">
        <v>1171</v>
      </c>
      <c r="K531" t="s">
        <v>39</v>
      </c>
      <c r="L531" t="s">
        <v>30</v>
      </c>
      <c r="M531" t="s">
        <v>31</v>
      </c>
      <c r="N531" t="s">
        <v>991</v>
      </c>
      <c r="Q531" s="4">
        <v>1</v>
      </c>
    </row>
    <row r="532" spans="1:20" s="16" customFormat="1" ht="18.5" thickBot="1" x14ac:dyDescent="0.6">
      <c r="A532" s="16" t="s">
        <v>1908</v>
      </c>
      <c r="C532" s="16" t="s">
        <v>1170</v>
      </c>
      <c r="D532" s="16" t="s">
        <v>1171</v>
      </c>
      <c r="E532" s="16" t="s">
        <v>39</v>
      </c>
      <c r="F532" s="16" t="s">
        <v>30</v>
      </c>
      <c r="G532" s="16" t="s">
        <v>31</v>
      </c>
      <c r="H532" s="16" t="s">
        <v>991</v>
      </c>
      <c r="I532" s="16" t="s">
        <v>2254</v>
      </c>
      <c r="J532" s="16" t="s">
        <v>2255</v>
      </c>
      <c r="K532" s="16" t="s">
        <v>39</v>
      </c>
      <c r="L532" s="16" t="s">
        <v>30</v>
      </c>
      <c r="M532" s="16" t="s">
        <v>31</v>
      </c>
      <c r="N532" s="16" t="s">
        <v>991</v>
      </c>
      <c r="Q532" s="17">
        <f>S532/T532</f>
        <v>0.58333333333333337</v>
      </c>
      <c r="S532" s="16">
        <f>MID(D532,FIND("x",D532)+7,4)*1</f>
        <v>3500</v>
      </c>
      <c r="T532" s="16">
        <v>6000</v>
      </c>
    </row>
    <row r="533" spans="1:20" x14ac:dyDescent="0.55000000000000004">
      <c r="A533" t="s">
        <v>1911</v>
      </c>
      <c r="C533" t="s">
        <v>348</v>
      </c>
      <c r="D533" t="s">
        <v>349</v>
      </c>
      <c r="E533" t="s">
        <v>35</v>
      </c>
      <c r="F533" t="s">
        <v>30</v>
      </c>
      <c r="G533" t="s">
        <v>31</v>
      </c>
      <c r="H533" t="s">
        <v>36</v>
      </c>
      <c r="I533" t="s">
        <v>350</v>
      </c>
      <c r="J533" t="s">
        <v>351</v>
      </c>
      <c r="K533" t="s">
        <v>39</v>
      </c>
      <c r="L533" t="s">
        <v>30</v>
      </c>
      <c r="M533" t="s">
        <v>31</v>
      </c>
      <c r="N533" t="s">
        <v>4003</v>
      </c>
      <c r="Q533" s="4">
        <v>1</v>
      </c>
    </row>
    <row r="534" spans="1:20" x14ac:dyDescent="0.55000000000000004">
      <c r="A534" t="s">
        <v>1914</v>
      </c>
      <c r="C534" t="s">
        <v>350</v>
      </c>
      <c r="D534" t="s">
        <v>351</v>
      </c>
      <c r="E534" t="s">
        <v>39</v>
      </c>
      <c r="F534" t="s">
        <v>30</v>
      </c>
      <c r="G534" t="s">
        <v>31</v>
      </c>
      <c r="H534" s="11" t="s">
        <v>991</v>
      </c>
      <c r="I534" t="s">
        <v>986</v>
      </c>
      <c r="J534" t="s">
        <v>987</v>
      </c>
      <c r="K534" t="s">
        <v>362</v>
      </c>
      <c r="L534" t="s">
        <v>30</v>
      </c>
      <c r="M534" t="s">
        <v>31</v>
      </c>
      <c r="Q534" s="4">
        <v>1</v>
      </c>
    </row>
    <row r="535" spans="1:20" x14ac:dyDescent="0.55000000000000004">
      <c r="A535" t="s">
        <v>1915</v>
      </c>
      <c r="C535" t="s">
        <v>350</v>
      </c>
      <c r="D535" t="s">
        <v>351</v>
      </c>
      <c r="E535" t="s">
        <v>39</v>
      </c>
      <c r="F535" t="s">
        <v>30</v>
      </c>
      <c r="G535" t="s">
        <v>31</v>
      </c>
      <c r="H535" s="11" t="s">
        <v>991</v>
      </c>
      <c r="I535" t="s">
        <v>1176</v>
      </c>
      <c r="J535" t="s">
        <v>1177</v>
      </c>
      <c r="K535" t="s">
        <v>39</v>
      </c>
      <c r="L535" t="s">
        <v>30</v>
      </c>
      <c r="M535" t="s">
        <v>31</v>
      </c>
      <c r="N535" t="s">
        <v>991</v>
      </c>
      <c r="Q535" s="4">
        <v>1</v>
      </c>
    </row>
    <row r="536" spans="1:20" s="16" customFormat="1" ht="18.5" thickBot="1" x14ac:dyDescent="0.6">
      <c r="A536" s="16" t="s">
        <v>1918</v>
      </c>
      <c r="C536" s="16" t="s">
        <v>1176</v>
      </c>
      <c r="D536" s="16" t="s">
        <v>1177</v>
      </c>
      <c r="E536" s="16" t="s">
        <v>39</v>
      </c>
      <c r="F536" s="16" t="s">
        <v>30</v>
      </c>
      <c r="G536" s="16" t="s">
        <v>31</v>
      </c>
      <c r="H536" s="16" t="s">
        <v>991</v>
      </c>
      <c r="I536" s="16" t="s">
        <v>2254</v>
      </c>
      <c r="J536" s="16" t="s">
        <v>2255</v>
      </c>
      <c r="K536" s="16" t="s">
        <v>39</v>
      </c>
      <c r="L536" s="16" t="s">
        <v>30</v>
      </c>
      <c r="M536" s="16" t="s">
        <v>31</v>
      </c>
      <c r="N536" s="16" t="s">
        <v>991</v>
      </c>
      <c r="Q536" s="17">
        <f>S536/T536</f>
        <v>0.6</v>
      </c>
      <c r="S536" s="16">
        <f>MID(D536,FIND("x",D536)+7,4)*1</f>
        <v>3600</v>
      </c>
      <c r="T536" s="16">
        <v>6000</v>
      </c>
    </row>
    <row r="537" spans="1:20" x14ac:dyDescent="0.55000000000000004">
      <c r="A537" t="s">
        <v>1919</v>
      </c>
      <c r="C537" t="s">
        <v>353</v>
      </c>
      <c r="D537" t="s">
        <v>354</v>
      </c>
      <c r="E537" t="s">
        <v>35</v>
      </c>
      <c r="F537" t="s">
        <v>30</v>
      </c>
      <c r="G537" t="s">
        <v>31</v>
      </c>
      <c r="H537" t="s">
        <v>36</v>
      </c>
      <c r="I537" t="s">
        <v>355</v>
      </c>
      <c r="J537" t="s">
        <v>356</v>
      </c>
      <c r="K537" t="s">
        <v>39</v>
      </c>
      <c r="L537" t="s">
        <v>30</v>
      </c>
      <c r="M537" t="s">
        <v>31</v>
      </c>
      <c r="N537" t="s">
        <v>4003</v>
      </c>
      <c r="Q537" s="4">
        <v>1</v>
      </c>
    </row>
    <row r="538" spans="1:20" x14ac:dyDescent="0.55000000000000004">
      <c r="A538" t="s">
        <v>1922</v>
      </c>
      <c r="C538" t="s">
        <v>355</v>
      </c>
      <c r="D538" t="s">
        <v>356</v>
      </c>
      <c r="E538" t="s">
        <v>39</v>
      </c>
      <c r="F538" t="s">
        <v>30</v>
      </c>
      <c r="G538" t="s">
        <v>31</v>
      </c>
      <c r="H538" s="11" t="s">
        <v>991</v>
      </c>
      <c r="I538" t="s">
        <v>986</v>
      </c>
      <c r="J538" t="s">
        <v>987</v>
      </c>
      <c r="K538" t="s">
        <v>362</v>
      </c>
      <c r="L538" t="s">
        <v>30</v>
      </c>
      <c r="M538" t="s">
        <v>31</v>
      </c>
      <c r="Q538" s="4">
        <v>1</v>
      </c>
    </row>
    <row r="539" spans="1:20" x14ac:dyDescent="0.55000000000000004">
      <c r="A539" t="s">
        <v>1923</v>
      </c>
      <c r="C539" t="s">
        <v>355</v>
      </c>
      <c r="D539" t="s">
        <v>356</v>
      </c>
      <c r="E539" t="s">
        <v>39</v>
      </c>
      <c r="F539" t="s">
        <v>30</v>
      </c>
      <c r="G539" t="s">
        <v>31</v>
      </c>
      <c r="H539" s="11" t="s">
        <v>991</v>
      </c>
      <c r="I539" t="s">
        <v>1182</v>
      </c>
      <c r="J539" t="s">
        <v>1183</v>
      </c>
      <c r="K539" t="s">
        <v>39</v>
      </c>
      <c r="L539" t="s">
        <v>30</v>
      </c>
      <c r="M539" t="s">
        <v>31</v>
      </c>
      <c r="N539" t="s">
        <v>991</v>
      </c>
      <c r="Q539" s="4">
        <v>1</v>
      </c>
    </row>
    <row r="540" spans="1:20" s="16" customFormat="1" ht="18.5" thickBot="1" x14ac:dyDescent="0.6">
      <c r="A540" s="16" t="s">
        <v>1926</v>
      </c>
      <c r="C540" s="16" t="s">
        <v>1182</v>
      </c>
      <c r="D540" s="16" t="s">
        <v>1183</v>
      </c>
      <c r="E540" s="16" t="s">
        <v>39</v>
      </c>
      <c r="F540" s="16" t="s">
        <v>30</v>
      </c>
      <c r="G540" s="16" t="s">
        <v>31</v>
      </c>
      <c r="H540" s="16" t="s">
        <v>991</v>
      </c>
      <c r="I540" s="16" t="s">
        <v>2254</v>
      </c>
      <c r="J540" s="16" t="s">
        <v>2255</v>
      </c>
      <c r="K540" s="16" t="s">
        <v>39</v>
      </c>
      <c r="L540" s="16" t="s">
        <v>30</v>
      </c>
      <c r="M540" s="16" t="s">
        <v>31</v>
      </c>
      <c r="N540" s="16" t="s">
        <v>991</v>
      </c>
      <c r="Q540" s="17">
        <f>S540/T540</f>
        <v>0.6166666666666667</v>
      </c>
      <c r="S540" s="16">
        <f>MID(D540,FIND("x",D540)+7,4)*1</f>
        <v>3700</v>
      </c>
      <c r="T540" s="16">
        <v>6000</v>
      </c>
    </row>
    <row r="541" spans="1:20" x14ac:dyDescent="0.55000000000000004">
      <c r="A541" t="s">
        <v>1927</v>
      </c>
      <c r="C541" t="s">
        <v>2824</v>
      </c>
      <c r="D541" t="s">
        <v>2825</v>
      </c>
      <c r="E541" t="s">
        <v>35</v>
      </c>
      <c r="F541" t="s">
        <v>30</v>
      </c>
      <c r="G541" t="s">
        <v>31</v>
      </c>
      <c r="H541" t="s">
        <v>36</v>
      </c>
      <c r="I541" t="s">
        <v>2826</v>
      </c>
      <c r="J541" t="s">
        <v>2827</v>
      </c>
      <c r="K541" t="s">
        <v>39</v>
      </c>
      <c r="L541" t="s">
        <v>30</v>
      </c>
      <c r="M541" t="s">
        <v>31</v>
      </c>
      <c r="N541" t="s">
        <v>991</v>
      </c>
      <c r="Q541" s="4">
        <v>1</v>
      </c>
    </row>
    <row r="542" spans="1:20" x14ac:dyDescent="0.55000000000000004">
      <c r="A542" t="s">
        <v>1930</v>
      </c>
      <c r="C542" t="s">
        <v>2826</v>
      </c>
      <c r="D542" t="s">
        <v>2827</v>
      </c>
      <c r="E542" t="s">
        <v>39</v>
      </c>
      <c r="F542" t="s">
        <v>30</v>
      </c>
      <c r="G542" t="s">
        <v>31</v>
      </c>
      <c r="H542" s="11" t="s">
        <v>991</v>
      </c>
      <c r="I542" t="s">
        <v>986</v>
      </c>
      <c r="J542" t="s">
        <v>987</v>
      </c>
      <c r="K542" t="s">
        <v>362</v>
      </c>
      <c r="L542" t="s">
        <v>30</v>
      </c>
      <c r="M542" t="s">
        <v>31</v>
      </c>
      <c r="Q542" s="4">
        <v>1</v>
      </c>
    </row>
    <row r="543" spans="1:20" x14ac:dyDescent="0.55000000000000004">
      <c r="A543" t="s">
        <v>1931</v>
      </c>
      <c r="C543" t="s">
        <v>2826</v>
      </c>
      <c r="D543" t="s">
        <v>2827</v>
      </c>
      <c r="E543" t="s">
        <v>39</v>
      </c>
      <c r="F543" t="s">
        <v>30</v>
      </c>
      <c r="G543" t="s">
        <v>31</v>
      </c>
      <c r="H543" s="11" t="s">
        <v>991</v>
      </c>
      <c r="I543" t="s">
        <v>3158</v>
      </c>
      <c r="J543" t="s">
        <v>3159</v>
      </c>
      <c r="K543" t="s">
        <v>39</v>
      </c>
      <c r="L543" t="s">
        <v>30</v>
      </c>
      <c r="M543" t="s">
        <v>31</v>
      </c>
      <c r="N543" t="s">
        <v>991</v>
      </c>
      <c r="Q543" s="4">
        <v>1</v>
      </c>
    </row>
    <row r="544" spans="1:20" s="16" customFormat="1" ht="18.5" thickBot="1" x14ac:dyDescent="0.6">
      <c r="A544" s="16" t="s">
        <v>1934</v>
      </c>
      <c r="C544" s="16" t="s">
        <v>3158</v>
      </c>
      <c r="D544" s="16" t="s">
        <v>3159</v>
      </c>
      <c r="E544" s="16" t="s">
        <v>39</v>
      </c>
      <c r="F544" s="16" t="s">
        <v>30</v>
      </c>
      <c r="G544" s="16" t="s">
        <v>31</v>
      </c>
      <c r="H544" s="16" t="s">
        <v>991</v>
      </c>
      <c r="I544" s="16" t="s">
        <v>2254</v>
      </c>
      <c r="J544" s="16" t="s">
        <v>2255</v>
      </c>
      <c r="K544" s="16" t="s">
        <v>39</v>
      </c>
      <c r="L544" s="16" t="s">
        <v>30</v>
      </c>
      <c r="M544" s="16" t="s">
        <v>31</v>
      </c>
      <c r="N544" s="16" t="s">
        <v>991</v>
      </c>
      <c r="Q544" s="17">
        <f>S544/T544</f>
        <v>0.6333333333333333</v>
      </c>
      <c r="S544" s="16">
        <f>MID(D544,FIND("x",D544)+7,4)*1</f>
        <v>3800</v>
      </c>
      <c r="T544" s="16">
        <v>6000</v>
      </c>
    </row>
    <row r="545" spans="1:20" x14ac:dyDescent="0.55000000000000004">
      <c r="A545" t="s">
        <v>1935</v>
      </c>
      <c r="C545" t="s">
        <v>2828</v>
      </c>
      <c r="D545" t="s">
        <v>2829</v>
      </c>
      <c r="E545" t="s">
        <v>35</v>
      </c>
      <c r="F545" t="s">
        <v>30</v>
      </c>
      <c r="G545" t="s">
        <v>31</v>
      </c>
      <c r="H545" t="s">
        <v>36</v>
      </c>
      <c r="I545" t="s">
        <v>2830</v>
      </c>
      <c r="J545" t="s">
        <v>2831</v>
      </c>
      <c r="K545" t="s">
        <v>39</v>
      </c>
      <c r="L545" t="s">
        <v>30</v>
      </c>
      <c r="M545" t="s">
        <v>31</v>
      </c>
      <c r="N545" t="s">
        <v>991</v>
      </c>
      <c r="Q545" s="4">
        <v>1</v>
      </c>
    </row>
    <row r="546" spans="1:20" x14ac:dyDescent="0.55000000000000004">
      <c r="A546" t="s">
        <v>1938</v>
      </c>
      <c r="C546" t="s">
        <v>2830</v>
      </c>
      <c r="D546" t="s">
        <v>2831</v>
      </c>
      <c r="E546" t="s">
        <v>39</v>
      </c>
      <c r="F546" t="s">
        <v>30</v>
      </c>
      <c r="G546" t="s">
        <v>31</v>
      </c>
      <c r="H546" s="11" t="s">
        <v>991</v>
      </c>
      <c r="I546" t="s">
        <v>986</v>
      </c>
      <c r="J546" t="s">
        <v>987</v>
      </c>
      <c r="K546" t="s">
        <v>362</v>
      </c>
      <c r="L546" t="s">
        <v>30</v>
      </c>
      <c r="M546" t="s">
        <v>31</v>
      </c>
      <c r="Q546" s="4">
        <v>1</v>
      </c>
    </row>
    <row r="547" spans="1:20" x14ac:dyDescent="0.55000000000000004">
      <c r="A547" t="s">
        <v>1939</v>
      </c>
      <c r="C547" t="s">
        <v>2830</v>
      </c>
      <c r="D547" t="s">
        <v>2831</v>
      </c>
      <c r="E547" t="s">
        <v>39</v>
      </c>
      <c r="F547" t="s">
        <v>30</v>
      </c>
      <c r="G547" t="s">
        <v>31</v>
      </c>
      <c r="H547" s="11" t="s">
        <v>991</v>
      </c>
      <c r="I547" t="s">
        <v>3160</v>
      </c>
      <c r="J547" t="s">
        <v>3161</v>
      </c>
      <c r="K547" t="s">
        <v>39</v>
      </c>
      <c r="L547" t="s">
        <v>30</v>
      </c>
      <c r="M547" t="s">
        <v>31</v>
      </c>
      <c r="N547" t="s">
        <v>991</v>
      </c>
      <c r="Q547" s="4">
        <v>1</v>
      </c>
    </row>
    <row r="548" spans="1:20" s="16" customFormat="1" ht="18.5" thickBot="1" x14ac:dyDescent="0.6">
      <c r="A548" s="16" t="s">
        <v>1942</v>
      </c>
      <c r="C548" s="16" t="s">
        <v>3160</v>
      </c>
      <c r="D548" s="16" t="s">
        <v>3161</v>
      </c>
      <c r="E548" s="16" t="s">
        <v>39</v>
      </c>
      <c r="F548" s="16" t="s">
        <v>30</v>
      </c>
      <c r="G548" s="16" t="s">
        <v>31</v>
      </c>
      <c r="H548" s="16" t="s">
        <v>991</v>
      </c>
      <c r="I548" s="16" t="s">
        <v>2254</v>
      </c>
      <c r="J548" s="16" t="s">
        <v>2255</v>
      </c>
      <c r="K548" s="16" t="s">
        <v>39</v>
      </c>
      <c r="L548" s="16" t="s">
        <v>30</v>
      </c>
      <c r="M548" s="16" t="s">
        <v>31</v>
      </c>
      <c r="N548" s="16" t="s">
        <v>991</v>
      </c>
      <c r="Q548" s="17">
        <f>S548/T548</f>
        <v>0.65</v>
      </c>
      <c r="S548" s="16">
        <f>MID(D548,FIND("x",D548)+7,4)*1</f>
        <v>3900</v>
      </c>
      <c r="T548" s="16">
        <v>6000</v>
      </c>
    </row>
    <row r="549" spans="1:20" x14ac:dyDescent="0.55000000000000004">
      <c r="A549" t="s">
        <v>1943</v>
      </c>
      <c r="C549" t="s">
        <v>2832</v>
      </c>
      <c r="D549" t="s">
        <v>2833</v>
      </c>
      <c r="E549" t="s">
        <v>35</v>
      </c>
      <c r="F549" t="s">
        <v>30</v>
      </c>
      <c r="G549" t="s">
        <v>31</v>
      </c>
      <c r="H549" t="s">
        <v>36</v>
      </c>
      <c r="I549" t="s">
        <v>2834</v>
      </c>
      <c r="J549" t="s">
        <v>2835</v>
      </c>
      <c r="K549" t="s">
        <v>39</v>
      </c>
      <c r="L549" t="s">
        <v>30</v>
      </c>
      <c r="M549" t="s">
        <v>31</v>
      </c>
      <c r="N549" t="s">
        <v>991</v>
      </c>
      <c r="Q549" s="4">
        <v>1</v>
      </c>
    </row>
    <row r="550" spans="1:20" x14ac:dyDescent="0.55000000000000004">
      <c r="A550" t="s">
        <v>1946</v>
      </c>
      <c r="C550" t="s">
        <v>2834</v>
      </c>
      <c r="D550" t="s">
        <v>2835</v>
      </c>
      <c r="E550" t="s">
        <v>39</v>
      </c>
      <c r="F550" t="s">
        <v>30</v>
      </c>
      <c r="G550" t="s">
        <v>31</v>
      </c>
      <c r="H550" s="11" t="s">
        <v>991</v>
      </c>
      <c r="I550" t="s">
        <v>986</v>
      </c>
      <c r="J550" t="s">
        <v>987</v>
      </c>
      <c r="K550" t="s">
        <v>362</v>
      </c>
      <c r="L550" t="s">
        <v>30</v>
      </c>
      <c r="M550" t="s">
        <v>31</v>
      </c>
      <c r="Q550" s="4">
        <v>1</v>
      </c>
    </row>
    <row r="551" spans="1:20" x14ac:dyDescent="0.55000000000000004">
      <c r="A551" t="s">
        <v>1947</v>
      </c>
      <c r="C551" t="s">
        <v>2834</v>
      </c>
      <c r="D551" t="s">
        <v>2835</v>
      </c>
      <c r="E551" t="s">
        <v>39</v>
      </c>
      <c r="F551" t="s">
        <v>30</v>
      </c>
      <c r="G551" t="s">
        <v>31</v>
      </c>
      <c r="H551" s="11" t="s">
        <v>991</v>
      </c>
      <c r="I551" t="s">
        <v>3162</v>
      </c>
      <c r="J551" t="s">
        <v>3163</v>
      </c>
      <c r="K551" t="s">
        <v>39</v>
      </c>
      <c r="L551" t="s">
        <v>30</v>
      </c>
      <c r="M551" t="s">
        <v>31</v>
      </c>
      <c r="N551" t="s">
        <v>991</v>
      </c>
      <c r="Q551" s="4">
        <v>1</v>
      </c>
    </row>
    <row r="552" spans="1:20" s="16" customFormat="1" ht="18.5" thickBot="1" x14ac:dyDescent="0.6">
      <c r="A552" s="16" t="s">
        <v>1950</v>
      </c>
      <c r="C552" s="16" t="s">
        <v>3162</v>
      </c>
      <c r="D552" s="16" t="s">
        <v>3163</v>
      </c>
      <c r="E552" s="16" t="s">
        <v>39</v>
      </c>
      <c r="F552" s="16" t="s">
        <v>30</v>
      </c>
      <c r="G552" s="16" t="s">
        <v>31</v>
      </c>
      <c r="H552" s="16" t="s">
        <v>991</v>
      </c>
      <c r="I552" s="16" t="s">
        <v>2254</v>
      </c>
      <c r="J552" s="16" t="s">
        <v>2255</v>
      </c>
      <c r="K552" s="16" t="s">
        <v>39</v>
      </c>
      <c r="L552" s="16" t="s">
        <v>30</v>
      </c>
      <c r="M552" s="16" t="s">
        <v>31</v>
      </c>
      <c r="N552" s="16" t="s">
        <v>991</v>
      </c>
      <c r="Q552" s="17">
        <f>S552/T552</f>
        <v>0.66666666666666663</v>
      </c>
      <c r="S552" s="16">
        <f>MID(D552,FIND("x",D552)+7,4)*1</f>
        <v>4000</v>
      </c>
      <c r="T552" s="16">
        <v>6000</v>
      </c>
    </row>
    <row r="553" spans="1:20" x14ac:dyDescent="0.55000000000000004">
      <c r="A553" t="s">
        <v>1951</v>
      </c>
      <c r="C553" t="s">
        <v>2836</v>
      </c>
      <c r="D553" t="s">
        <v>2837</v>
      </c>
      <c r="E553" t="s">
        <v>35</v>
      </c>
      <c r="F553" t="s">
        <v>30</v>
      </c>
      <c r="G553" t="s">
        <v>31</v>
      </c>
      <c r="H553" t="s">
        <v>36</v>
      </c>
      <c r="I553" t="s">
        <v>2838</v>
      </c>
      <c r="J553" t="s">
        <v>2839</v>
      </c>
      <c r="K553" t="s">
        <v>39</v>
      </c>
      <c r="L553" t="s">
        <v>30</v>
      </c>
      <c r="M553" t="s">
        <v>31</v>
      </c>
      <c r="N553" t="s">
        <v>991</v>
      </c>
      <c r="Q553" s="4">
        <v>1</v>
      </c>
    </row>
    <row r="554" spans="1:20" x14ac:dyDescent="0.55000000000000004">
      <c r="A554" t="s">
        <v>1954</v>
      </c>
      <c r="C554" t="s">
        <v>2838</v>
      </c>
      <c r="D554" t="s">
        <v>2839</v>
      </c>
      <c r="E554" t="s">
        <v>39</v>
      </c>
      <c r="F554" t="s">
        <v>30</v>
      </c>
      <c r="G554" t="s">
        <v>31</v>
      </c>
      <c r="H554" s="11" t="s">
        <v>991</v>
      </c>
      <c r="I554" t="s">
        <v>986</v>
      </c>
      <c r="J554" t="s">
        <v>987</v>
      </c>
      <c r="K554" t="s">
        <v>362</v>
      </c>
      <c r="L554" t="s">
        <v>30</v>
      </c>
      <c r="M554" t="s">
        <v>31</v>
      </c>
      <c r="Q554" s="4">
        <v>1</v>
      </c>
    </row>
    <row r="555" spans="1:20" x14ac:dyDescent="0.55000000000000004">
      <c r="A555" t="s">
        <v>1957</v>
      </c>
      <c r="C555" t="s">
        <v>2838</v>
      </c>
      <c r="D555" t="s">
        <v>2839</v>
      </c>
      <c r="E555" t="s">
        <v>39</v>
      </c>
      <c r="F555" t="s">
        <v>30</v>
      </c>
      <c r="G555" t="s">
        <v>31</v>
      </c>
      <c r="H555" s="11" t="s">
        <v>991</v>
      </c>
      <c r="I555" t="s">
        <v>3164</v>
      </c>
      <c r="J555" t="s">
        <v>3165</v>
      </c>
      <c r="K555" t="s">
        <v>39</v>
      </c>
      <c r="L555" t="s">
        <v>30</v>
      </c>
      <c r="M555" t="s">
        <v>31</v>
      </c>
      <c r="N555" t="s">
        <v>991</v>
      </c>
      <c r="Q555" s="4">
        <v>1</v>
      </c>
    </row>
    <row r="556" spans="1:20" s="16" customFormat="1" ht="18.5" thickBot="1" x14ac:dyDescent="0.6">
      <c r="A556" s="16" t="s">
        <v>1960</v>
      </c>
      <c r="C556" s="16" t="s">
        <v>3164</v>
      </c>
      <c r="D556" s="16" t="s">
        <v>3165</v>
      </c>
      <c r="E556" s="16" t="s">
        <v>39</v>
      </c>
      <c r="F556" s="16" t="s">
        <v>30</v>
      </c>
      <c r="G556" s="16" t="s">
        <v>31</v>
      </c>
      <c r="H556" s="16" t="s">
        <v>991</v>
      </c>
      <c r="I556" s="16" t="s">
        <v>2254</v>
      </c>
      <c r="J556" s="16" t="s">
        <v>2255</v>
      </c>
      <c r="K556" s="16" t="s">
        <v>39</v>
      </c>
      <c r="L556" s="16" t="s">
        <v>30</v>
      </c>
      <c r="M556" s="16" t="s">
        <v>31</v>
      </c>
      <c r="N556" s="16" t="s">
        <v>991</v>
      </c>
      <c r="Q556" s="17">
        <f>S556/T556</f>
        <v>0.68333333333333335</v>
      </c>
      <c r="S556" s="16">
        <f>MID(D556,FIND("x",D556)+7,4)*1</f>
        <v>4100</v>
      </c>
      <c r="T556" s="16">
        <v>6000</v>
      </c>
    </row>
    <row r="557" spans="1:20" x14ac:dyDescent="0.55000000000000004">
      <c r="A557" t="s">
        <v>1961</v>
      </c>
      <c r="C557" t="s">
        <v>2840</v>
      </c>
      <c r="D557" t="s">
        <v>2841</v>
      </c>
      <c r="E557" t="s">
        <v>35</v>
      </c>
      <c r="F557" t="s">
        <v>30</v>
      </c>
      <c r="G557" t="s">
        <v>31</v>
      </c>
      <c r="H557" t="s">
        <v>36</v>
      </c>
      <c r="I557" t="s">
        <v>2842</v>
      </c>
      <c r="J557" t="s">
        <v>2843</v>
      </c>
      <c r="K557" t="s">
        <v>39</v>
      </c>
      <c r="L557" t="s">
        <v>30</v>
      </c>
      <c r="M557" t="s">
        <v>31</v>
      </c>
      <c r="N557" t="s">
        <v>991</v>
      </c>
      <c r="Q557" s="4">
        <v>1</v>
      </c>
    </row>
    <row r="558" spans="1:20" x14ac:dyDescent="0.55000000000000004">
      <c r="A558" t="s">
        <v>1964</v>
      </c>
      <c r="C558" t="s">
        <v>2842</v>
      </c>
      <c r="D558" t="s">
        <v>2843</v>
      </c>
      <c r="E558" t="s">
        <v>39</v>
      </c>
      <c r="F558" t="s">
        <v>30</v>
      </c>
      <c r="G558" t="s">
        <v>31</v>
      </c>
      <c r="H558" s="11" t="s">
        <v>991</v>
      </c>
      <c r="I558" t="s">
        <v>986</v>
      </c>
      <c r="J558" t="s">
        <v>987</v>
      </c>
      <c r="K558" t="s">
        <v>362</v>
      </c>
      <c r="L558" t="s">
        <v>30</v>
      </c>
      <c r="M558" t="s">
        <v>31</v>
      </c>
      <c r="Q558" s="4">
        <v>1</v>
      </c>
    </row>
    <row r="559" spans="1:20" x14ac:dyDescent="0.55000000000000004">
      <c r="A559" t="s">
        <v>1965</v>
      </c>
      <c r="C559" t="s">
        <v>2842</v>
      </c>
      <c r="D559" t="s">
        <v>2843</v>
      </c>
      <c r="E559" t="s">
        <v>39</v>
      </c>
      <c r="F559" t="s">
        <v>30</v>
      </c>
      <c r="G559" t="s">
        <v>31</v>
      </c>
      <c r="H559" s="11" t="s">
        <v>991</v>
      </c>
      <c r="I559" t="s">
        <v>3166</v>
      </c>
      <c r="J559" t="s">
        <v>3167</v>
      </c>
      <c r="K559" t="s">
        <v>39</v>
      </c>
      <c r="L559" t="s">
        <v>30</v>
      </c>
      <c r="M559" t="s">
        <v>31</v>
      </c>
      <c r="N559" t="s">
        <v>991</v>
      </c>
      <c r="Q559" s="4">
        <v>1</v>
      </c>
    </row>
    <row r="560" spans="1:20" s="16" customFormat="1" ht="18.5" thickBot="1" x14ac:dyDescent="0.6">
      <c r="A560" s="16" t="s">
        <v>1968</v>
      </c>
      <c r="C560" s="16" t="s">
        <v>3166</v>
      </c>
      <c r="D560" s="16" t="s">
        <v>3167</v>
      </c>
      <c r="E560" s="16" t="s">
        <v>39</v>
      </c>
      <c r="F560" s="16" t="s">
        <v>30</v>
      </c>
      <c r="G560" s="16" t="s">
        <v>31</v>
      </c>
      <c r="H560" s="16" t="s">
        <v>991</v>
      </c>
      <c r="I560" s="16" t="s">
        <v>2254</v>
      </c>
      <c r="J560" s="16" t="s">
        <v>2255</v>
      </c>
      <c r="K560" s="16" t="s">
        <v>39</v>
      </c>
      <c r="L560" s="16" t="s">
        <v>30</v>
      </c>
      <c r="M560" s="16" t="s">
        <v>31</v>
      </c>
      <c r="N560" s="16" t="s">
        <v>991</v>
      </c>
      <c r="Q560" s="17">
        <f>S560/T560</f>
        <v>0.7</v>
      </c>
      <c r="S560" s="16">
        <f>MID(D560,FIND("x",D560)+7,4)*1</f>
        <v>4200</v>
      </c>
      <c r="T560" s="16">
        <v>6000</v>
      </c>
    </row>
    <row r="561" spans="1:20" x14ac:dyDescent="0.55000000000000004">
      <c r="A561" t="s">
        <v>1969</v>
      </c>
      <c r="C561" t="s">
        <v>2844</v>
      </c>
      <c r="D561" t="s">
        <v>2845</v>
      </c>
      <c r="E561" t="s">
        <v>35</v>
      </c>
      <c r="F561" t="s">
        <v>30</v>
      </c>
      <c r="G561" t="s">
        <v>31</v>
      </c>
      <c r="H561" t="s">
        <v>36</v>
      </c>
      <c r="I561" t="s">
        <v>2846</v>
      </c>
      <c r="J561" t="s">
        <v>2847</v>
      </c>
      <c r="K561" t="s">
        <v>39</v>
      </c>
      <c r="L561" t="s">
        <v>30</v>
      </c>
      <c r="M561" t="s">
        <v>31</v>
      </c>
      <c r="N561" t="s">
        <v>991</v>
      </c>
      <c r="Q561" s="4">
        <v>1</v>
      </c>
    </row>
    <row r="562" spans="1:20" x14ac:dyDescent="0.55000000000000004">
      <c r="A562" t="s">
        <v>1972</v>
      </c>
      <c r="C562" t="s">
        <v>2846</v>
      </c>
      <c r="D562" t="s">
        <v>2847</v>
      </c>
      <c r="E562" t="s">
        <v>39</v>
      </c>
      <c r="F562" t="s">
        <v>30</v>
      </c>
      <c r="G562" t="s">
        <v>31</v>
      </c>
      <c r="H562" s="11" t="s">
        <v>991</v>
      </c>
      <c r="I562" t="s">
        <v>986</v>
      </c>
      <c r="J562" t="s">
        <v>987</v>
      </c>
      <c r="K562" t="s">
        <v>362</v>
      </c>
      <c r="L562" t="s">
        <v>30</v>
      </c>
      <c r="M562" t="s">
        <v>31</v>
      </c>
      <c r="Q562" s="4">
        <v>1</v>
      </c>
    </row>
    <row r="563" spans="1:20" x14ac:dyDescent="0.55000000000000004">
      <c r="A563" t="s">
        <v>1973</v>
      </c>
      <c r="C563" t="s">
        <v>2846</v>
      </c>
      <c r="D563" t="s">
        <v>2847</v>
      </c>
      <c r="E563" t="s">
        <v>39</v>
      </c>
      <c r="F563" t="s">
        <v>30</v>
      </c>
      <c r="G563" t="s">
        <v>31</v>
      </c>
      <c r="H563" s="11" t="s">
        <v>991</v>
      </c>
      <c r="I563" t="s">
        <v>3168</v>
      </c>
      <c r="J563" t="s">
        <v>3169</v>
      </c>
      <c r="K563" t="s">
        <v>39</v>
      </c>
      <c r="L563" t="s">
        <v>30</v>
      </c>
      <c r="M563" t="s">
        <v>31</v>
      </c>
      <c r="N563" t="s">
        <v>991</v>
      </c>
      <c r="Q563" s="4">
        <v>1</v>
      </c>
    </row>
    <row r="564" spans="1:20" s="16" customFormat="1" ht="18.5" thickBot="1" x14ac:dyDescent="0.6">
      <c r="A564" s="16" t="s">
        <v>1976</v>
      </c>
      <c r="C564" s="16" t="s">
        <v>3168</v>
      </c>
      <c r="D564" s="16" t="s">
        <v>3169</v>
      </c>
      <c r="E564" s="16" t="s">
        <v>39</v>
      </c>
      <c r="F564" s="16" t="s">
        <v>30</v>
      </c>
      <c r="G564" s="16" t="s">
        <v>31</v>
      </c>
      <c r="H564" s="16" t="s">
        <v>991</v>
      </c>
      <c r="I564" s="16" t="s">
        <v>2254</v>
      </c>
      <c r="J564" s="16" t="s">
        <v>2255</v>
      </c>
      <c r="K564" s="16" t="s">
        <v>39</v>
      </c>
      <c r="L564" s="16" t="s">
        <v>30</v>
      </c>
      <c r="M564" s="16" t="s">
        <v>31</v>
      </c>
      <c r="N564" s="16" t="s">
        <v>991</v>
      </c>
      <c r="Q564" s="17">
        <f>S564/T564</f>
        <v>0.71666666666666667</v>
      </c>
      <c r="S564" s="16">
        <f>MID(D564,FIND("x",D564)+7,4)*1</f>
        <v>4300</v>
      </c>
      <c r="T564" s="16">
        <v>6000</v>
      </c>
    </row>
    <row r="565" spans="1:20" x14ac:dyDescent="0.55000000000000004">
      <c r="A565" t="s">
        <v>1977</v>
      </c>
      <c r="C565" t="s">
        <v>2848</v>
      </c>
      <c r="D565" t="s">
        <v>2849</v>
      </c>
      <c r="E565" t="s">
        <v>35</v>
      </c>
      <c r="F565" t="s">
        <v>30</v>
      </c>
      <c r="G565" t="s">
        <v>31</v>
      </c>
      <c r="H565" t="s">
        <v>36</v>
      </c>
      <c r="I565" t="s">
        <v>2850</v>
      </c>
      <c r="J565" t="s">
        <v>2851</v>
      </c>
      <c r="K565" t="s">
        <v>39</v>
      </c>
      <c r="L565" t="s">
        <v>30</v>
      </c>
      <c r="M565" t="s">
        <v>31</v>
      </c>
      <c r="N565" t="s">
        <v>991</v>
      </c>
      <c r="Q565" s="4">
        <v>1</v>
      </c>
    </row>
    <row r="566" spans="1:20" x14ac:dyDescent="0.55000000000000004">
      <c r="A566" t="s">
        <v>1980</v>
      </c>
      <c r="C566" t="s">
        <v>2850</v>
      </c>
      <c r="D566" t="s">
        <v>2851</v>
      </c>
      <c r="E566" t="s">
        <v>39</v>
      </c>
      <c r="F566" t="s">
        <v>30</v>
      </c>
      <c r="G566" t="s">
        <v>31</v>
      </c>
      <c r="H566" s="11" t="s">
        <v>991</v>
      </c>
      <c r="I566" t="s">
        <v>986</v>
      </c>
      <c r="J566" t="s">
        <v>987</v>
      </c>
      <c r="K566" t="s">
        <v>362</v>
      </c>
      <c r="L566" t="s">
        <v>30</v>
      </c>
      <c r="M566" t="s">
        <v>31</v>
      </c>
      <c r="Q566" s="4">
        <v>1</v>
      </c>
    </row>
    <row r="567" spans="1:20" x14ac:dyDescent="0.55000000000000004">
      <c r="A567" t="s">
        <v>1981</v>
      </c>
      <c r="C567" t="s">
        <v>2850</v>
      </c>
      <c r="D567" t="s">
        <v>2851</v>
      </c>
      <c r="E567" t="s">
        <v>39</v>
      </c>
      <c r="F567" t="s">
        <v>30</v>
      </c>
      <c r="G567" t="s">
        <v>31</v>
      </c>
      <c r="H567" s="11" t="s">
        <v>991</v>
      </c>
      <c r="I567" t="s">
        <v>3170</v>
      </c>
      <c r="J567" t="s">
        <v>3171</v>
      </c>
      <c r="K567" t="s">
        <v>39</v>
      </c>
      <c r="L567" t="s">
        <v>30</v>
      </c>
      <c r="M567" t="s">
        <v>31</v>
      </c>
      <c r="N567" t="s">
        <v>991</v>
      </c>
      <c r="Q567" s="4">
        <v>1</v>
      </c>
    </row>
    <row r="568" spans="1:20" s="16" customFormat="1" ht="18.5" thickBot="1" x14ac:dyDescent="0.6">
      <c r="A568" s="16" t="s">
        <v>1984</v>
      </c>
      <c r="C568" s="16" t="s">
        <v>3170</v>
      </c>
      <c r="D568" s="16" t="s">
        <v>3171</v>
      </c>
      <c r="E568" s="16" t="s">
        <v>39</v>
      </c>
      <c r="F568" s="16" t="s">
        <v>30</v>
      </c>
      <c r="G568" s="16" t="s">
        <v>31</v>
      </c>
      <c r="H568" s="16" t="s">
        <v>991</v>
      </c>
      <c r="I568" s="16" t="s">
        <v>2254</v>
      </c>
      <c r="J568" s="16" t="s">
        <v>2255</v>
      </c>
      <c r="K568" s="16" t="s">
        <v>39</v>
      </c>
      <c r="L568" s="16" t="s">
        <v>30</v>
      </c>
      <c r="M568" s="16" t="s">
        <v>31</v>
      </c>
      <c r="N568" s="16" t="s">
        <v>991</v>
      </c>
      <c r="Q568" s="17">
        <f>S568/T568</f>
        <v>0.73333333333333328</v>
      </c>
      <c r="S568" s="16">
        <f>MID(D568,FIND("x",D568)+7,4)*1</f>
        <v>4400</v>
      </c>
      <c r="T568" s="16">
        <v>6000</v>
      </c>
    </row>
    <row r="569" spans="1:20" x14ac:dyDescent="0.55000000000000004">
      <c r="A569" t="s">
        <v>1985</v>
      </c>
      <c r="C569" t="s">
        <v>2852</v>
      </c>
      <c r="D569" t="s">
        <v>2853</v>
      </c>
      <c r="E569" t="s">
        <v>35</v>
      </c>
      <c r="F569" t="s">
        <v>30</v>
      </c>
      <c r="G569" t="s">
        <v>31</v>
      </c>
      <c r="H569" t="s">
        <v>36</v>
      </c>
      <c r="I569" t="s">
        <v>2854</v>
      </c>
      <c r="J569" t="s">
        <v>2855</v>
      </c>
      <c r="K569" t="s">
        <v>39</v>
      </c>
      <c r="L569" t="s">
        <v>30</v>
      </c>
      <c r="M569" t="s">
        <v>31</v>
      </c>
      <c r="N569" t="s">
        <v>991</v>
      </c>
      <c r="Q569" s="4">
        <v>1</v>
      </c>
    </row>
    <row r="570" spans="1:20" x14ac:dyDescent="0.55000000000000004">
      <c r="A570" t="s">
        <v>1988</v>
      </c>
      <c r="C570" t="s">
        <v>2854</v>
      </c>
      <c r="D570" t="s">
        <v>2855</v>
      </c>
      <c r="E570" t="s">
        <v>39</v>
      </c>
      <c r="F570" t="s">
        <v>30</v>
      </c>
      <c r="G570" t="s">
        <v>31</v>
      </c>
      <c r="H570" s="11" t="s">
        <v>991</v>
      </c>
      <c r="I570" t="s">
        <v>986</v>
      </c>
      <c r="J570" t="s">
        <v>987</v>
      </c>
      <c r="K570" t="s">
        <v>362</v>
      </c>
      <c r="L570" t="s">
        <v>30</v>
      </c>
      <c r="M570" t="s">
        <v>31</v>
      </c>
      <c r="Q570" s="4">
        <v>1</v>
      </c>
    </row>
    <row r="571" spans="1:20" x14ac:dyDescent="0.55000000000000004">
      <c r="A571" t="s">
        <v>1989</v>
      </c>
      <c r="C571" t="s">
        <v>2854</v>
      </c>
      <c r="D571" t="s">
        <v>2855</v>
      </c>
      <c r="E571" t="s">
        <v>39</v>
      </c>
      <c r="F571" t="s">
        <v>30</v>
      </c>
      <c r="G571" t="s">
        <v>31</v>
      </c>
      <c r="H571" s="11" t="s">
        <v>991</v>
      </c>
      <c r="I571" t="s">
        <v>3172</v>
      </c>
      <c r="J571" t="s">
        <v>3173</v>
      </c>
      <c r="K571" t="s">
        <v>39</v>
      </c>
      <c r="L571" t="s">
        <v>30</v>
      </c>
      <c r="M571" t="s">
        <v>31</v>
      </c>
      <c r="N571" t="s">
        <v>991</v>
      </c>
      <c r="Q571" s="4">
        <v>1</v>
      </c>
    </row>
    <row r="572" spans="1:20" s="16" customFormat="1" ht="18.5" thickBot="1" x14ac:dyDescent="0.6">
      <c r="A572" s="16" t="s">
        <v>1990</v>
      </c>
      <c r="C572" s="16" t="s">
        <v>3172</v>
      </c>
      <c r="D572" s="16" t="s">
        <v>3173</v>
      </c>
      <c r="E572" s="16" t="s">
        <v>39</v>
      </c>
      <c r="F572" s="16" t="s">
        <v>30</v>
      </c>
      <c r="G572" s="16" t="s">
        <v>31</v>
      </c>
      <c r="H572" s="16" t="s">
        <v>991</v>
      </c>
      <c r="I572" s="16" t="s">
        <v>2254</v>
      </c>
      <c r="J572" s="16" t="s">
        <v>2255</v>
      </c>
      <c r="K572" s="16" t="s">
        <v>39</v>
      </c>
      <c r="L572" s="16" t="s">
        <v>30</v>
      </c>
      <c r="M572" s="16" t="s">
        <v>31</v>
      </c>
      <c r="N572" s="16" t="s">
        <v>991</v>
      </c>
      <c r="Q572" s="17">
        <f>S572/T572</f>
        <v>0.75</v>
      </c>
      <c r="S572" s="16">
        <f>MID(D572,FIND("x",D572)+7,4)*1</f>
        <v>4500</v>
      </c>
      <c r="T572" s="16">
        <v>6000</v>
      </c>
    </row>
    <row r="573" spans="1:20" x14ac:dyDescent="0.55000000000000004">
      <c r="A573" t="s">
        <v>1991</v>
      </c>
      <c r="C573" t="s">
        <v>2856</v>
      </c>
      <c r="D573" t="s">
        <v>2857</v>
      </c>
      <c r="E573" t="s">
        <v>35</v>
      </c>
      <c r="F573" t="s">
        <v>30</v>
      </c>
      <c r="G573" t="s">
        <v>31</v>
      </c>
      <c r="H573" t="s">
        <v>36</v>
      </c>
      <c r="I573" t="s">
        <v>2858</v>
      </c>
      <c r="J573" t="s">
        <v>2859</v>
      </c>
      <c r="K573" t="s">
        <v>39</v>
      </c>
      <c r="L573" t="s">
        <v>30</v>
      </c>
      <c r="M573" t="s">
        <v>31</v>
      </c>
      <c r="N573" t="s">
        <v>991</v>
      </c>
      <c r="Q573" s="4">
        <v>1</v>
      </c>
    </row>
    <row r="574" spans="1:20" x14ac:dyDescent="0.55000000000000004">
      <c r="A574" t="s">
        <v>1992</v>
      </c>
      <c r="C574" t="s">
        <v>2858</v>
      </c>
      <c r="D574" t="s">
        <v>2859</v>
      </c>
      <c r="E574" t="s">
        <v>39</v>
      </c>
      <c r="F574" t="s">
        <v>30</v>
      </c>
      <c r="G574" t="s">
        <v>31</v>
      </c>
      <c r="H574" s="11" t="s">
        <v>991</v>
      </c>
      <c r="I574" t="s">
        <v>986</v>
      </c>
      <c r="J574" t="s">
        <v>987</v>
      </c>
      <c r="K574" t="s">
        <v>362</v>
      </c>
      <c r="L574" t="s">
        <v>30</v>
      </c>
      <c r="M574" t="s">
        <v>31</v>
      </c>
      <c r="Q574" s="4">
        <v>1</v>
      </c>
    </row>
    <row r="575" spans="1:20" x14ac:dyDescent="0.55000000000000004">
      <c r="A575" t="s">
        <v>1993</v>
      </c>
      <c r="C575" t="s">
        <v>2858</v>
      </c>
      <c r="D575" t="s">
        <v>2859</v>
      </c>
      <c r="E575" t="s">
        <v>39</v>
      </c>
      <c r="F575" t="s">
        <v>30</v>
      </c>
      <c r="G575" t="s">
        <v>31</v>
      </c>
      <c r="H575" s="11" t="s">
        <v>991</v>
      </c>
      <c r="I575" t="s">
        <v>3174</v>
      </c>
      <c r="J575" t="s">
        <v>3175</v>
      </c>
      <c r="K575" t="s">
        <v>39</v>
      </c>
      <c r="L575" t="s">
        <v>30</v>
      </c>
      <c r="M575" t="s">
        <v>31</v>
      </c>
      <c r="N575" t="s">
        <v>991</v>
      </c>
      <c r="Q575" s="4">
        <v>1</v>
      </c>
    </row>
    <row r="576" spans="1:20" s="16" customFormat="1" ht="18.5" thickBot="1" x14ac:dyDescent="0.6">
      <c r="A576" s="16" t="s">
        <v>1994</v>
      </c>
      <c r="C576" s="16" t="s">
        <v>3174</v>
      </c>
      <c r="D576" s="16" t="s">
        <v>3175</v>
      </c>
      <c r="E576" s="16" t="s">
        <v>39</v>
      </c>
      <c r="F576" s="16" t="s">
        <v>30</v>
      </c>
      <c r="G576" s="16" t="s">
        <v>31</v>
      </c>
      <c r="H576" s="16" t="s">
        <v>991</v>
      </c>
      <c r="I576" s="16" t="s">
        <v>2254</v>
      </c>
      <c r="J576" s="16" t="s">
        <v>2255</v>
      </c>
      <c r="K576" s="16" t="s">
        <v>39</v>
      </c>
      <c r="L576" s="16" t="s">
        <v>30</v>
      </c>
      <c r="M576" s="16" t="s">
        <v>31</v>
      </c>
      <c r="N576" s="16" t="s">
        <v>991</v>
      </c>
      <c r="Q576" s="17">
        <f>S576/T576</f>
        <v>0.76666666666666672</v>
      </c>
      <c r="S576" s="16">
        <f>MID(D576,FIND("x",D576)+7,4)*1</f>
        <v>4600</v>
      </c>
      <c r="T576" s="16">
        <v>6000</v>
      </c>
    </row>
    <row r="577" spans="1:20" x14ac:dyDescent="0.55000000000000004">
      <c r="A577" t="s">
        <v>1995</v>
      </c>
      <c r="C577" t="s">
        <v>2860</v>
      </c>
      <c r="D577" t="s">
        <v>2861</v>
      </c>
      <c r="E577" t="s">
        <v>35</v>
      </c>
      <c r="F577" t="s">
        <v>30</v>
      </c>
      <c r="G577" t="s">
        <v>31</v>
      </c>
      <c r="H577" t="s">
        <v>36</v>
      </c>
      <c r="I577" t="s">
        <v>2862</v>
      </c>
      <c r="J577" t="s">
        <v>2863</v>
      </c>
      <c r="K577" t="s">
        <v>39</v>
      </c>
      <c r="L577" t="s">
        <v>30</v>
      </c>
      <c r="M577" t="s">
        <v>31</v>
      </c>
      <c r="N577" t="s">
        <v>991</v>
      </c>
      <c r="Q577" s="4">
        <v>1</v>
      </c>
    </row>
    <row r="578" spans="1:20" x14ac:dyDescent="0.55000000000000004">
      <c r="A578" t="s">
        <v>1996</v>
      </c>
      <c r="C578" t="s">
        <v>2862</v>
      </c>
      <c r="D578" t="s">
        <v>2863</v>
      </c>
      <c r="E578" t="s">
        <v>39</v>
      </c>
      <c r="F578" t="s">
        <v>30</v>
      </c>
      <c r="G578" t="s">
        <v>31</v>
      </c>
      <c r="H578" s="11" t="s">
        <v>991</v>
      </c>
      <c r="I578" t="s">
        <v>986</v>
      </c>
      <c r="J578" t="s">
        <v>987</v>
      </c>
      <c r="K578" t="s">
        <v>362</v>
      </c>
      <c r="L578" t="s">
        <v>30</v>
      </c>
      <c r="M578" t="s">
        <v>31</v>
      </c>
      <c r="Q578" s="4">
        <v>1</v>
      </c>
    </row>
    <row r="579" spans="1:20" x14ac:dyDescent="0.55000000000000004">
      <c r="A579" t="s">
        <v>1997</v>
      </c>
      <c r="C579" t="s">
        <v>2862</v>
      </c>
      <c r="D579" t="s">
        <v>2863</v>
      </c>
      <c r="E579" t="s">
        <v>39</v>
      </c>
      <c r="F579" t="s">
        <v>30</v>
      </c>
      <c r="G579" t="s">
        <v>31</v>
      </c>
      <c r="H579" s="11" t="s">
        <v>991</v>
      </c>
      <c r="I579" t="s">
        <v>3176</v>
      </c>
      <c r="J579" t="s">
        <v>3177</v>
      </c>
      <c r="K579" t="s">
        <v>39</v>
      </c>
      <c r="L579" t="s">
        <v>30</v>
      </c>
      <c r="M579" t="s">
        <v>31</v>
      </c>
      <c r="N579" t="s">
        <v>991</v>
      </c>
      <c r="Q579" s="4">
        <v>1</v>
      </c>
    </row>
    <row r="580" spans="1:20" s="16" customFormat="1" ht="18.5" thickBot="1" x14ac:dyDescent="0.6">
      <c r="A580" s="16" t="s">
        <v>1998</v>
      </c>
      <c r="C580" s="16" t="s">
        <v>3176</v>
      </c>
      <c r="D580" s="16" t="s">
        <v>3177</v>
      </c>
      <c r="E580" s="16" t="s">
        <v>39</v>
      </c>
      <c r="F580" s="16" t="s">
        <v>30</v>
      </c>
      <c r="G580" s="16" t="s">
        <v>31</v>
      </c>
      <c r="H580" s="16" t="s">
        <v>991</v>
      </c>
      <c r="I580" s="16" t="s">
        <v>2254</v>
      </c>
      <c r="J580" s="16" t="s">
        <v>2255</v>
      </c>
      <c r="K580" s="16" t="s">
        <v>39</v>
      </c>
      <c r="L580" s="16" t="s">
        <v>30</v>
      </c>
      <c r="M580" s="16" t="s">
        <v>31</v>
      </c>
      <c r="N580" s="16" t="s">
        <v>991</v>
      </c>
      <c r="Q580" s="17">
        <f>S580/T580</f>
        <v>0.78333333333333333</v>
      </c>
      <c r="S580" s="16">
        <f>MID(D580,FIND("x",D580)+7,4)*1</f>
        <v>4700</v>
      </c>
      <c r="T580" s="16">
        <v>6000</v>
      </c>
    </row>
    <row r="581" spans="1:20" x14ac:dyDescent="0.55000000000000004">
      <c r="A581" t="s">
        <v>1999</v>
      </c>
      <c r="C581" t="s">
        <v>2864</v>
      </c>
      <c r="D581" t="s">
        <v>2865</v>
      </c>
      <c r="E581" t="s">
        <v>35</v>
      </c>
      <c r="F581" t="s">
        <v>30</v>
      </c>
      <c r="G581" t="s">
        <v>31</v>
      </c>
      <c r="H581" t="s">
        <v>36</v>
      </c>
      <c r="I581" t="s">
        <v>2866</v>
      </c>
      <c r="J581" t="s">
        <v>2867</v>
      </c>
      <c r="K581" t="s">
        <v>39</v>
      </c>
      <c r="L581" t="s">
        <v>30</v>
      </c>
      <c r="M581" t="s">
        <v>31</v>
      </c>
      <c r="N581" t="s">
        <v>991</v>
      </c>
      <c r="Q581" s="4">
        <v>1</v>
      </c>
    </row>
    <row r="582" spans="1:20" x14ac:dyDescent="0.55000000000000004">
      <c r="A582" t="s">
        <v>2000</v>
      </c>
      <c r="C582" t="s">
        <v>2866</v>
      </c>
      <c r="D582" t="s">
        <v>2867</v>
      </c>
      <c r="E582" t="s">
        <v>39</v>
      </c>
      <c r="F582" t="s">
        <v>30</v>
      </c>
      <c r="G582" t="s">
        <v>31</v>
      </c>
      <c r="H582" s="11" t="s">
        <v>991</v>
      </c>
      <c r="I582" t="s">
        <v>986</v>
      </c>
      <c r="J582" t="s">
        <v>987</v>
      </c>
      <c r="K582" t="s">
        <v>362</v>
      </c>
      <c r="L582" t="s">
        <v>30</v>
      </c>
      <c r="M582" t="s">
        <v>31</v>
      </c>
      <c r="Q582" s="4">
        <v>1</v>
      </c>
    </row>
    <row r="583" spans="1:20" x14ac:dyDescent="0.55000000000000004">
      <c r="A583" t="s">
        <v>2001</v>
      </c>
      <c r="C583" t="s">
        <v>2866</v>
      </c>
      <c r="D583" t="s">
        <v>2867</v>
      </c>
      <c r="E583" t="s">
        <v>39</v>
      </c>
      <c r="F583" t="s">
        <v>30</v>
      </c>
      <c r="G583" t="s">
        <v>31</v>
      </c>
      <c r="H583" s="11" t="s">
        <v>991</v>
      </c>
      <c r="I583" t="s">
        <v>3178</v>
      </c>
      <c r="J583" t="s">
        <v>3179</v>
      </c>
      <c r="K583" t="s">
        <v>39</v>
      </c>
      <c r="L583" t="s">
        <v>30</v>
      </c>
      <c r="M583" t="s">
        <v>31</v>
      </c>
      <c r="N583" t="s">
        <v>991</v>
      </c>
      <c r="Q583" s="4">
        <v>1</v>
      </c>
    </row>
    <row r="584" spans="1:20" s="16" customFormat="1" ht="18.5" thickBot="1" x14ac:dyDescent="0.6">
      <c r="A584" s="16" t="s">
        <v>2002</v>
      </c>
      <c r="C584" s="16" t="s">
        <v>3178</v>
      </c>
      <c r="D584" s="16" t="s">
        <v>3179</v>
      </c>
      <c r="E584" s="16" t="s">
        <v>39</v>
      </c>
      <c r="F584" s="16" t="s">
        <v>30</v>
      </c>
      <c r="G584" s="16" t="s">
        <v>31</v>
      </c>
      <c r="H584" s="16" t="s">
        <v>991</v>
      </c>
      <c r="I584" s="16" t="s">
        <v>2254</v>
      </c>
      <c r="J584" s="16" t="s">
        <v>2255</v>
      </c>
      <c r="K584" s="16" t="s">
        <v>39</v>
      </c>
      <c r="L584" s="16" t="s">
        <v>30</v>
      </c>
      <c r="M584" s="16" t="s">
        <v>31</v>
      </c>
      <c r="N584" s="16" t="s">
        <v>991</v>
      </c>
      <c r="Q584" s="17">
        <f>S584/T584</f>
        <v>0.8</v>
      </c>
      <c r="S584" s="16">
        <f>MID(D584,FIND("x",D584)+7,4)*1</f>
        <v>4800</v>
      </c>
      <c r="T584" s="16">
        <v>6000</v>
      </c>
    </row>
    <row r="585" spans="1:20" x14ac:dyDescent="0.55000000000000004">
      <c r="A585" t="s">
        <v>2003</v>
      </c>
      <c r="C585" t="s">
        <v>2868</v>
      </c>
      <c r="D585" t="s">
        <v>2869</v>
      </c>
      <c r="E585" t="s">
        <v>35</v>
      </c>
      <c r="F585" t="s">
        <v>30</v>
      </c>
      <c r="G585" t="s">
        <v>31</v>
      </c>
      <c r="H585" t="s">
        <v>36</v>
      </c>
      <c r="I585" t="s">
        <v>2870</v>
      </c>
      <c r="J585" t="s">
        <v>2871</v>
      </c>
      <c r="K585" t="s">
        <v>39</v>
      </c>
      <c r="L585" t="s">
        <v>30</v>
      </c>
      <c r="M585" t="s">
        <v>31</v>
      </c>
      <c r="N585" t="s">
        <v>991</v>
      </c>
      <c r="Q585" s="4">
        <v>1</v>
      </c>
    </row>
    <row r="586" spans="1:20" x14ac:dyDescent="0.55000000000000004">
      <c r="A586" t="s">
        <v>2004</v>
      </c>
      <c r="C586" t="s">
        <v>2870</v>
      </c>
      <c r="D586" t="s">
        <v>2871</v>
      </c>
      <c r="E586" t="s">
        <v>39</v>
      </c>
      <c r="F586" t="s">
        <v>30</v>
      </c>
      <c r="G586" t="s">
        <v>31</v>
      </c>
      <c r="H586" s="11" t="s">
        <v>991</v>
      </c>
      <c r="I586" t="s">
        <v>986</v>
      </c>
      <c r="J586" t="s">
        <v>987</v>
      </c>
      <c r="K586" t="s">
        <v>362</v>
      </c>
      <c r="L586" t="s">
        <v>30</v>
      </c>
      <c r="M586" t="s">
        <v>31</v>
      </c>
      <c r="Q586" s="4">
        <v>1</v>
      </c>
    </row>
    <row r="587" spans="1:20" x14ac:dyDescent="0.55000000000000004">
      <c r="A587" t="s">
        <v>2005</v>
      </c>
      <c r="C587" t="s">
        <v>2870</v>
      </c>
      <c r="D587" t="s">
        <v>2871</v>
      </c>
      <c r="E587" t="s">
        <v>39</v>
      </c>
      <c r="F587" t="s">
        <v>30</v>
      </c>
      <c r="G587" t="s">
        <v>31</v>
      </c>
      <c r="H587" s="11" t="s">
        <v>991</v>
      </c>
      <c r="I587" t="s">
        <v>3180</v>
      </c>
      <c r="J587" t="s">
        <v>3181</v>
      </c>
      <c r="K587" t="s">
        <v>39</v>
      </c>
      <c r="L587" t="s">
        <v>30</v>
      </c>
      <c r="M587" t="s">
        <v>31</v>
      </c>
      <c r="N587" t="s">
        <v>991</v>
      </c>
      <c r="Q587" s="4">
        <v>1</v>
      </c>
    </row>
    <row r="588" spans="1:20" s="16" customFormat="1" ht="18.5" thickBot="1" x14ac:dyDescent="0.6">
      <c r="A588" s="16" t="s">
        <v>2006</v>
      </c>
      <c r="C588" s="16" t="s">
        <v>3180</v>
      </c>
      <c r="D588" s="16" t="s">
        <v>3181</v>
      </c>
      <c r="E588" s="16" t="s">
        <v>39</v>
      </c>
      <c r="F588" s="16" t="s">
        <v>30</v>
      </c>
      <c r="G588" s="16" t="s">
        <v>31</v>
      </c>
      <c r="H588" s="16" t="s">
        <v>991</v>
      </c>
      <c r="I588" s="16" t="s">
        <v>2254</v>
      </c>
      <c r="J588" s="16" t="s">
        <v>2255</v>
      </c>
      <c r="K588" s="16" t="s">
        <v>39</v>
      </c>
      <c r="L588" s="16" t="s">
        <v>30</v>
      </c>
      <c r="M588" s="16" t="s">
        <v>31</v>
      </c>
      <c r="N588" s="16" t="s">
        <v>991</v>
      </c>
      <c r="Q588" s="17">
        <f>S588/T588</f>
        <v>0.81666666666666665</v>
      </c>
      <c r="S588" s="16">
        <f>MID(D588,FIND("x",D588)+7,4)*1</f>
        <v>4900</v>
      </c>
      <c r="T588" s="16">
        <v>6000</v>
      </c>
    </row>
    <row r="589" spans="1:20" x14ac:dyDescent="0.55000000000000004">
      <c r="A589" t="s">
        <v>2007</v>
      </c>
      <c r="C589" t="s">
        <v>2872</v>
      </c>
      <c r="D589" t="s">
        <v>2873</v>
      </c>
      <c r="E589" t="s">
        <v>35</v>
      </c>
      <c r="F589" t="s">
        <v>30</v>
      </c>
      <c r="G589" t="s">
        <v>31</v>
      </c>
      <c r="H589" t="s">
        <v>36</v>
      </c>
      <c r="I589" t="s">
        <v>2874</v>
      </c>
      <c r="J589" t="s">
        <v>2875</v>
      </c>
      <c r="K589" t="s">
        <v>39</v>
      </c>
      <c r="L589" t="s">
        <v>30</v>
      </c>
      <c r="M589" t="s">
        <v>31</v>
      </c>
      <c r="N589" t="s">
        <v>991</v>
      </c>
      <c r="Q589" s="4">
        <v>1</v>
      </c>
    </row>
    <row r="590" spans="1:20" x14ac:dyDescent="0.55000000000000004">
      <c r="A590" t="s">
        <v>2008</v>
      </c>
      <c r="C590" t="s">
        <v>2874</v>
      </c>
      <c r="D590" t="s">
        <v>2875</v>
      </c>
      <c r="E590" t="s">
        <v>39</v>
      </c>
      <c r="F590" t="s">
        <v>30</v>
      </c>
      <c r="G590" t="s">
        <v>31</v>
      </c>
      <c r="H590" s="11" t="s">
        <v>991</v>
      </c>
      <c r="I590" t="s">
        <v>986</v>
      </c>
      <c r="J590" t="s">
        <v>987</v>
      </c>
      <c r="K590" t="s">
        <v>362</v>
      </c>
      <c r="L590" t="s">
        <v>30</v>
      </c>
      <c r="M590" t="s">
        <v>31</v>
      </c>
      <c r="Q590" s="4">
        <v>1</v>
      </c>
    </row>
    <row r="591" spans="1:20" x14ac:dyDescent="0.55000000000000004">
      <c r="A591" t="s">
        <v>2009</v>
      </c>
      <c r="C591" t="s">
        <v>2874</v>
      </c>
      <c r="D591" t="s">
        <v>2875</v>
      </c>
      <c r="E591" t="s">
        <v>39</v>
      </c>
      <c r="F591" t="s">
        <v>30</v>
      </c>
      <c r="G591" t="s">
        <v>31</v>
      </c>
      <c r="H591" s="11" t="s">
        <v>991</v>
      </c>
      <c r="I591" t="s">
        <v>3182</v>
      </c>
      <c r="J591" t="s">
        <v>3183</v>
      </c>
      <c r="K591" t="s">
        <v>39</v>
      </c>
      <c r="L591" t="s">
        <v>30</v>
      </c>
      <c r="M591" t="s">
        <v>31</v>
      </c>
      <c r="N591" t="s">
        <v>991</v>
      </c>
      <c r="Q591" s="4">
        <v>1</v>
      </c>
    </row>
    <row r="592" spans="1:20" s="16" customFormat="1" ht="18.5" thickBot="1" x14ac:dyDescent="0.6">
      <c r="A592" s="16" t="s">
        <v>2010</v>
      </c>
      <c r="C592" s="16" t="s">
        <v>3182</v>
      </c>
      <c r="D592" s="16" t="s">
        <v>3183</v>
      </c>
      <c r="E592" s="16" t="s">
        <v>39</v>
      </c>
      <c r="F592" s="16" t="s">
        <v>30</v>
      </c>
      <c r="G592" s="16" t="s">
        <v>31</v>
      </c>
      <c r="H592" s="16" t="s">
        <v>991</v>
      </c>
      <c r="I592" s="16" t="s">
        <v>2254</v>
      </c>
      <c r="J592" s="16" t="s">
        <v>2255</v>
      </c>
      <c r="K592" s="16" t="s">
        <v>39</v>
      </c>
      <c r="L592" s="16" t="s">
        <v>30</v>
      </c>
      <c r="M592" s="16" t="s">
        <v>31</v>
      </c>
      <c r="N592" s="16" t="s">
        <v>991</v>
      </c>
      <c r="Q592" s="17">
        <f>S592/T592</f>
        <v>0.83333333333333337</v>
      </c>
      <c r="S592" s="16">
        <f>MID(D592,FIND("x",D592)+7,4)*1</f>
        <v>5000</v>
      </c>
      <c r="T592" s="16">
        <v>6000</v>
      </c>
    </row>
    <row r="593" spans="1:20" x14ac:dyDescent="0.55000000000000004">
      <c r="A593" t="s">
        <v>2011</v>
      </c>
      <c r="C593" t="s">
        <v>2876</v>
      </c>
      <c r="D593" t="s">
        <v>2877</v>
      </c>
      <c r="E593" t="s">
        <v>35</v>
      </c>
      <c r="F593" t="s">
        <v>30</v>
      </c>
      <c r="G593" t="s">
        <v>31</v>
      </c>
      <c r="H593" t="s">
        <v>36</v>
      </c>
      <c r="I593" t="s">
        <v>2878</v>
      </c>
      <c r="J593" t="s">
        <v>2879</v>
      </c>
      <c r="K593" t="s">
        <v>39</v>
      </c>
      <c r="L593" t="s">
        <v>30</v>
      </c>
      <c r="M593" t="s">
        <v>31</v>
      </c>
      <c r="N593" t="s">
        <v>991</v>
      </c>
      <c r="Q593" s="4">
        <v>1</v>
      </c>
    </row>
    <row r="594" spans="1:20" x14ac:dyDescent="0.55000000000000004">
      <c r="A594" t="s">
        <v>2012</v>
      </c>
      <c r="C594" t="s">
        <v>2878</v>
      </c>
      <c r="D594" t="s">
        <v>2879</v>
      </c>
      <c r="E594" t="s">
        <v>39</v>
      </c>
      <c r="F594" t="s">
        <v>30</v>
      </c>
      <c r="G594" t="s">
        <v>31</v>
      </c>
      <c r="H594" s="11" t="s">
        <v>991</v>
      </c>
      <c r="I594" t="s">
        <v>986</v>
      </c>
      <c r="J594" t="s">
        <v>987</v>
      </c>
      <c r="K594" t="s">
        <v>362</v>
      </c>
      <c r="L594" t="s">
        <v>30</v>
      </c>
      <c r="M594" t="s">
        <v>31</v>
      </c>
      <c r="Q594" s="4">
        <v>1</v>
      </c>
    </row>
    <row r="595" spans="1:20" x14ac:dyDescent="0.55000000000000004">
      <c r="A595" t="s">
        <v>2013</v>
      </c>
      <c r="C595" t="s">
        <v>2878</v>
      </c>
      <c r="D595" t="s">
        <v>2879</v>
      </c>
      <c r="E595" t="s">
        <v>39</v>
      </c>
      <c r="F595" t="s">
        <v>30</v>
      </c>
      <c r="G595" t="s">
        <v>31</v>
      </c>
      <c r="H595" s="11" t="s">
        <v>991</v>
      </c>
      <c r="I595" t="s">
        <v>3184</v>
      </c>
      <c r="J595" t="s">
        <v>3185</v>
      </c>
      <c r="K595" t="s">
        <v>39</v>
      </c>
      <c r="L595" t="s">
        <v>30</v>
      </c>
      <c r="M595" t="s">
        <v>31</v>
      </c>
      <c r="N595" t="s">
        <v>991</v>
      </c>
      <c r="Q595" s="4">
        <v>1</v>
      </c>
    </row>
    <row r="596" spans="1:20" s="16" customFormat="1" ht="18.5" thickBot="1" x14ac:dyDescent="0.6">
      <c r="A596" s="16" t="s">
        <v>2014</v>
      </c>
      <c r="C596" s="16" t="s">
        <v>3184</v>
      </c>
      <c r="D596" s="16" t="s">
        <v>3185</v>
      </c>
      <c r="E596" s="16" t="s">
        <v>39</v>
      </c>
      <c r="F596" s="16" t="s">
        <v>30</v>
      </c>
      <c r="G596" s="16" t="s">
        <v>31</v>
      </c>
      <c r="H596" s="16" t="s">
        <v>991</v>
      </c>
      <c r="I596" s="16" t="s">
        <v>2254</v>
      </c>
      <c r="J596" s="16" t="s">
        <v>2255</v>
      </c>
      <c r="K596" s="16" t="s">
        <v>39</v>
      </c>
      <c r="L596" s="16" t="s">
        <v>30</v>
      </c>
      <c r="M596" s="16" t="s">
        <v>31</v>
      </c>
      <c r="N596" s="16" t="s">
        <v>991</v>
      </c>
      <c r="Q596" s="17">
        <f>S596/T596</f>
        <v>0.85</v>
      </c>
      <c r="S596" s="16">
        <f>MID(D596,FIND("x",D596)+7,4)*1</f>
        <v>5100</v>
      </c>
      <c r="T596" s="16">
        <v>6000</v>
      </c>
    </row>
    <row r="597" spans="1:20" x14ac:dyDescent="0.55000000000000004">
      <c r="A597" t="s">
        <v>2015</v>
      </c>
      <c r="C597" t="s">
        <v>2880</v>
      </c>
      <c r="D597" t="s">
        <v>2881</v>
      </c>
      <c r="E597" t="s">
        <v>35</v>
      </c>
      <c r="F597" t="s">
        <v>30</v>
      </c>
      <c r="G597" t="s">
        <v>31</v>
      </c>
      <c r="H597" t="s">
        <v>36</v>
      </c>
      <c r="I597" t="s">
        <v>2882</v>
      </c>
      <c r="J597" t="s">
        <v>2883</v>
      </c>
      <c r="K597" t="s">
        <v>39</v>
      </c>
      <c r="L597" t="s">
        <v>30</v>
      </c>
      <c r="M597" t="s">
        <v>31</v>
      </c>
      <c r="N597" t="s">
        <v>991</v>
      </c>
      <c r="Q597" s="4">
        <v>1</v>
      </c>
    </row>
    <row r="598" spans="1:20" x14ac:dyDescent="0.55000000000000004">
      <c r="A598" t="s">
        <v>2016</v>
      </c>
      <c r="C598" t="s">
        <v>2882</v>
      </c>
      <c r="D598" t="s">
        <v>2883</v>
      </c>
      <c r="E598" t="s">
        <v>39</v>
      </c>
      <c r="F598" t="s">
        <v>30</v>
      </c>
      <c r="G598" t="s">
        <v>31</v>
      </c>
      <c r="H598" s="11" t="s">
        <v>991</v>
      </c>
      <c r="I598" t="s">
        <v>986</v>
      </c>
      <c r="J598" t="s">
        <v>987</v>
      </c>
      <c r="K598" t="s">
        <v>362</v>
      </c>
      <c r="L598" t="s">
        <v>30</v>
      </c>
      <c r="M598" t="s">
        <v>31</v>
      </c>
      <c r="Q598" s="4">
        <v>1</v>
      </c>
    </row>
    <row r="599" spans="1:20" x14ac:dyDescent="0.55000000000000004">
      <c r="A599" t="s">
        <v>2017</v>
      </c>
      <c r="C599" t="s">
        <v>2882</v>
      </c>
      <c r="D599" t="s">
        <v>2883</v>
      </c>
      <c r="E599" t="s">
        <v>39</v>
      </c>
      <c r="F599" t="s">
        <v>30</v>
      </c>
      <c r="G599" t="s">
        <v>31</v>
      </c>
      <c r="H599" s="11" t="s">
        <v>991</v>
      </c>
      <c r="I599" t="s">
        <v>3186</v>
      </c>
      <c r="J599" t="s">
        <v>3187</v>
      </c>
      <c r="K599" t="s">
        <v>39</v>
      </c>
      <c r="L599" t="s">
        <v>30</v>
      </c>
      <c r="M599" t="s">
        <v>31</v>
      </c>
      <c r="N599" t="s">
        <v>991</v>
      </c>
      <c r="Q599" s="4">
        <v>1</v>
      </c>
    </row>
    <row r="600" spans="1:20" s="16" customFormat="1" ht="18.5" thickBot="1" x14ac:dyDescent="0.6">
      <c r="A600" s="16" t="s">
        <v>2018</v>
      </c>
      <c r="C600" s="16" t="s">
        <v>3186</v>
      </c>
      <c r="D600" s="16" t="s">
        <v>3187</v>
      </c>
      <c r="E600" s="16" t="s">
        <v>39</v>
      </c>
      <c r="F600" s="16" t="s">
        <v>30</v>
      </c>
      <c r="G600" s="16" t="s">
        <v>31</v>
      </c>
      <c r="H600" s="16" t="s">
        <v>991</v>
      </c>
      <c r="I600" s="16" t="s">
        <v>2254</v>
      </c>
      <c r="J600" s="16" t="s">
        <v>2255</v>
      </c>
      <c r="K600" s="16" t="s">
        <v>39</v>
      </c>
      <c r="L600" s="16" t="s">
        <v>30</v>
      </c>
      <c r="M600" s="16" t="s">
        <v>31</v>
      </c>
      <c r="N600" s="16" t="s">
        <v>991</v>
      </c>
      <c r="Q600" s="17">
        <f>S600/T600</f>
        <v>0.8666666666666667</v>
      </c>
      <c r="S600" s="16">
        <f>MID(D600,FIND("x",D600)+7,4)*1</f>
        <v>5200</v>
      </c>
      <c r="T600" s="16">
        <v>6000</v>
      </c>
    </row>
    <row r="601" spans="1:20" x14ac:dyDescent="0.55000000000000004">
      <c r="A601" t="s">
        <v>2019</v>
      </c>
      <c r="C601" t="s">
        <v>2884</v>
      </c>
      <c r="D601" t="s">
        <v>2885</v>
      </c>
      <c r="E601" t="s">
        <v>35</v>
      </c>
      <c r="F601" t="s">
        <v>30</v>
      </c>
      <c r="G601" t="s">
        <v>31</v>
      </c>
      <c r="H601" t="s">
        <v>36</v>
      </c>
      <c r="I601" t="s">
        <v>2886</v>
      </c>
      <c r="J601" t="s">
        <v>2887</v>
      </c>
      <c r="K601" t="s">
        <v>39</v>
      </c>
      <c r="L601" t="s">
        <v>30</v>
      </c>
      <c r="M601" t="s">
        <v>31</v>
      </c>
      <c r="N601" t="s">
        <v>991</v>
      </c>
      <c r="Q601" s="4">
        <v>1</v>
      </c>
    </row>
    <row r="602" spans="1:20" x14ac:dyDescent="0.55000000000000004">
      <c r="A602" t="s">
        <v>2020</v>
      </c>
      <c r="C602" t="s">
        <v>2886</v>
      </c>
      <c r="D602" t="s">
        <v>2887</v>
      </c>
      <c r="E602" t="s">
        <v>39</v>
      </c>
      <c r="F602" t="s">
        <v>30</v>
      </c>
      <c r="G602" t="s">
        <v>31</v>
      </c>
      <c r="H602" s="11" t="s">
        <v>991</v>
      </c>
      <c r="I602" t="s">
        <v>986</v>
      </c>
      <c r="J602" t="s">
        <v>987</v>
      </c>
      <c r="K602" t="s">
        <v>362</v>
      </c>
      <c r="L602" t="s">
        <v>30</v>
      </c>
      <c r="M602" t="s">
        <v>31</v>
      </c>
      <c r="Q602" s="4">
        <v>1</v>
      </c>
    </row>
    <row r="603" spans="1:20" x14ac:dyDescent="0.55000000000000004">
      <c r="A603" t="s">
        <v>2021</v>
      </c>
      <c r="C603" t="s">
        <v>2886</v>
      </c>
      <c r="D603" t="s">
        <v>2887</v>
      </c>
      <c r="E603" t="s">
        <v>39</v>
      </c>
      <c r="F603" t="s">
        <v>30</v>
      </c>
      <c r="G603" t="s">
        <v>31</v>
      </c>
      <c r="H603" s="11" t="s">
        <v>991</v>
      </c>
      <c r="I603" t="s">
        <v>3188</v>
      </c>
      <c r="J603" t="s">
        <v>3189</v>
      </c>
      <c r="K603" t="s">
        <v>39</v>
      </c>
      <c r="L603" t="s">
        <v>30</v>
      </c>
      <c r="M603" t="s">
        <v>31</v>
      </c>
      <c r="N603" t="s">
        <v>991</v>
      </c>
      <c r="Q603" s="4">
        <v>1</v>
      </c>
    </row>
    <row r="604" spans="1:20" s="16" customFormat="1" ht="18.5" thickBot="1" x14ac:dyDescent="0.6">
      <c r="A604" s="16" t="s">
        <v>2022</v>
      </c>
      <c r="C604" s="16" t="s">
        <v>3188</v>
      </c>
      <c r="D604" s="16" t="s">
        <v>3189</v>
      </c>
      <c r="E604" s="16" t="s">
        <v>39</v>
      </c>
      <c r="F604" s="16" t="s">
        <v>30</v>
      </c>
      <c r="G604" s="16" t="s">
        <v>31</v>
      </c>
      <c r="H604" s="16" t="s">
        <v>991</v>
      </c>
      <c r="I604" s="16" t="s">
        <v>2254</v>
      </c>
      <c r="J604" s="16" t="s">
        <v>2255</v>
      </c>
      <c r="K604" s="16" t="s">
        <v>39</v>
      </c>
      <c r="L604" s="16" t="s">
        <v>30</v>
      </c>
      <c r="M604" s="16" t="s">
        <v>31</v>
      </c>
      <c r="N604" s="16" t="s">
        <v>991</v>
      </c>
      <c r="Q604" s="17">
        <f>S604/T604</f>
        <v>0.8833333333333333</v>
      </c>
      <c r="S604" s="16">
        <f>MID(D604,FIND("x",D604)+7,4)*1</f>
        <v>5300</v>
      </c>
      <c r="T604" s="16">
        <v>6000</v>
      </c>
    </row>
    <row r="605" spans="1:20" x14ac:dyDescent="0.55000000000000004">
      <c r="A605" t="s">
        <v>2023</v>
      </c>
      <c r="C605" t="s">
        <v>2888</v>
      </c>
      <c r="D605" t="s">
        <v>2889</v>
      </c>
      <c r="E605" t="s">
        <v>35</v>
      </c>
      <c r="F605" t="s">
        <v>30</v>
      </c>
      <c r="G605" t="s">
        <v>31</v>
      </c>
      <c r="H605" t="s">
        <v>36</v>
      </c>
      <c r="I605" t="s">
        <v>2890</v>
      </c>
      <c r="J605" t="s">
        <v>2891</v>
      </c>
      <c r="K605" t="s">
        <v>39</v>
      </c>
      <c r="L605" t="s">
        <v>30</v>
      </c>
      <c r="M605" t="s">
        <v>31</v>
      </c>
      <c r="N605" t="s">
        <v>991</v>
      </c>
      <c r="Q605" s="4">
        <v>1</v>
      </c>
    </row>
    <row r="606" spans="1:20" x14ac:dyDescent="0.55000000000000004">
      <c r="A606" t="s">
        <v>2024</v>
      </c>
      <c r="C606" t="s">
        <v>2890</v>
      </c>
      <c r="D606" t="s">
        <v>2891</v>
      </c>
      <c r="E606" t="s">
        <v>39</v>
      </c>
      <c r="F606" t="s">
        <v>30</v>
      </c>
      <c r="G606" t="s">
        <v>31</v>
      </c>
      <c r="H606" s="11" t="s">
        <v>991</v>
      </c>
      <c r="I606" t="s">
        <v>986</v>
      </c>
      <c r="J606" t="s">
        <v>987</v>
      </c>
      <c r="K606" t="s">
        <v>362</v>
      </c>
      <c r="L606" t="s">
        <v>30</v>
      </c>
      <c r="M606" t="s">
        <v>31</v>
      </c>
      <c r="Q606" s="4">
        <v>1</v>
      </c>
    </row>
    <row r="607" spans="1:20" x14ac:dyDescent="0.55000000000000004">
      <c r="A607" t="s">
        <v>2025</v>
      </c>
      <c r="C607" t="s">
        <v>2890</v>
      </c>
      <c r="D607" t="s">
        <v>2891</v>
      </c>
      <c r="E607" t="s">
        <v>39</v>
      </c>
      <c r="F607" t="s">
        <v>30</v>
      </c>
      <c r="G607" t="s">
        <v>31</v>
      </c>
      <c r="H607" s="11" t="s">
        <v>991</v>
      </c>
      <c r="I607" t="s">
        <v>3190</v>
      </c>
      <c r="J607" t="s">
        <v>3191</v>
      </c>
      <c r="K607" t="s">
        <v>39</v>
      </c>
      <c r="L607" t="s">
        <v>30</v>
      </c>
      <c r="M607" t="s">
        <v>31</v>
      </c>
      <c r="N607" t="s">
        <v>991</v>
      </c>
      <c r="Q607" s="4">
        <v>1</v>
      </c>
    </row>
    <row r="608" spans="1:20" s="16" customFormat="1" ht="18.5" thickBot="1" x14ac:dyDescent="0.6">
      <c r="A608" s="16" t="s">
        <v>2026</v>
      </c>
      <c r="C608" s="16" t="s">
        <v>3190</v>
      </c>
      <c r="D608" s="16" t="s">
        <v>3191</v>
      </c>
      <c r="E608" s="16" t="s">
        <v>39</v>
      </c>
      <c r="F608" s="16" t="s">
        <v>30</v>
      </c>
      <c r="G608" s="16" t="s">
        <v>31</v>
      </c>
      <c r="H608" s="16" t="s">
        <v>991</v>
      </c>
      <c r="I608" s="16" t="s">
        <v>2254</v>
      </c>
      <c r="J608" s="16" t="s">
        <v>2255</v>
      </c>
      <c r="K608" s="16" t="s">
        <v>39</v>
      </c>
      <c r="L608" s="16" t="s">
        <v>30</v>
      </c>
      <c r="M608" s="16" t="s">
        <v>31</v>
      </c>
      <c r="N608" s="16" t="s">
        <v>991</v>
      </c>
      <c r="Q608" s="17">
        <f>S608/T608</f>
        <v>0.9</v>
      </c>
      <c r="S608" s="16">
        <f>MID(D608,FIND("x",D608)+7,4)*1</f>
        <v>5400</v>
      </c>
      <c r="T608" s="16">
        <v>6000</v>
      </c>
    </row>
    <row r="609" spans="1:20" x14ac:dyDescent="0.55000000000000004">
      <c r="A609" t="s">
        <v>2027</v>
      </c>
      <c r="C609" t="s">
        <v>2892</v>
      </c>
      <c r="D609" t="s">
        <v>2893</v>
      </c>
      <c r="E609" t="s">
        <v>35</v>
      </c>
      <c r="F609" t="s">
        <v>30</v>
      </c>
      <c r="G609" t="s">
        <v>31</v>
      </c>
      <c r="H609" t="s">
        <v>36</v>
      </c>
      <c r="I609" t="s">
        <v>2894</v>
      </c>
      <c r="J609" t="s">
        <v>2895</v>
      </c>
      <c r="K609" t="s">
        <v>39</v>
      </c>
      <c r="L609" t="s">
        <v>30</v>
      </c>
      <c r="M609" t="s">
        <v>31</v>
      </c>
      <c r="N609" t="s">
        <v>991</v>
      </c>
      <c r="Q609" s="4">
        <v>1</v>
      </c>
    </row>
    <row r="610" spans="1:20" x14ac:dyDescent="0.55000000000000004">
      <c r="A610" t="s">
        <v>2028</v>
      </c>
      <c r="C610" t="s">
        <v>2894</v>
      </c>
      <c r="D610" t="s">
        <v>2895</v>
      </c>
      <c r="E610" t="s">
        <v>39</v>
      </c>
      <c r="F610" t="s">
        <v>30</v>
      </c>
      <c r="G610" t="s">
        <v>31</v>
      </c>
      <c r="H610" s="11" t="s">
        <v>991</v>
      </c>
      <c r="I610" t="s">
        <v>986</v>
      </c>
      <c r="J610" t="s">
        <v>987</v>
      </c>
      <c r="K610" t="s">
        <v>362</v>
      </c>
      <c r="L610" t="s">
        <v>30</v>
      </c>
      <c r="M610" t="s">
        <v>31</v>
      </c>
      <c r="Q610" s="4">
        <v>1</v>
      </c>
    </row>
    <row r="611" spans="1:20" x14ac:dyDescent="0.55000000000000004">
      <c r="A611" t="s">
        <v>2029</v>
      </c>
      <c r="C611" t="s">
        <v>2894</v>
      </c>
      <c r="D611" t="s">
        <v>2895</v>
      </c>
      <c r="E611" t="s">
        <v>39</v>
      </c>
      <c r="F611" t="s">
        <v>30</v>
      </c>
      <c r="G611" t="s">
        <v>31</v>
      </c>
      <c r="H611" s="11" t="s">
        <v>991</v>
      </c>
      <c r="I611" t="s">
        <v>3192</v>
      </c>
      <c r="J611" t="s">
        <v>3193</v>
      </c>
      <c r="K611" t="s">
        <v>39</v>
      </c>
      <c r="L611" t="s">
        <v>30</v>
      </c>
      <c r="M611" t="s">
        <v>31</v>
      </c>
      <c r="N611" t="s">
        <v>991</v>
      </c>
      <c r="Q611" s="4">
        <v>1</v>
      </c>
    </row>
    <row r="612" spans="1:20" s="16" customFormat="1" ht="18.5" thickBot="1" x14ac:dyDescent="0.6">
      <c r="A612" s="16" t="s">
        <v>2030</v>
      </c>
      <c r="C612" s="16" t="s">
        <v>3192</v>
      </c>
      <c r="D612" s="16" t="s">
        <v>3193</v>
      </c>
      <c r="E612" s="16" t="s">
        <v>39</v>
      </c>
      <c r="F612" s="16" t="s">
        <v>30</v>
      </c>
      <c r="G612" s="16" t="s">
        <v>31</v>
      </c>
      <c r="H612" s="16" t="s">
        <v>991</v>
      </c>
      <c r="I612" s="16" t="s">
        <v>2254</v>
      </c>
      <c r="J612" s="16" t="s">
        <v>2255</v>
      </c>
      <c r="K612" s="16" t="s">
        <v>39</v>
      </c>
      <c r="L612" s="16" t="s">
        <v>30</v>
      </c>
      <c r="M612" s="16" t="s">
        <v>31</v>
      </c>
      <c r="N612" s="16" t="s">
        <v>991</v>
      </c>
      <c r="Q612" s="17">
        <f>S612/T612</f>
        <v>0.91666666666666663</v>
      </c>
      <c r="S612" s="16">
        <f>MID(D612,FIND("x",D612)+7,4)*1</f>
        <v>5500</v>
      </c>
      <c r="T612" s="16">
        <v>6000</v>
      </c>
    </row>
    <row r="613" spans="1:20" x14ac:dyDescent="0.55000000000000004">
      <c r="A613" t="s">
        <v>2031</v>
      </c>
      <c r="C613" t="s">
        <v>2896</v>
      </c>
      <c r="D613" t="s">
        <v>2897</v>
      </c>
      <c r="E613" t="s">
        <v>35</v>
      </c>
      <c r="F613" t="s">
        <v>30</v>
      </c>
      <c r="G613" t="s">
        <v>31</v>
      </c>
      <c r="H613" t="s">
        <v>36</v>
      </c>
      <c r="I613" t="s">
        <v>2898</v>
      </c>
      <c r="J613" t="s">
        <v>2899</v>
      </c>
      <c r="K613" t="s">
        <v>39</v>
      </c>
      <c r="L613" t="s">
        <v>30</v>
      </c>
      <c r="M613" t="s">
        <v>31</v>
      </c>
      <c r="N613" t="s">
        <v>991</v>
      </c>
      <c r="Q613" s="4">
        <v>1</v>
      </c>
    </row>
    <row r="614" spans="1:20" x14ac:dyDescent="0.55000000000000004">
      <c r="A614" t="s">
        <v>2032</v>
      </c>
      <c r="C614" t="s">
        <v>2898</v>
      </c>
      <c r="D614" t="s">
        <v>2899</v>
      </c>
      <c r="E614" t="s">
        <v>39</v>
      </c>
      <c r="F614" t="s">
        <v>30</v>
      </c>
      <c r="G614" t="s">
        <v>31</v>
      </c>
      <c r="H614" s="11" t="s">
        <v>991</v>
      </c>
      <c r="I614" t="s">
        <v>986</v>
      </c>
      <c r="J614" t="s">
        <v>987</v>
      </c>
      <c r="K614" t="s">
        <v>362</v>
      </c>
      <c r="L614" t="s">
        <v>30</v>
      </c>
      <c r="M614" t="s">
        <v>31</v>
      </c>
      <c r="Q614" s="4">
        <v>1</v>
      </c>
    </row>
    <row r="615" spans="1:20" x14ac:dyDescent="0.55000000000000004">
      <c r="A615" t="s">
        <v>2033</v>
      </c>
      <c r="C615" t="s">
        <v>2898</v>
      </c>
      <c r="D615" t="s">
        <v>2899</v>
      </c>
      <c r="E615" t="s">
        <v>39</v>
      </c>
      <c r="F615" t="s">
        <v>30</v>
      </c>
      <c r="G615" t="s">
        <v>31</v>
      </c>
      <c r="H615" s="11" t="s">
        <v>991</v>
      </c>
      <c r="I615" t="s">
        <v>3194</v>
      </c>
      <c r="J615" t="s">
        <v>3195</v>
      </c>
      <c r="K615" t="s">
        <v>39</v>
      </c>
      <c r="L615" t="s">
        <v>30</v>
      </c>
      <c r="M615" t="s">
        <v>31</v>
      </c>
      <c r="N615" t="s">
        <v>991</v>
      </c>
      <c r="Q615" s="4">
        <v>1</v>
      </c>
    </row>
    <row r="616" spans="1:20" s="16" customFormat="1" ht="18.5" thickBot="1" x14ac:dyDescent="0.6">
      <c r="A616" s="16" t="s">
        <v>2034</v>
      </c>
      <c r="C616" s="16" t="s">
        <v>3194</v>
      </c>
      <c r="D616" s="16" t="s">
        <v>3195</v>
      </c>
      <c r="E616" s="16" t="s">
        <v>39</v>
      </c>
      <c r="F616" s="16" t="s">
        <v>30</v>
      </c>
      <c r="G616" s="16" t="s">
        <v>31</v>
      </c>
      <c r="H616" s="16" t="s">
        <v>991</v>
      </c>
      <c r="I616" s="16" t="s">
        <v>2254</v>
      </c>
      <c r="J616" s="16" t="s">
        <v>2255</v>
      </c>
      <c r="K616" s="16" t="s">
        <v>39</v>
      </c>
      <c r="L616" s="16" t="s">
        <v>30</v>
      </c>
      <c r="M616" s="16" t="s">
        <v>31</v>
      </c>
      <c r="N616" s="16" t="s">
        <v>991</v>
      </c>
      <c r="Q616" s="17">
        <f>S616/T616</f>
        <v>0.93333333333333335</v>
      </c>
      <c r="S616" s="16">
        <f>MID(D616,FIND("x",D616)+7,4)*1</f>
        <v>5600</v>
      </c>
      <c r="T616" s="16">
        <v>6000</v>
      </c>
    </row>
    <row r="617" spans="1:20" x14ac:dyDescent="0.55000000000000004">
      <c r="A617" t="s">
        <v>2035</v>
      </c>
      <c r="C617" t="s">
        <v>2900</v>
      </c>
      <c r="D617" t="s">
        <v>2901</v>
      </c>
      <c r="E617" t="s">
        <v>35</v>
      </c>
      <c r="F617" t="s">
        <v>30</v>
      </c>
      <c r="G617" t="s">
        <v>31</v>
      </c>
      <c r="H617" t="s">
        <v>36</v>
      </c>
      <c r="I617" t="s">
        <v>2902</v>
      </c>
      <c r="J617" t="s">
        <v>2903</v>
      </c>
      <c r="K617" t="s">
        <v>39</v>
      </c>
      <c r="L617" t="s">
        <v>30</v>
      </c>
      <c r="M617" t="s">
        <v>31</v>
      </c>
      <c r="N617" t="s">
        <v>991</v>
      </c>
      <c r="Q617" s="4">
        <v>1</v>
      </c>
    </row>
    <row r="618" spans="1:20" x14ac:dyDescent="0.55000000000000004">
      <c r="A618" t="s">
        <v>2036</v>
      </c>
      <c r="C618" t="s">
        <v>2902</v>
      </c>
      <c r="D618" t="s">
        <v>2903</v>
      </c>
      <c r="E618" t="s">
        <v>39</v>
      </c>
      <c r="F618" t="s">
        <v>30</v>
      </c>
      <c r="G618" t="s">
        <v>31</v>
      </c>
      <c r="H618" s="11" t="s">
        <v>991</v>
      </c>
      <c r="I618" t="s">
        <v>986</v>
      </c>
      <c r="J618" t="s">
        <v>987</v>
      </c>
      <c r="K618" t="s">
        <v>362</v>
      </c>
      <c r="L618" t="s">
        <v>30</v>
      </c>
      <c r="M618" t="s">
        <v>31</v>
      </c>
      <c r="Q618" s="4">
        <v>1</v>
      </c>
    </row>
    <row r="619" spans="1:20" x14ac:dyDescent="0.55000000000000004">
      <c r="A619" t="s">
        <v>2037</v>
      </c>
      <c r="C619" t="s">
        <v>2902</v>
      </c>
      <c r="D619" t="s">
        <v>2903</v>
      </c>
      <c r="E619" t="s">
        <v>39</v>
      </c>
      <c r="F619" t="s">
        <v>30</v>
      </c>
      <c r="G619" t="s">
        <v>31</v>
      </c>
      <c r="H619" s="11" t="s">
        <v>991</v>
      </c>
      <c r="I619" t="s">
        <v>3196</v>
      </c>
      <c r="J619" t="s">
        <v>3197</v>
      </c>
      <c r="K619" t="s">
        <v>39</v>
      </c>
      <c r="L619" t="s">
        <v>30</v>
      </c>
      <c r="M619" t="s">
        <v>31</v>
      </c>
      <c r="N619" t="s">
        <v>991</v>
      </c>
      <c r="Q619" s="4">
        <v>1</v>
      </c>
    </row>
    <row r="620" spans="1:20" s="16" customFormat="1" ht="18.5" thickBot="1" x14ac:dyDescent="0.6">
      <c r="A620" s="16" t="s">
        <v>2038</v>
      </c>
      <c r="C620" s="16" t="s">
        <v>3196</v>
      </c>
      <c r="D620" s="16" t="s">
        <v>3197</v>
      </c>
      <c r="E620" s="16" t="s">
        <v>39</v>
      </c>
      <c r="F620" s="16" t="s">
        <v>30</v>
      </c>
      <c r="G620" s="16" t="s">
        <v>31</v>
      </c>
      <c r="H620" s="16" t="s">
        <v>991</v>
      </c>
      <c r="I620" s="16" t="s">
        <v>2254</v>
      </c>
      <c r="J620" s="16" t="s">
        <v>2255</v>
      </c>
      <c r="K620" s="16" t="s">
        <v>39</v>
      </c>
      <c r="L620" s="16" t="s">
        <v>30</v>
      </c>
      <c r="M620" s="16" t="s">
        <v>31</v>
      </c>
      <c r="N620" s="16" t="s">
        <v>991</v>
      </c>
      <c r="Q620" s="17">
        <f>S620/T620</f>
        <v>0.95</v>
      </c>
      <c r="S620" s="16">
        <f>MID(D620,FIND("x",D620)+7,4)*1</f>
        <v>5700</v>
      </c>
      <c r="T620" s="16">
        <v>6000</v>
      </c>
    </row>
    <row r="621" spans="1:20" x14ac:dyDescent="0.55000000000000004">
      <c r="A621" t="s">
        <v>2039</v>
      </c>
      <c r="C621" t="s">
        <v>2904</v>
      </c>
      <c r="D621" t="s">
        <v>2905</v>
      </c>
      <c r="E621" t="s">
        <v>35</v>
      </c>
      <c r="F621" t="s">
        <v>30</v>
      </c>
      <c r="G621" t="s">
        <v>31</v>
      </c>
      <c r="H621" t="s">
        <v>36</v>
      </c>
      <c r="I621" t="s">
        <v>2906</v>
      </c>
      <c r="J621" t="s">
        <v>2907</v>
      </c>
      <c r="K621" t="s">
        <v>39</v>
      </c>
      <c r="L621" t="s">
        <v>30</v>
      </c>
      <c r="M621" t="s">
        <v>31</v>
      </c>
      <c r="N621" t="s">
        <v>991</v>
      </c>
      <c r="Q621" s="4">
        <v>1</v>
      </c>
    </row>
    <row r="622" spans="1:20" x14ac:dyDescent="0.55000000000000004">
      <c r="A622" t="s">
        <v>2040</v>
      </c>
      <c r="C622" t="s">
        <v>2906</v>
      </c>
      <c r="D622" t="s">
        <v>2907</v>
      </c>
      <c r="E622" t="s">
        <v>39</v>
      </c>
      <c r="F622" t="s">
        <v>30</v>
      </c>
      <c r="G622" t="s">
        <v>31</v>
      </c>
      <c r="H622" s="11" t="s">
        <v>991</v>
      </c>
      <c r="I622" t="s">
        <v>986</v>
      </c>
      <c r="J622" t="s">
        <v>987</v>
      </c>
      <c r="K622" t="s">
        <v>362</v>
      </c>
      <c r="L622" t="s">
        <v>30</v>
      </c>
      <c r="M622" t="s">
        <v>31</v>
      </c>
      <c r="Q622" s="4">
        <v>1</v>
      </c>
    </row>
    <row r="623" spans="1:20" x14ac:dyDescent="0.55000000000000004">
      <c r="A623" t="s">
        <v>2041</v>
      </c>
      <c r="C623" t="s">
        <v>2906</v>
      </c>
      <c r="D623" t="s">
        <v>2907</v>
      </c>
      <c r="E623" t="s">
        <v>39</v>
      </c>
      <c r="F623" t="s">
        <v>30</v>
      </c>
      <c r="G623" t="s">
        <v>31</v>
      </c>
      <c r="H623" s="11" t="s">
        <v>991</v>
      </c>
      <c r="I623" t="s">
        <v>3198</v>
      </c>
      <c r="J623" t="s">
        <v>3199</v>
      </c>
      <c r="K623" t="s">
        <v>39</v>
      </c>
      <c r="L623" t="s">
        <v>30</v>
      </c>
      <c r="M623" t="s">
        <v>31</v>
      </c>
      <c r="N623" t="s">
        <v>991</v>
      </c>
      <c r="Q623" s="4">
        <v>1</v>
      </c>
    </row>
    <row r="624" spans="1:20" s="16" customFormat="1" ht="18.5" thickBot="1" x14ac:dyDescent="0.6">
      <c r="A624" s="16" t="s">
        <v>2042</v>
      </c>
      <c r="C624" s="16" t="s">
        <v>3198</v>
      </c>
      <c r="D624" s="16" t="s">
        <v>3199</v>
      </c>
      <c r="E624" s="16" t="s">
        <v>39</v>
      </c>
      <c r="F624" s="16" t="s">
        <v>30</v>
      </c>
      <c r="G624" s="16" t="s">
        <v>31</v>
      </c>
      <c r="H624" s="16" t="s">
        <v>991</v>
      </c>
      <c r="I624" s="16" t="s">
        <v>2254</v>
      </c>
      <c r="J624" s="16" t="s">
        <v>2255</v>
      </c>
      <c r="K624" s="16" t="s">
        <v>39</v>
      </c>
      <c r="L624" s="16" t="s">
        <v>30</v>
      </c>
      <c r="M624" s="16" t="s">
        <v>31</v>
      </c>
      <c r="N624" s="16" t="s">
        <v>991</v>
      </c>
      <c r="Q624" s="17">
        <f>S624/T624</f>
        <v>0.96666666666666667</v>
      </c>
      <c r="S624" s="16">
        <f>MID(D624,FIND("x",D624)+7,4)*1</f>
        <v>5800</v>
      </c>
      <c r="T624" s="16">
        <v>6000</v>
      </c>
    </row>
    <row r="625" spans="1:20" x14ac:dyDescent="0.55000000000000004">
      <c r="A625" t="s">
        <v>2043</v>
      </c>
      <c r="C625" t="s">
        <v>2908</v>
      </c>
      <c r="D625" t="s">
        <v>2909</v>
      </c>
      <c r="E625" t="s">
        <v>35</v>
      </c>
      <c r="F625" t="s">
        <v>30</v>
      </c>
      <c r="G625" t="s">
        <v>31</v>
      </c>
      <c r="H625" t="s">
        <v>36</v>
      </c>
      <c r="I625" t="s">
        <v>2910</v>
      </c>
      <c r="J625" t="s">
        <v>2911</v>
      </c>
      <c r="K625" t="s">
        <v>39</v>
      </c>
      <c r="L625" t="s">
        <v>30</v>
      </c>
      <c r="M625" t="s">
        <v>31</v>
      </c>
      <c r="N625" t="s">
        <v>991</v>
      </c>
      <c r="Q625" s="4">
        <v>1</v>
      </c>
    </row>
    <row r="626" spans="1:20" x14ac:dyDescent="0.55000000000000004">
      <c r="A626" t="s">
        <v>2044</v>
      </c>
      <c r="C626" t="s">
        <v>2910</v>
      </c>
      <c r="D626" t="s">
        <v>2911</v>
      </c>
      <c r="E626" t="s">
        <v>39</v>
      </c>
      <c r="F626" t="s">
        <v>30</v>
      </c>
      <c r="G626" t="s">
        <v>31</v>
      </c>
      <c r="H626" s="11" t="s">
        <v>991</v>
      </c>
      <c r="I626" t="s">
        <v>986</v>
      </c>
      <c r="J626" t="s">
        <v>987</v>
      </c>
      <c r="K626" t="s">
        <v>362</v>
      </c>
      <c r="L626" t="s">
        <v>30</v>
      </c>
      <c r="M626" t="s">
        <v>31</v>
      </c>
      <c r="Q626" s="4">
        <v>1</v>
      </c>
    </row>
    <row r="627" spans="1:20" x14ac:dyDescent="0.55000000000000004">
      <c r="A627" t="s">
        <v>2045</v>
      </c>
      <c r="C627" t="s">
        <v>2910</v>
      </c>
      <c r="D627" t="s">
        <v>2911</v>
      </c>
      <c r="E627" t="s">
        <v>39</v>
      </c>
      <c r="F627" t="s">
        <v>30</v>
      </c>
      <c r="G627" t="s">
        <v>31</v>
      </c>
      <c r="H627" s="11" t="s">
        <v>991</v>
      </c>
      <c r="I627" t="s">
        <v>3200</v>
      </c>
      <c r="J627" t="s">
        <v>3201</v>
      </c>
      <c r="K627" t="s">
        <v>39</v>
      </c>
      <c r="L627" t="s">
        <v>30</v>
      </c>
      <c r="M627" t="s">
        <v>31</v>
      </c>
      <c r="N627" t="s">
        <v>991</v>
      </c>
      <c r="Q627" s="4">
        <v>1</v>
      </c>
    </row>
    <row r="628" spans="1:20" s="16" customFormat="1" ht="18.5" thickBot="1" x14ac:dyDescent="0.6">
      <c r="A628" s="16" t="s">
        <v>2046</v>
      </c>
      <c r="C628" s="16" t="s">
        <v>3200</v>
      </c>
      <c r="D628" s="16" t="s">
        <v>3201</v>
      </c>
      <c r="E628" s="16" t="s">
        <v>39</v>
      </c>
      <c r="F628" s="16" t="s">
        <v>30</v>
      </c>
      <c r="G628" s="16" t="s">
        <v>31</v>
      </c>
      <c r="H628" s="16" t="s">
        <v>991</v>
      </c>
      <c r="I628" s="16" t="s">
        <v>2254</v>
      </c>
      <c r="J628" s="16" t="s">
        <v>2255</v>
      </c>
      <c r="K628" s="16" t="s">
        <v>39</v>
      </c>
      <c r="L628" s="16" t="s">
        <v>30</v>
      </c>
      <c r="M628" s="16" t="s">
        <v>31</v>
      </c>
      <c r="N628" s="16" t="s">
        <v>991</v>
      </c>
      <c r="Q628" s="17">
        <f>S628/T628</f>
        <v>0.98333333333333328</v>
      </c>
      <c r="S628" s="16">
        <f>MID(D628,FIND("x",D628)+7,4)*1</f>
        <v>5900</v>
      </c>
      <c r="T628" s="16">
        <v>6000</v>
      </c>
    </row>
    <row r="629" spans="1:20" x14ac:dyDescent="0.55000000000000004">
      <c r="A629" t="s">
        <v>2047</v>
      </c>
      <c r="C629" t="s">
        <v>2668</v>
      </c>
      <c r="D629" t="s">
        <v>2669</v>
      </c>
      <c r="E629" t="s">
        <v>35</v>
      </c>
      <c r="F629" t="s">
        <v>30</v>
      </c>
      <c r="G629" t="s">
        <v>31</v>
      </c>
      <c r="H629" t="s">
        <v>36</v>
      </c>
      <c r="I629" t="s">
        <v>2670</v>
      </c>
      <c r="J629" t="s">
        <v>2671</v>
      </c>
      <c r="K629" t="s">
        <v>39</v>
      </c>
      <c r="L629" t="s">
        <v>30</v>
      </c>
      <c r="M629" t="s">
        <v>31</v>
      </c>
      <c r="N629" t="s">
        <v>991</v>
      </c>
      <c r="Q629" s="4">
        <v>1</v>
      </c>
    </row>
    <row r="630" spans="1:20" x14ac:dyDescent="0.55000000000000004">
      <c r="A630" t="s">
        <v>2048</v>
      </c>
      <c r="C630" t="s">
        <v>2670</v>
      </c>
      <c r="D630" t="s">
        <v>2671</v>
      </c>
      <c r="E630" t="s">
        <v>39</v>
      </c>
      <c r="F630" t="s">
        <v>30</v>
      </c>
      <c r="G630" t="s">
        <v>31</v>
      </c>
      <c r="H630" s="11" t="s">
        <v>991</v>
      </c>
      <c r="I630" t="s">
        <v>3078</v>
      </c>
      <c r="J630" t="s">
        <v>3079</v>
      </c>
      <c r="K630" t="s">
        <v>362</v>
      </c>
      <c r="L630" t="s">
        <v>30</v>
      </c>
      <c r="M630" t="s">
        <v>31</v>
      </c>
      <c r="Q630" s="4">
        <v>1</v>
      </c>
    </row>
    <row r="631" spans="1:20" x14ac:dyDescent="0.55000000000000004">
      <c r="A631" t="s">
        <v>2049</v>
      </c>
      <c r="C631" t="s">
        <v>2670</v>
      </c>
      <c r="D631" t="s">
        <v>2671</v>
      </c>
      <c r="E631" t="s">
        <v>39</v>
      </c>
      <c r="F631" t="s">
        <v>30</v>
      </c>
      <c r="G631" t="s">
        <v>31</v>
      </c>
      <c r="H631" s="11" t="s">
        <v>991</v>
      </c>
      <c r="I631" t="s">
        <v>3080</v>
      </c>
      <c r="J631" t="s">
        <v>3081</v>
      </c>
      <c r="K631" t="s">
        <v>39</v>
      </c>
      <c r="L631" t="s">
        <v>30</v>
      </c>
      <c r="M631" t="s">
        <v>31</v>
      </c>
      <c r="N631" t="s">
        <v>991</v>
      </c>
      <c r="Q631" s="4">
        <v>1</v>
      </c>
    </row>
    <row r="632" spans="1:20" x14ac:dyDescent="0.55000000000000004">
      <c r="A632" t="s">
        <v>2050</v>
      </c>
      <c r="C632" t="s">
        <v>3080</v>
      </c>
      <c r="D632" t="s">
        <v>3081</v>
      </c>
      <c r="E632" t="s">
        <v>39</v>
      </c>
      <c r="F632" t="s">
        <v>30</v>
      </c>
      <c r="G632" t="s">
        <v>31</v>
      </c>
      <c r="H632" t="s">
        <v>991</v>
      </c>
      <c r="I632" t="s">
        <v>4009</v>
      </c>
      <c r="J632" t="s">
        <v>4006</v>
      </c>
      <c r="K632" t="s">
        <v>39</v>
      </c>
      <c r="L632" t="s">
        <v>30</v>
      </c>
      <c r="M632" t="s">
        <v>31</v>
      </c>
      <c r="N632" t="s">
        <v>991</v>
      </c>
      <c r="Q632" s="15">
        <f>S632/T632</f>
        <v>8.3333333333333329E-2</v>
      </c>
      <c r="S632">
        <f>MID(D632,FIND("x",D632)+6,3)*1</f>
        <v>500</v>
      </c>
      <c r="T632">
        <v>6000</v>
      </c>
    </row>
    <row r="633" spans="1:20" s="16" customFormat="1" ht="18.5" thickBot="1" x14ac:dyDescent="0.6">
      <c r="A633" s="16" t="s">
        <v>2051</v>
      </c>
      <c r="C633" s="16" t="s">
        <v>4009</v>
      </c>
      <c r="D633" s="16" t="s">
        <v>4006</v>
      </c>
      <c r="E633" s="16" t="s">
        <v>39</v>
      </c>
      <c r="F633" s="16" t="s">
        <v>30</v>
      </c>
      <c r="G633" s="16" t="s">
        <v>31</v>
      </c>
      <c r="H633" s="16" t="s">
        <v>991</v>
      </c>
      <c r="I633" s="16" t="s">
        <v>4007</v>
      </c>
      <c r="J633" s="16" t="s">
        <v>4008</v>
      </c>
      <c r="K633" s="16" t="s">
        <v>362</v>
      </c>
      <c r="L633" s="16" t="s">
        <v>30</v>
      </c>
      <c r="M633" s="16" t="s">
        <v>31</v>
      </c>
      <c r="N633" s="16" t="s">
        <v>991</v>
      </c>
      <c r="Q633" s="18">
        <v>1</v>
      </c>
    </row>
    <row r="634" spans="1:20" x14ac:dyDescent="0.55000000000000004">
      <c r="A634" t="s">
        <v>2052</v>
      </c>
      <c r="C634" t="s">
        <v>2672</v>
      </c>
      <c r="D634" t="s">
        <v>2673</v>
      </c>
      <c r="E634" t="s">
        <v>35</v>
      </c>
      <c r="F634" t="s">
        <v>30</v>
      </c>
      <c r="G634" t="s">
        <v>31</v>
      </c>
      <c r="H634" t="s">
        <v>36</v>
      </c>
      <c r="I634" t="s">
        <v>2674</v>
      </c>
      <c r="J634" t="s">
        <v>2675</v>
      </c>
      <c r="K634" t="s">
        <v>39</v>
      </c>
      <c r="L634" t="s">
        <v>30</v>
      </c>
      <c r="M634" t="s">
        <v>31</v>
      </c>
      <c r="N634" t="s">
        <v>991</v>
      </c>
      <c r="Q634" s="4">
        <v>1</v>
      </c>
    </row>
    <row r="635" spans="1:20" x14ac:dyDescent="0.55000000000000004">
      <c r="A635" t="s">
        <v>2053</v>
      </c>
      <c r="C635" t="s">
        <v>2674</v>
      </c>
      <c r="D635" t="s">
        <v>2675</v>
      </c>
      <c r="E635" t="s">
        <v>39</v>
      </c>
      <c r="F635" t="s">
        <v>30</v>
      </c>
      <c r="G635" t="s">
        <v>31</v>
      </c>
      <c r="H635" s="11" t="s">
        <v>991</v>
      </c>
      <c r="I635" t="s">
        <v>3078</v>
      </c>
      <c r="J635" t="s">
        <v>3079</v>
      </c>
      <c r="K635" t="s">
        <v>362</v>
      </c>
      <c r="L635" t="s">
        <v>30</v>
      </c>
      <c r="M635" t="s">
        <v>31</v>
      </c>
      <c r="Q635" s="4">
        <v>1</v>
      </c>
    </row>
    <row r="636" spans="1:20" x14ac:dyDescent="0.55000000000000004">
      <c r="A636" t="s">
        <v>2054</v>
      </c>
      <c r="C636" t="s">
        <v>2674</v>
      </c>
      <c r="D636" t="s">
        <v>2675</v>
      </c>
      <c r="E636" t="s">
        <v>39</v>
      </c>
      <c r="F636" t="s">
        <v>30</v>
      </c>
      <c r="G636" t="s">
        <v>31</v>
      </c>
      <c r="H636" s="11" t="s">
        <v>991</v>
      </c>
      <c r="I636" t="s">
        <v>3082</v>
      </c>
      <c r="J636" t="s">
        <v>3083</v>
      </c>
      <c r="K636" t="s">
        <v>39</v>
      </c>
      <c r="L636" t="s">
        <v>30</v>
      </c>
      <c r="M636" t="s">
        <v>31</v>
      </c>
      <c r="N636" t="s">
        <v>991</v>
      </c>
      <c r="Q636" s="4">
        <v>1</v>
      </c>
    </row>
    <row r="637" spans="1:20" s="16" customFormat="1" ht="18.5" thickBot="1" x14ac:dyDescent="0.6">
      <c r="A637" s="16" t="s">
        <v>2055</v>
      </c>
      <c r="C637" s="16" t="s">
        <v>3082</v>
      </c>
      <c r="D637" s="16" t="s">
        <v>3083</v>
      </c>
      <c r="E637" s="16" t="s">
        <v>39</v>
      </c>
      <c r="F637" s="16" t="s">
        <v>30</v>
      </c>
      <c r="G637" s="16" t="s">
        <v>31</v>
      </c>
      <c r="H637" s="16" t="s">
        <v>991</v>
      </c>
      <c r="I637" s="16" t="s">
        <v>4009</v>
      </c>
      <c r="J637" s="16" t="s">
        <v>4006</v>
      </c>
      <c r="K637" s="16" t="s">
        <v>39</v>
      </c>
      <c r="L637" s="16" t="s">
        <v>30</v>
      </c>
      <c r="M637" s="16" t="s">
        <v>31</v>
      </c>
      <c r="N637" s="16" t="s">
        <v>991</v>
      </c>
      <c r="Q637" s="17">
        <f>S637/T637</f>
        <v>0.1</v>
      </c>
      <c r="S637" s="16">
        <f>MID(D637,FIND("x",D637)+6,3)*1</f>
        <v>600</v>
      </c>
      <c r="T637" s="16">
        <v>6000</v>
      </c>
    </row>
    <row r="638" spans="1:20" x14ac:dyDescent="0.55000000000000004">
      <c r="A638" t="s">
        <v>2056</v>
      </c>
      <c r="C638" t="s">
        <v>2676</v>
      </c>
      <c r="D638" t="s">
        <v>2677</v>
      </c>
      <c r="E638" t="s">
        <v>35</v>
      </c>
      <c r="F638" t="s">
        <v>30</v>
      </c>
      <c r="G638" t="s">
        <v>31</v>
      </c>
      <c r="H638" t="s">
        <v>36</v>
      </c>
      <c r="I638" t="s">
        <v>2678</v>
      </c>
      <c r="J638" t="s">
        <v>2679</v>
      </c>
      <c r="K638" t="s">
        <v>39</v>
      </c>
      <c r="L638" t="s">
        <v>30</v>
      </c>
      <c r="M638" t="s">
        <v>31</v>
      </c>
      <c r="N638" t="s">
        <v>991</v>
      </c>
      <c r="Q638" s="4">
        <v>1</v>
      </c>
    </row>
    <row r="639" spans="1:20" x14ac:dyDescent="0.55000000000000004">
      <c r="A639" t="s">
        <v>2057</v>
      </c>
      <c r="C639" t="s">
        <v>2678</v>
      </c>
      <c r="D639" t="s">
        <v>2679</v>
      </c>
      <c r="E639" t="s">
        <v>39</v>
      </c>
      <c r="F639" t="s">
        <v>30</v>
      </c>
      <c r="G639" t="s">
        <v>31</v>
      </c>
      <c r="H639" s="11" t="s">
        <v>991</v>
      </c>
      <c r="I639" t="s">
        <v>3078</v>
      </c>
      <c r="J639" t="s">
        <v>3079</v>
      </c>
      <c r="K639" t="s">
        <v>362</v>
      </c>
      <c r="L639" t="s">
        <v>30</v>
      </c>
      <c r="M639" t="s">
        <v>31</v>
      </c>
      <c r="Q639" s="4">
        <v>1</v>
      </c>
    </row>
    <row r="640" spans="1:20" x14ac:dyDescent="0.55000000000000004">
      <c r="A640" t="s">
        <v>2058</v>
      </c>
      <c r="C640" t="s">
        <v>2678</v>
      </c>
      <c r="D640" t="s">
        <v>2679</v>
      </c>
      <c r="E640" t="s">
        <v>39</v>
      </c>
      <c r="F640" t="s">
        <v>30</v>
      </c>
      <c r="G640" t="s">
        <v>31</v>
      </c>
      <c r="H640" s="11" t="s">
        <v>991</v>
      </c>
      <c r="I640" t="s">
        <v>3084</v>
      </c>
      <c r="J640" t="s">
        <v>3085</v>
      </c>
      <c r="K640" t="s">
        <v>39</v>
      </c>
      <c r="L640" t="s">
        <v>30</v>
      </c>
      <c r="M640" t="s">
        <v>31</v>
      </c>
      <c r="N640" t="s">
        <v>991</v>
      </c>
      <c r="Q640" s="4">
        <v>1</v>
      </c>
    </row>
    <row r="641" spans="1:20" s="16" customFormat="1" ht="18.5" thickBot="1" x14ac:dyDescent="0.6">
      <c r="A641" s="16" t="s">
        <v>2059</v>
      </c>
      <c r="C641" s="16" t="s">
        <v>3084</v>
      </c>
      <c r="D641" s="16" t="s">
        <v>3085</v>
      </c>
      <c r="E641" s="16" t="s">
        <v>39</v>
      </c>
      <c r="F641" s="16" t="s">
        <v>30</v>
      </c>
      <c r="G641" s="16" t="s">
        <v>31</v>
      </c>
      <c r="H641" s="16" t="s">
        <v>991</v>
      </c>
      <c r="I641" s="16" t="s">
        <v>4009</v>
      </c>
      <c r="J641" s="16" t="s">
        <v>4006</v>
      </c>
      <c r="K641" s="16" t="s">
        <v>39</v>
      </c>
      <c r="L641" s="16" t="s">
        <v>30</v>
      </c>
      <c r="M641" s="16" t="s">
        <v>31</v>
      </c>
      <c r="N641" s="16" t="s">
        <v>991</v>
      </c>
      <c r="Q641" s="17">
        <f>S641/T641</f>
        <v>0.11666666666666667</v>
      </c>
      <c r="S641" s="16">
        <f>MID(D641,FIND("x",D641)+6,3)*1</f>
        <v>700</v>
      </c>
      <c r="T641" s="16">
        <v>6000</v>
      </c>
    </row>
    <row r="642" spans="1:20" x14ac:dyDescent="0.55000000000000004">
      <c r="A642" t="s">
        <v>2060</v>
      </c>
      <c r="C642" t="s">
        <v>2680</v>
      </c>
      <c r="D642" t="s">
        <v>2681</v>
      </c>
      <c r="E642" t="s">
        <v>35</v>
      </c>
      <c r="F642" t="s">
        <v>30</v>
      </c>
      <c r="G642" t="s">
        <v>31</v>
      </c>
      <c r="H642" t="s">
        <v>36</v>
      </c>
      <c r="I642" t="s">
        <v>2682</v>
      </c>
      <c r="J642" t="s">
        <v>2683</v>
      </c>
      <c r="K642" t="s">
        <v>39</v>
      </c>
      <c r="L642" t="s">
        <v>30</v>
      </c>
      <c r="M642" t="s">
        <v>31</v>
      </c>
      <c r="N642" t="s">
        <v>991</v>
      </c>
      <c r="Q642" s="4">
        <v>1</v>
      </c>
    </row>
    <row r="643" spans="1:20" x14ac:dyDescent="0.55000000000000004">
      <c r="A643" t="s">
        <v>2061</v>
      </c>
      <c r="C643" t="s">
        <v>2682</v>
      </c>
      <c r="D643" t="s">
        <v>2683</v>
      </c>
      <c r="E643" t="s">
        <v>39</v>
      </c>
      <c r="F643" t="s">
        <v>30</v>
      </c>
      <c r="G643" t="s">
        <v>31</v>
      </c>
      <c r="H643" s="11" t="s">
        <v>991</v>
      </c>
      <c r="I643" t="s">
        <v>3078</v>
      </c>
      <c r="J643" t="s">
        <v>3079</v>
      </c>
      <c r="K643" t="s">
        <v>362</v>
      </c>
      <c r="L643" t="s">
        <v>30</v>
      </c>
      <c r="M643" t="s">
        <v>31</v>
      </c>
      <c r="Q643" s="4">
        <v>1</v>
      </c>
    </row>
    <row r="644" spans="1:20" x14ac:dyDescent="0.55000000000000004">
      <c r="A644" t="s">
        <v>2062</v>
      </c>
      <c r="C644" t="s">
        <v>2682</v>
      </c>
      <c r="D644" t="s">
        <v>2683</v>
      </c>
      <c r="E644" t="s">
        <v>39</v>
      </c>
      <c r="F644" t="s">
        <v>30</v>
      </c>
      <c r="G644" t="s">
        <v>31</v>
      </c>
      <c r="H644" s="11" t="s">
        <v>991</v>
      </c>
      <c r="I644" t="s">
        <v>3086</v>
      </c>
      <c r="J644" t="s">
        <v>3087</v>
      </c>
      <c r="K644" t="s">
        <v>39</v>
      </c>
      <c r="L644" t="s">
        <v>30</v>
      </c>
      <c r="M644" t="s">
        <v>31</v>
      </c>
      <c r="N644" t="s">
        <v>991</v>
      </c>
      <c r="Q644" s="4">
        <v>1</v>
      </c>
    </row>
    <row r="645" spans="1:20" s="16" customFormat="1" ht="18.5" thickBot="1" x14ac:dyDescent="0.6">
      <c r="A645" s="16" t="s">
        <v>2063</v>
      </c>
      <c r="C645" s="16" t="s">
        <v>3086</v>
      </c>
      <c r="D645" s="16" t="s">
        <v>3087</v>
      </c>
      <c r="E645" s="16" t="s">
        <v>39</v>
      </c>
      <c r="F645" s="16" t="s">
        <v>30</v>
      </c>
      <c r="G645" s="16" t="s">
        <v>31</v>
      </c>
      <c r="H645" s="16" t="s">
        <v>991</v>
      </c>
      <c r="I645" s="16" t="s">
        <v>4009</v>
      </c>
      <c r="J645" s="16" t="s">
        <v>4006</v>
      </c>
      <c r="K645" s="16" t="s">
        <v>39</v>
      </c>
      <c r="L645" s="16" t="s">
        <v>30</v>
      </c>
      <c r="M645" s="16" t="s">
        <v>31</v>
      </c>
      <c r="N645" s="16" t="s">
        <v>991</v>
      </c>
      <c r="Q645" s="17">
        <f>S645/T645</f>
        <v>0.13333333333333333</v>
      </c>
      <c r="S645" s="16">
        <f>MID(D645,FIND("x",D645)+6,3)*1</f>
        <v>800</v>
      </c>
      <c r="T645" s="16">
        <v>6000</v>
      </c>
    </row>
    <row r="646" spans="1:20" x14ac:dyDescent="0.55000000000000004">
      <c r="A646" t="s">
        <v>2064</v>
      </c>
      <c r="C646" t="s">
        <v>2684</v>
      </c>
      <c r="D646" t="s">
        <v>2685</v>
      </c>
      <c r="E646" t="s">
        <v>35</v>
      </c>
      <c r="F646" t="s">
        <v>30</v>
      </c>
      <c r="G646" t="s">
        <v>31</v>
      </c>
      <c r="H646" t="s">
        <v>36</v>
      </c>
      <c r="I646" t="s">
        <v>2686</v>
      </c>
      <c r="J646" t="s">
        <v>2687</v>
      </c>
      <c r="K646" t="s">
        <v>39</v>
      </c>
      <c r="L646" t="s">
        <v>30</v>
      </c>
      <c r="M646" t="s">
        <v>31</v>
      </c>
      <c r="N646" t="s">
        <v>991</v>
      </c>
      <c r="Q646" s="4">
        <v>1</v>
      </c>
    </row>
    <row r="647" spans="1:20" x14ac:dyDescent="0.55000000000000004">
      <c r="A647" t="s">
        <v>2065</v>
      </c>
      <c r="C647" t="s">
        <v>2686</v>
      </c>
      <c r="D647" t="s">
        <v>2687</v>
      </c>
      <c r="E647" t="s">
        <v>39</v>
      </c>
      <c r="F647" t="s">
        <v>30</v>
      </c>
      <c r="G647" t="s">
        <v>31</v>
      </c>
      <c r="H647" s="11" t="s">
        <v>991</v>
      </c>
      <c r="I647" t="s">
        <v>3078</v>
      </c>
      <c r="J647" t="s">
        <v>3079</v>
      </c>
      <c r="K647" t="s">
        <v>362</v>
      </c>
      <c r="L647" t="s">
        <v>30</v>
      </c>
      <c r="M647" t="s">
        <v>31</v>
      </c>
      <c r="Q647" s="4">
        <v>1</v>
      </c>
    </row>
    <row r="648" spans="1:20" x14ac:dyDescent="0.55000000000000004">
      <c r="A648" t="s">
        <v>2066</v>
      </c>
      <c r="C648" t="s">
        <v>2686</v>
      </c>
      <c r="D648" t="s">
        <v>2687</v>
      </c>
      <c r="E648" t="s">
        <v>39</v>
      </c>
      <c r="F648" t="s">
        <v>30</v>
      </c>
      <c r="G648" t="s">
        <v>31</v>
      </c>
      <c r="H648" s="11" t="s">
        <v>991</v>
      </c>
      <c r="I648" t="s">
        <v>3088</v>
      </c>
      <c r="J648" t="s">
        <v>3089</v>
      </c>
      <c r="K648" t="s">
        <v>39</v>
      </c>
      <c r="L648" t="s">
        <v>30</v>
      </c>
      <c r="M648" t="s">
        <v>31</v>
      </c>
      <c r="N648" t="s">
        <v>991</v>
      </c>
      <c r="Q648" s="4">
        <v>1</v>
      </c>
    </row>
    <row r="649" spans="1:20" s="16" customFormat="1" ht="18.5" thickBot="1" x14ac:dyDescent="0.6">
      <c r="A649" s="16" t="s">
        <v>2067</v>
      </c>
      <c r="C649" s="16" t="s">
        <v>3088</v>
      </c>
      <c r="D649" s="16" t="s">
        <v>3089</v>
      </c>
      <c r="E649" s="16" t="s">
        <v>39</v>
      </c>
      <c r="F649" s="16" t="s">
        <v>30</v>
      </c>
      <c r="G649" s="16" t="s">
        <v>31</v>
      </c>
      <c r="H649" s="16" t="s">
        <v>991</v>
      </c>
      <c r="I649" s="16" t="s">
        <v>4009</v>
      </c>
      <c r="J649" s="16" t="s">
        <v>4006</v>
      </c>
      <c r="K649" s="16" t="s">
        <v>39</v>
      </c>
      <c r="L649" s="16" t="s">
        <v>30</v>
      </c>
      <c r="M649" s="16" t="s">
        <v>31</v>
      </c>
      <c r="N649" s="16" t="s">
        <v>991</v>
      </c>
      <c r="Q649" s="17">
        <f>S649/T649</f>
        <v>0.15</v>
      </c>
      <c r="S649" s="16">
        <f>MID(D649,FIND("x",D649)+6,3)*1</f>
        <v>900</v>
      </c>
      <c r="T649" s="16">
        <v>6000</v>
      </c>
    </row>
    <row r="650" spans="1:20" x14ac:dyDescent="0.55000000000000004">
      <c r="A650" t="s">
        <v>2068</v>
      </c>
      <c r="C650" t="s">
        <v>2688</v>
      </c>
      <c r="D650" t="s">
        <v>2689</v>
      </c>
      <c r="E650" t="s">
        <v>35</v>
      </c>
      <c r="F650" t="s">
        <v>30</v>
      </c>
      <c r="G650" t="s">
        <v>31</v>
      </c>
      <c r="H650" t="s">
        <v>36</v>
      </c>
      <c r="I650" t="s">
        <v>2690</v>
      </c>
      <c r="J650" t="s">
        <v>2691</v>
      </c>
      <c r="K650" t="s">
        <v>39</v>
      </c>
      <c r="L650" t="s">
        <v>30</v>
      </c>
      <c r="M650" t="s">
        <v>31</v>
      </c>
      <c r="N650" t="s">
        <v>991</v>
      </c>
      <c r="Q650" s="4">
        <v>1</v>
      </c>
    </row>
    <row r="651" spans="1:20" x14ac:dyDescent="0.55000000000000004">
      <c r="A651" t="s">
        <v>2069</v>
      </c>
      <c r="C651" t="s">
        <v>2690</v>
      </c>
      <c r="D651" t="s">
        <v>2691</v>
      </c>
      <c r="E651" t="s">
        <v>39</v>
      </c>
      <c r="F651" t="s">
        <v>30</v>
      </c>
      <c r="G651" t="s">
        <v>31</v>
      </c>
      <c r="H651" s="11" t="s">
        <v>991</v>
      </c>
      <c r="I651" t="s">
        <v>3078</v>
      </c>
      <c r="J651" t="s">
        <v>3079</v>
      </c>
      <c r="K651" t="s">
        <v>362</v>
      </c>
      <c r="L651" t="s">
        <v>30</v>
      </c>
      <c r="M651" t="s">
        <v>31</v>
      </c>
      <c r="Q651" s="4">
        <v>1</v>
      </c>
    </row>
    <row r="652" spans="1:20" x14ac:dyDescent="0.55000000000000004">
      <c r="A652" t="s">
        <v>2070</v>
      </c>
      <c r="C652" t="s">
        <v>2690</v>
      </c>
      <c r="D652" t="s">
        <v>2691</v>
      </c>
      <c r="E652" t="s">
        <v>39</v>
      </c>
      <c r="F652" t="s">
        <v>30</v>
      </c>
      <c r="G652" t="s">
        <v>31</v>
      </c>
      <c r="H652" s="11" t="s">
        <v>991</v>
      </c>
      <c r="I652" t="s">
        <v>3090</v>
      </c>
      <c r="J652" t="s">
        <v>3091</v>
      </c>
      <c r="K652" t="s">
        <v>39</v>
      </c>
      <c r="L652" t="s">
        <v>30</v>
      </c>
      <c r="M652" t="s">
        <v>31</v>
      </c>
      <c r="N652" t="s">
        <v>991</v>
      </c>
      <c r="Q652" s="4">
        <v>1</v>
      </c>
    </row>
    <row r="653" spans="1:20" s="16" customFormat="1" ht="18.5" thickBot="1" x14ac:dyDescent="0.6">
      <c r="A653" s="16" t="s">
        <v>2071</v>
      </c>
      <c r="C653" s="16" t="s">
        <v>3090</v>
      </c>
      <c r="D653" s="16" t="s">
        <v>3091</v>
      </c>
      <c r="E653" s="16" t="s">
        <v>39</v>
      </c>
      <c r="F653" s="16" t="s">
        <v>30</v>
      </c>
      <c r="G653" s="16" t="s">
        <v>31</v>
      </c>
      <c r="H653" s="16" t="s">
        <v>991</v>
      </c>
      <c r="I653" s="16" t="s">
        <v>4009</v>
      </c>
      <c r="J653" s="16" t="s">
        <v>4010</v>
      </c>
      <c r="K653" s="16" t="s">
        <v>39</v>
      </c>
      <c r="L653" s="16" t="s">
        <v>30</v>
      </c>
      <c r="M653" s="16" t="s">
        <v>31</v>
      </c>
      <c r="N653" s="16" t="s">
        <v>991</v>
      </c>
      <c r="Q653" s="17">
        <f>S653/T653</f>
        <v>0.16666666666666666</v>
      </c>
      <c r="S653" s="16">
        <f>MID(D653,FIND("x",D653)+7,4)*1</f>
        <v>1000</v>
      </c>
      <c r="T653" s="16">
        <v>6000</v>
      </c>
    </row>
    <row r="654" spans="1:20" x14ac:dyDescent="0.55000000000000004">
      <c r="A654" t="s">
        <v>2072</v>
      </c>
      <c r="C654" t="s">
        <v>2692</v>
      </c>
      <c r="D654" t="s">
        <v>2693</v>
      </c>
      <c r="E654" t="s">
        <v>35</v>
      </c>
      <c r="F654" t="s">
        <v>30</v>
      </c>
      <c r="G654" t="s">
        <v>31</v>
      </c>
      <c r="H654" t="s">
        <v>36</v>
      </c>
      <c r="I654" t="s">
        <v>2694</v>
      </c>
      <c r="J654" t="s">
        <v>2695</v>
      </c>
      <c r="K654" t="s">
        <v>39</v>
      </c>
      <c r="L654" t="s">
        <v>30</v>
      </c>
      <c r="M654" t="s">
        <v>31</v>
      </c>
      <c r="N654" t="s">
        <v>991</v>
      </c>
      <c r="Q654" s="4">
        <v>1</v>
      </c>
    </row>
    <row r="655" spans="1:20" x14ac:dyDescent="0.55000000000000004">
      <c r="A655" t="s">
        <v>2073</v>
      </c>
      <c r="C655" t="s">
        <v>2694</v>
      </c>
      <c r="D655" t="s">
        <v>2695</v>
      </c>
      <c r="E655" t="s">
        <v>39</v>
      </c>
      <c r="F655" t="s">
        <v>30</v>
      </c>
      <c r="G655" t="s">
        <v>31</v>
      </c>
      <c r="H655" s="11" t="s">
        <v>991</v>
      </c>
      <c r="I655" t="s">
        <v>3078</v>
      </c>
      <c r="J655" t="s">
        <v>3079</v>
      </c>
      <c r="K655" t="s">
        <v>362</v>
      </c>
      <c r="L655" t="s">
        <v>30</v>
      </c>
      <c r="M655" t="s">
        <v>31</v>
      </c>
      <c r="Q655" s="4">
        <v>1</v>
      </c>
    </row>
    <row r="656" spans="1:20" x14ac:dyDescent="0.55000000000000004">
      <c r="A656" t="s">
        <v>2074</v>
      </c>
      <c r="C656" t="s">
        <v>2694</v>
      </c>
      <c r="D656" t="s">
        <v>2695</v>
      </c>
      <c r="E656" t="s">
        <v>39</v>
      </c>
      <c r="F656" t="s">
        <v>30</v>
      </c>
      <c r="G656" t="s">
        <v>31</v>
      </c>
      <c r="H656" s="11" t="s">
        <v>991</v>
      </c>
      <c r="I656" t="s">
        <v>3092</v>
      </c>
      <c r="J656" t="s">
        <v>3093</v>
      </c>
      <c r="K656" t="s">
        <v>39</v>
      </c>
      <c r="L656" t="s">
        <v>30</v>
      </c>
      <c r="M656" t="s">
        <v>31</v>
      </c>
      <c r="N656" t="s">
        <v>991</v>
      </c>
      <c r="Q656" s="4">
        <v>1</v>
      </c>
    </row>
    <row r="657" spans="1:20" s="16" customFormat="1" ht="18.5" thickBot="1" x14ac:dyDescent="0.6">
      <c r="A657" s="16" t="s">
        <v>2075</v>
      </c>
      <c r="C657" s="16" t="s">
        <v>3092</v>
      </c>
      <c r="D657" s="16" t="s">
        <v>3093</v>
      </c>
      <c r="E657" s="16" t="s">
        <v>39</v>
      </c>
      <c r="F657" s="16" t="s">
        <v>30</v>
      </c>
      <c r="G657" s="16" t="s">
        <v>31</v>
      </c>
      <c r="H657" s="16" t="s">
        <v>991</v>
      </c>
      <c r="I657" s="16" t="s">
        <v>4009</v>
      </c>
      <c r="J657" s="16" t="s">
        <v>4010</v>
      </c>
      <c r="K657" s="16" t="s">
        <v>39</v>
      </c>
      <c r="L657" s="16" t="s">
        <v>30</v>
      </c>
      <c r="M657" s="16" t="s">
        <v>31</v>
      </c>
      <c r="N657" s="16" t="s">
        <v>991</v>
      </c>
      <c r="Q657" s="17">
        <f>S657/T657</f>
        <v>0.18333333333333332</v>
      </c>
      <c r="S657" s="16">
        <f>MID(D657,FIND("x",D657)+7,4)*1</f>
        <v>1100</v>
      </c>
      <c r="T657" s="16">
        <v>6000</v>
      </c>
    </row>
    <row r="658" spans="1:20" x14ac:dyDescent="0.55000000000000004">
      <c r="A658" t="s">
        <v>2076</v>
      </c>
      <c r="C658" t="s">
        <v>2696</v>
      </c>
      <c r="D658" t="s">
        <v>2697</v>
      </c>
      <c r="E658" t="s">
        <v>35</v>
      </c>
      <c r="F658" t="s">
        <v>30</v>
      </c>
      <c r="G658" t="s">
        <v>31</v>
      </c>
      <c r="H658" t="s">
        <v>36</v>
      </c>
      <c r="I658" t="s">
        <v>2698</v>
      </c>
      <c r="J658" t="s">
        <v>2699</v>
      </c>
      <c r="K658" t="s">
        <v>39</v>
      </c>
      <c r="L658" t="s">
        <v>30</v>
      </c>
      <c r="M658" t="s">
        <v>31</v>
      </c>
      <c r="N658" t="s">
        <v>991</v>
      </c>
      <c r="Q658" s="4">
        <v>1</v>
      </c>
    </row>
    <row r="659" spans="1:20" x14ac:dyDescent="0.55000000000000004">
      <c r="A659" t="s">
        <v>2077</v>
      </c>
      <c r="C659" t="s">
        <v>2698</v>
      </c>
      <c r="D659" t="s">
        <v>2699</v>
      </c>
      <c r="E659" t="s">
        <v>39</v>
      </c>
      <c r="F659" t="s">
        <v>30</v>
      </c>
      <c r="G659" t="s">
        <v>31</v>
      </c>
      <c r="H659" s="11" t="s">
        <v>991</v>
      </c>
      <c r="I659" t="s">
        <v>3078</v>
      </c>
      <c r="J659" t="s">
        <v>3079</v>
      </c>
      <c r="K659" t="s">
        <v>362</v>
      </c>
      <c r="L659" t="s">
        <v>30</v>
      </c>
      <c r="M659" t="s">
        <v>31</v>
      </c>
      <c r="Q659" s="4">
        <v>1</v>
      </c>
    </row>
    <row r="660" spans="1:20" x14ac:dyDescent="0.55000000000000004">
      <c r="A660" t="s">
        <v>2078</v>
      </c>
      <c r="C660" t="s">
        <v>2698</v>
      </c>
      <c r="D660" t="s">
        <v>2699</v>
      </c>
      <c r="E660" t="s">
        <v>39</v>
      </c>
      <c r="F660" t="s">
        <v>30</v>
      </c>
      <c r="G660" t="s">
        <v>31</v>
      </c>
      <c r="H660" s="11" t="s">
        <v>991</v>
      </c>
      <c r="I660" t="s">
        <v>3094</v>
      </c>
      <c r="J660" t="s">
        <v>3095</v>
      </c>
      <c r="K660" t="s">
        <v>39</v>
      </c>
      <c r="L660" t="s">
        <v>30</v>
      </c>
      <c r="M660" t="s">
        <v>31</v>
      </c>
      <c r="N660" t="s">
        <v>991</v>
      </c>
      <c r="Q660" s="4">
        <v>1</v>
      </c>
    </row>
    <row r="661" spans="1:20" s="16" customFormat="1" ht="18.5" thickBot="1" x14ac:dyDescent="0.6">
      <c r="A661" s="16" t="s">
        <v>2079</v>
      </c>
      <c r="C661" s="16" t="s">
        <v>3094</v>
      </c>
      <c r="D661" s="16" t="s">
        <v>3095</v>
      </c>
      <c r="E661" s="16" t="s">
        <v>39</v>
      </c>
      <c r="F661" s="16" t="s">
        <v>30</v>
      </c>
      <c r="G661" s="16" t="s">
        <v>31</v>
      </c>
      <c r="H661" s="16" t="s">
        <v>991</v>
      </c>
      <c r="I661" s="16" t="s">
        <v>4009</v>
      </c>
      <c r="J661" s="16" t="s">
        <v>4010</v>
      </c>
      <c r="K661" s="16" t="s">
        <v>39</v>
      </c>
      <c r="L661" s="16" t="s">
        <v>30</v>
      </c>
      <c r="M661" s="16" t="s">
        <v>31</v>
      </c>
      <c r="N661" s="16" t="s">
        <v>991</v>
      </c>
      <c r="Q661" s="17">
        <f>S661/T661</f>
        <v>0.2</v>
      </c>
      <c r="S661" s="16">
        <f>MID(D661,FIND("x",D661)+7,4)*1</f>
        <v>1200</v>
      </c>
      <c r="T661" s="16">
        <v>6000</v>
      </c>
    </row>
    <row r="662" spans="1:20" x14ac:dyDescent="0.55000000000000004">
      <c r="A662" t="s">
        <v>2080</v>
      </c>
      <c r="C662" t="s">
        <v>2700</v>
      </c>
      <c r="D662" t="s">
        <v>2701</v>
      </c>
      <c r="E662" t="s">
        <v>35</v>
      </c>
      <c r="F662" t="s">
        <v>30</v>
      </c>
      <c r="G662" t="s">
        <v>31</v>
      </c>
      <c r="H662" t="s">
        <v>36</v>
      </c>
      <c r="I662" t="s">
        <v>2702</v>
      </c>
      <c r="J662" t="s">
        <v>2703</v>
      </c>
      <c r="K662" t="s">
        <v>39</v>
      </c>
      <c r="L662" t="s">
        <v>30</v>
      </c>
      <c r="M662" t="s">
        <v>31</v>
      </c>
      <c r="N662" t="s">
        <v>991</v>
      </c>
      <c r="Q662" s="4">
        <v>1</v>
      </c>
    </row>
    <row r="663" spans="1:20" x14ac:dyDescent="0.55000000000000004">
      <c r="A663" t="s">
        <v>2081</v>
      </c>
      <c r="C663" t="s">
        <v>2702</v>
      </c>
      <c r="D663" t="s">
        <v>2703</v>
      </c>
      <c r="E663" t="s">
        <v>39</v>
      </c>
      <c r="F663" t="s">
        <v>30</v>
      </c>
      <c r="G663" t="s">
        <v>31</v>
      </c>
      <c r="H663" s="11" t="s">
        <v>991</v>
      </c>
      <c r="I663" t="s">
        <v>3078</v>
      </c>
      <c r="J663" t="s">
        <v>3079</v>
      </c>
      <c r="K663" t="s">
        <v>362</v>
      </c>
      <c r="L663" t="s">
        <v>30</v>
      </c>
      <c r="M663" t="s">
        <v>31</v>
      </c>
      <c r="Q663" s="4">
        <v>1</v>
      </c>
    </row>
    <row r="664" spans="1:20" x14ac:dyDescent="0.55000000000000004">
      <c r="A664" t="s">
        <v>2082</v>
      </c>
      <c r="C664" t="s">
        <v>2702</v>
      </c>
      <c r="D664" t="s">
        <v>2703</v>
      </c>
      <c r="E664" t="s">
        <v>39</v>
      </c>
      <c r="F664" t="s">
        <v>30</v>
      </c>
      <c r="G664" t="s">
        <v>31</v>
      </c>
      <c r="H664" s="11" t="s">
        <v>991</v>
      </c>
      <c r="I664" t="s">
        <v>3096</v>
      </c>
      <c r="J664" t="s">
        <v>3097</v>
      </c>
      <c r="K664" t="s">
        <v>39</v>
      </c>
      <c r="L664" t="s">
        <v>30</v>
      </c>
      <c r="M664" t="s">
        <v>31</v>
      </c>
      <c r="N664" t="s">
        <v>991</v>
      </c>
      <c r="Q664" s="4">
        <v>1</v>
      </c>
    </row>
    <row r="665" spans="1:20" s="16" customFormat="1" ht="18.5" thickBot="1" x14ac:dyDescent="0.6">
      <c r="A665" s="16" t="s">
        <v>2083</v>
      </c>
      <c r="C665" s="16" t="s">
        <v>3096</v>
      </c>
      <c r="D665" s="16" t="s">
        <v>3097</v>
      </c>
      <c r="E665" s="16" t="s">
        <v>39</v>
      </c>
      <c r="F665" s="16" t="s">
        <v>30</v>
      </c>
      <c r="G665" s="16" t="s">
        <v>31</v>
      </c>
      <c r="H665" s="16" t="s">
        <v>991</v>
      </c>
      <c r="I665" s="16" t="s">
        <v>4009</v>
      </c>
      <c r="J665" s="16" t="s">
        <v>4010</v>
      </c>
      <c r="K665" s="16" t="s">
        <v>39</v>
      </c>
      <c r="L665" s="16" t="s">
        <v>30</v>
      </c>
      <c r="M665" s="16" t="s">
        <v>31</v>
      </c>
      <c r="N665" s="16" t="s">
        <v>991</v>
      </c>
      <c r="Q665" s="17">
        <f>S665/T665</f>
        <v>0.21666666666666667</v>
      </c>
      <c r="S665" s="16">
        <f>MID(D665,FIND("x",D665)+7,4)*1</f>
        <v>1300</v>
      </c>
      <c r="T665" s="16">
        <v>6000</v>
      </c>
    </row>
    <row r="666" spans="1:20" x14ac:dyDescent="0.55000000000000004">
      <c r="A666" t="s">
        <v>2084</v>
      </c>
      <c r="C666" t="s">
        <v>2704</v>
      </c>
      <c r="D666" t="s">
        <v>2705</v>
      </c>
      <c r="E666" t="s">
        <v>35</v>
      </c>
      <c r="F666" t="s">
        <v>30</v>
      </c>
      <c r="G666" t="s">
        <v>31</v>
      </c>
      <c r="H666" t="s">
        <v>36</v>
      </c>
      <c r="I666" t="s">
        <v>2706</v>
      </c>
      <c r="J666" t="s">
        <v>2707</v>
      </c>
      <c r="K666" t="s">
        <v>39</v>
      </c>
      <c r="L666" t="s">
        <v>30</v>
      </c>
      <c r="M666" t="s">
        <v>31</v>
      </c>
      <c r="N666" t="s">
        <v>991</v>
      </c>
      <c r="Q666" s="4">
        <v>1</v>
      </c>
    </row>
    <row r="667" spans="1:20" x14ac:dyDescent="0.55000000000000004">
      <c r="A667" t="s">
        <v>2085</v>
      </c>
      <c r="C667" t="s">
        <v>2706</v>
      </c>
      <c r="D667" t="s">
        <v>2707</v>
      </c>
      <c r="E667" t="s">
        <v>39</v>
      </c>
      <c r="F667" t="s">
        <v>30</v>
      </c>
      <c r="G667" t="s">
        <v>31</v>
      </c>
      <c r="H667" s="11" t="s">
        <v>991</v>
      </c>
      <c r="I667" t="s">
        <v>3078</v>
      </c>
      <c r="J667" t="s">
        <v>3079</v>
      </c>
      <c r="K667" t="s">
        <v>362</v>
      </c>
      <c r="L667" t="s">
        <v>30</v>
      </c>
      <c r="M667" t="s">
        <v>31</v>
      </c>
      <c r="Q667" s="4">
        <v>1</v>
      </c>
    </row>
    <row r="668" spans="1:20" x14ac:dyDescent="0.55000000000000004">
      <c r="A668" t="s">
        <v>2086</v>
      </c>
      <c r="C668" t="s">
        <v>2706</v>
      </c>
      <c r="D668" t="s">
        <v>2707</v>
      </c>
      <c r="E668" t="s">
        <v>39</v>
      </c>
      <c r="F668" t="s">
        <v>30</v>
      </c>
      <c r="G668" t="s">
        <v>31</v>
      </c>
      <c r="H668" s="11" t="s">
        <v>991</v>
      </c>
      <c r="I668" t="s">
        <v>3098</v>
      </c>
      <c r="J668" t="s">
        <v>3099</v>
      </c>
      <c r="K668" t="s">
        <v>39</v>
      </c>
      <c r="L668" t="s">
        <v>30</v>
      </c>
      <c r="M668" t="s">
        <v>31</v>
      </c>
      <c r="N668" t="s">
        <v>991</v>
      </c>
      <c r="Q668" s="4">
        <v>1</v>
      </c>
    </row>
    <row r="669" spans="1:20" s="16" customFormat="1" ht="18.5" thickBot="1" x14ac:dyDescent="0.6">
      <c r="A669" s="16" t="s">
        <v>2087</v>
      </c>
      <c r="C669" s="16" t="s">
        <v>3098</v>
      </c>
      <c r="D669" s="16" t="s">
        <v>3099</v>
      </c>
      <c r="E669" s="16" t="s">
        <v>39</v>
      </c>
      <c r="F669" s="16" t="s">
        <v>30</v>
      </c>
      <c r="G669" s="16" t="s">
        <v>31</v>
      </c>
      <c r="H669" s="16" t="s">
        <v>991</v>
      </c>
      <c r="I669" s="16" t="s">
        <v>4009</v>
      </c>
      <c r="J669" s="16" t="s">
        <v>4010</v>
      </c>
      <c r="K669" s="16" t="s">
        <v>39</v>
      </c>
      <c r="L669" s="16" t="s">
        <v>30</v>
      </c>
      <c r="M669" s="16" t="s">
        <v>31</v>
      </c>
      <c r="N669" s="16" t="s">
        <v>991</v>
      </c>
      <c r="Q669" s="17">
        <f>S669/T669</f>
        <v>0.23333333333333334</v>
      </c>
      <c r="S669" s="16">
        <f>MID(D669,FIND("x",D669)+7,4)*1</f>
        <v>1400</v>
      </c>
      <c r="T669" s="16">
        <v>6000</v>
      </c>
    </row>
    <row r="670" spans="1:20" x14ac:dyDescent="0.55000000000000004">
      <c r="A670" t="s">
        <v>2088</v>
      </c>
      <c r="C670" t="s">
        <v>2708</v>
      </c>
      <c r="D670" t="s">
        <v>2709</v>
      </c>
      <c r="E670" t="s">
        <v>35</v>
      </c>
      <c r="F670" t="s">
        <v>30</v>
      </c>
      <c r="G670" t="s">
        <v>31</v>
      </c>
      <c r="H670" t="s">
        <v>36</v>
      </c>
      <c r="I670" t="s">
        <v>2710</v>
      </c>
      <c r="J670" t="s">
        <v>2711</v>
      </c>
      <c r="K670" t="s">
        <v>39</v>
      </c>
      <c r="L670" t="s">
        <v>30</v>
      </c>
      <c r="M670" t="s">
        <v>31</v>
      </c>
      <c r="N670" t="s">
        <v>991</v>
      </c>
      <c r="Q670" s="4">
        <v>1</v>
      </c>
    </row>
    <row r="671" spans="1:20" x14ac:dyDescent="0.55000000000000004">
      <c r="A671" t="s">
        <v>2089</v>
      </c>
      <c r="C671" t="s">
        <v>2710</v>
      </c>
      <c r="D671" t="s">
        <v>2711</v>
      </c>
      <c r="E671" t="s">
        <v>39</v>
      </c>
      <c r="F671" t="s">
        <v>30</v>
      </c>
      <c r="G671" t="s">
        <v>31</v>
      </c>
      <c r="H671" s="11" t="s">
        <v>991</v>
      </c>
      <c r="I671" t="s">
        <v>3078</v>
      </c>
      <c r="J671" t="s">
        <v>3079</v>
      </c>
      <c r="K671" t="s">
        <v>362</v>
      </c>
      <c r="L671" t="s">
        <v>30</v>
      </c>
      <c r="M671" t="s">
        <v>31</v>
      </c>
      <c r="Q671" s="4">
        <v>1</v>
      </c>
    </row>
    <row r="672" spans="1:20" x14ac:dyDescent="0.55000000000000004">
      <c r="A672" t="s">
        <v>2090</v>
      </c>
      <c r="C672" t="s">
        <v>2710</v>
      </c>
      <c r="D672" t="s">
        <v>2711</v>
      </c>
      <c r="E672" t="s">
        <v>39</v>
      </c>
      <c r="F672" t="s">
        <v>30</v>
      </c>
      <c r="G672" t="s">
        <v>31</v>
      </c>
      <c r="H672" s="11" t="s">
        <v>991</v>
      </c>
      <c r="I672" t="s">
        <v>3100</v>
      </c>
      <c r="J672" t="s">
        <v>3101</v>
      </c>
      <c r="K672" t="s">
        <v>39</v>
      </c>
      <c r="L672" t="s">
        <v>30</v>
      </c>
      <c r="M672" t="s">
        <v>31</v>
      </c>
      <c r="N672" t="s">
        <v>991</v>
      </c>
      <c r="Q672" s="4">
        <v>1</v>
      </c>
    </row>
    <row r="673" spans="1:20" s="16" customFormat="1" ht="18.5" thickBot="1" x14ac:dyDescent="0.6">
      <c r="A673" s="16" t="s">
        <v>2091</v>
      </c>
      <c r="C673" s="16" t="s">
        <v>3100</v>
      </c>
      <c r="D673" s="16" t="s">
        <v>3101</v>
      </c>
      <c r="E673" s="16" t="s">
        <v>39</v>
      </c>
      <c r="F673" s="16" t="s">
        <v>30</v>
      </c>
      <c r="G673" s="16" t="s">
        <v>31</v>
      </c>
      <c r="H673" s="16" t="s">
        <v>991</v>
      </c>
      <c r="I673" s="16" t="s">
        <v>4009</v>
      </c>
      <c r="J673" s="16" t="s">
        <v>4010</v>
      </c>
      <c r="K673" s="16" t="s">
        <v>39</v>
      </c>
      <c r="L673" s="16" t="s">
        <v>30</v>
      </c>
      <c r="M673" s="16" t="s">
        <v>31</v>
      </c>
      <c r="N673" s="16" t="s">
        <v>991</v>
      </c>
      <c r="Q673" s="17">
        <f>S673/T673</f>
        <v>0.25</v>
      </c>
      <c r="S673" s="16">
        <f>MID(D673,FIND("x",D673)+7,4)*1</f>
        <v>1500</v>
      </c>
      <c r="T673" s="16">
        <v>6000</v>
      </c>
    </row>
    <row r="674" spans="1:20" x14ac:dyDescent="0.55000000000000004">
      <c r="A674" t="s">
        <v>2092</v>
      </c>
      <c r="C674" t="s">
        <v>2712</v>
      </c>
      <c r="D674" t="s">
        <v>2713</v>
      </c>
      <c r="E674" t="s">
        <v>35</v>
      </c>
      <c r="F674" t="s">
        <v>30</v>
      </c>
      <c r="G674" t="s">
        <v>31</v>
      </c>
      <c r="H674" t="s">
        <v>36</v>
      </c>
      <c r="I674" t="s">
        <v>2714</v>
      </c>
      <c r="J674" t="s">
        <v>2715</v>
      </c>
      <c r="K674" t="s">
        <v>39</v>
      </c>
      <c r="L674" t="s">
        <v>30</v>
      </c>
      <c r="M674" t="s">
        <v>31</v>
      </c>
      <c r="N674" t="s">
        <v>991</v>
      </c>
      <c r="Q674" s="4">
        <v>1</v>
      </c>
    </row>
    <row r="675" spans="1:20" x14ac:dyDescent="0.55000000000000004">
      <c r="A675" t="s">
        <v>2093</v>
      </c>
      <c r="C675" t="s">
        <v>2714</v>
      </c>
      <c r="D675" t="s">
        <v>2715</v>
      </c>
      <c r="E675" t="s">
        <v>39</v>
      </c>
      <c r="F675" t="s">
        <v>30</v>
      </c>
      <c r="G675" t="s">
        <v>31</v>
      </c>
      <c r="H675" s="11" t="s">
        <v>991</v>
      </c>
      <c r="I675" t="s">
        <v>3078</v>
      </c>
      <c r="J675" t="s">
        <v>3079</v>
      </c>
      <c r="K675" t="s">
        <v>362</v>
      </c>
      <c r="L675" t="s">
        <v>30</v>
      </c>
      <c r="M675" t="s">
        <v>31</v>
      </c>
      <c r="Q675" s="4">
        <v>1</v>
      </c>
    </row>
    <row r="676" spans="1:20" x14ac:dyDescent="0.55000000000000004">
      <c r="A676" t="s">
        <v>2094</v>
      </c>
      <c r="C676" t="s">
        <v>2714</v>
      </c>
      <c r="D676" t="s">
        <v>2715</v>
      </c>
      <c r="E676" t="s">
        <v>39</v>
      </c>
      <c r="F676" t="s">
        <v>30</v>
      </c>
      <c r="G676" t="s">
        <v>31</v>
      </c>
      <c r="H676" s="11" t="s">
        <v>991</v>
      </c>
      <c r="I676" t="s">
        <v>3102</v>
      </c>
      <c r="J676" t="s">
        <v>3103</v>
      </c>
      <c r="K676" t="s">
        <v>39</v>
      </c>
      <c r="L676" t="s">
        <v>30</v>
      </c>
      <c r="M676" t="s">
        <v>31</v>
      </c>
      <c r="N676" t="s">
        <v>991</v>
      </c>
      <c r="Q676" s="4">
        <v>1</v>
      </c>
    </row>
    <row r="677" spans="1:20" s="16" customFormat="1" ht="18.5" thickBot="1" x14ac:dyDescent="0.6">
      <c r="A677" s="16" t="s">
        <v>2095</v>
      </c>
      <c r="C677" s="16" t="s">
        <v>3102</v>
      </c>
      <c r="D677" s="16" t="s">
        <v>3103</v>
      </c>
      <c r="E677" s="16" t="s">
        <v>39</v>
      </c>
      <c r="F677" s="16" t="s">
        <v>30</v>
      </c>
      <c r="G677" s="16" t="s">
        <v>31</v>
      </c>
      <c r="H677" s="16" t="s">
        <v>991</v>
      </c>
      <c r="I677" s="16" t="s">
        <v>4009</v>
      </c>
      <c r="J677" s="16" t="s">
        <v>4010</v>
      </c>
      <c r="K677" s="16" t="s">
        <v>39</v>
      </c>
      <c r="L677" s="16" t="s">
        <v>30</v>
      </c>
      <c r="M677" s="16" t="s">
        <v>31</v>
      </c>
      <c r="N677" s="16" t="s">
        <v>991</v>
      </c>
      <c r="Q677" s="17">
        <f>S677/T677</f>
        <v>0.26666666666666666</v>
      </c>
      <c r="S677" s="16">
        <f>MID(D677,FIND("x",D677)+7,4)*1</f>
        <v>1600</v>
      </c>
      <c r="T677" s="16">
        <v>6000</v>
      </c>
    </row>
    <row r="678" spans="1:20" x14ac:dyDescent="0.55000000000000004">
      <c r="A678" t="s">
        <v>2096</v>
      </c>
      <c r="C678" t="s">
        <v>2716</v>
      </c>
      <c r="D678" t="s">
        <v>2717</v>
      </c>
      <c r="E678" t="s">
        <v>35</v>
      </c>
      <c r="F678" t="s">
        <v>30</v>
      </c>
      <c r="G678" t="s">
        <v>31</v>
      </c>
      <c r="H678" t="s">
        <v>36</v>
      </c>
      <c r="I678" t="s">
        <v>2718</v>
      </c>
      <c r="J678" t="s">
        <v>2719</v>
      </c>
      <c r="K678" t="s">
        <v>39</v>
      </c>
      <c r="L678" t="s">
        <v>30</v>
      </c>
      <c r="M678" t="s">
        <v>31</v>
      </c>
      <c r="N678" t="s">
        <v>991</v>
      </c>
      <c r="Q678" s="4">
        <v>1</v>
      </c>
    </row>
    <row r="679" spans="1:20" x14ac:dyDescent="0.55000000000000004">
      <c r="A679" t="s">
        <v>2097</v>
      </c>
      <c r="C679" t="s">
        <v>2718</v>
      </c>
      <c r="D679" t="s">
        <v>2719</v>
      </c>
      <c r="E679" t="s">
        <v>39</v>
      </c>
      <c r="F679" t="s">
        <v>30</v>
      </c>
      <c r="G679" t="s">
        <v>31</v>
      </c>
      <c r="H679" s="11" t="s">
        <v>991</v>
      </c>
      <c r="I679" t="s">
        <v>3078</v>
      </c>
      <c r="J679" t="s">
        <v>3079</v>
      </c>
      <c r="K679" t="s">
        <v>362</v>
      </c>
      <c r="L679" t="s">
        <v>30</v>
      </c>
      <c r="M679" t="s">
        <v>31</v>
      </c>
      <c r="Q679" s="4">
        <v>1</v>
      </c>
    </row>
    <row r="680" spans="1:20" x14ac:dyDescent="0.55000000000000004">
      <c r="A680" t="s">
        <v>2098</v>
      </c>
      <c r="C680" t="s">
        <v>2718</v>
      </c>
      <c r="D680" t="s">
        <v>2719</v>
      </c>
      <c r="E680" t="s">
        <v>39</v>
      </c>
      <c r="F680" t="s">
        <v>30</v>
      </c>
      <c r="G680" t="s">
        <v>31</v>
      </c>
      <c r="H680" s="11" t="s">
        <v>991</v>
      </c>
      <c r="I680" t="s">
        <v>3104</v>
      </c>
      <c r="J680" t="s">
        <v>3105</v>
      </c>
      <c r="K680" t="s">
        <v>39</v>
      </c>
      <c r="L680" t="s">
        <v>30</v>
      </c>
      <c r="M680" t="s">
        <v>31</v>
      </c>
      <c r="N680" t="s">
        <v>991</v>
      </c>
      <c r="Q680" s="4">
        <v>1</v>
      </c>
    </row>
    <row r="681" spans="1:20" s="16" customFormat="1" ht="18.5" thickBot="1" x14ac:dyDescent="0.6">
      <c r="A681" s="16" t="s">
        <v>2099</v>
      </c>
      <c r="C681" s="16" t="s">
        <v>3104</v>
      </c>
      <c r="D681" s="16" t="s">
        <v>3105</v>
      </c>
      <c r="E681" s="16" t="s">
        <v>39</v>
      </c>
      <c r="F681" s="16" t="s">
        <v>30</v>
      </c>
      <c r="G681" s="16" t="s">
        <v>31</v>
      </c>
      <c r="H681" s="16" t="s">
        <v>991</v>
      </c>
      <c r="I681" s="16" t="s">
        <v>4009</v>
      </c>
      <c r="J681" s="16" t="s">
        <v>4010</v>
      </c>
      <c r="K681" s="16" t="s">
        <v>39</v>
      </c>
      <c r="L681" s="16" t="s">
        <v>30</v>
      </c>
      <c r="M681" s="16" t="s">
        <v>31</v>
      </c>
      <c r="N681" s="16" t="s">
        <v>991</v>
      </c>
      <c r="Q681" s="17">
        <f>S681/T681</f>
        <v>0.28333333333333333</v>
      </c>
      <c r="S681" s="16">
        <f>MID(D681,FIND("x",D681)+7,4)*1</f>
        <v>1700</v>
      </c>
      <c r="T681" s="16">
        <v>6000</v>
      </c>
    </row>
    <row r="682" spans="1:20" x14ac:dyDescent="0.55000000000000004">
      <c r="A682" t="s">
        <v>2100</v>
      </c>
      <c r="C682" t="s">
        <v>2720</v>
      </c>
      <c r="D682" t="s">
        <v>2721</v>
      </c>
      <c r="E682" t="s">
        <v>35</v>
      </c>
      <c r="F682" t="s">
        <v>30</v>
      </c>
      <c r="G682" t="s">
        <v>31</v>
      </c>
      <c r="H682" t="s">
        <v>36</v>
      </c>
      <c r="I682" t="s">
        <v>2722</v>
      </c>
      <c r="J682" t="s">
        <v>2723</v>
      </c>
      <c r="K682" t="s">
        <v>39</v>
      </c>
      <c r="L682" t="s">
        <v>30</v>
      </c>
      <c r="M682" t="s">
        <v>31</v>
      </c>
      <c r="N682" t="s">
        <v>991</v>
      </c>
      <c r="Q682" s="4">
        <v>1</v>
      </c>
    </row>
    <row r="683" spans="1:20" x14ac:dyDescent="0.55000000000000004">
      <c r="A683" t="s">
        <v>2101</v>
      </c>
      <c r="C683" t="s">
        <v>2722</v>
      </c>
      <c r="D683" t="s">
        <v>2723</v>
      </c>
      <c r="E683" t="s">
        <v>39</v>
      </c>
      <c r="F683" t="s">
        <v>30</v>
      </c>
      <c r="G683" t="s">
        <v>31</v>
      </c>
      <c r="H683" t="s">
        <v>991</v>
      </c>
      <c r="I683" t="s">
        <v>3078</v>
      </c>
      <c r="J683" t="s">
        <v>3079</v>
      </c>
      <c r="K683" t="s">
        <v>362</v>
      </c>
      <c r="L683" t="s">
        <v>30</v>
      </c>
      <c r="M683" t="s">
        <v>31</v>
      </c>
      <c r="Q683" s="4">
        <v>1</v>
      </c>
    </row>
    <row r="684" spans="1:20" x14ac:dyDescent="0.55000000000000004">
      <c r="A684" t="s">
        <v>2102</v>
      </c>
      <c r="C684" t="s">
        <v>2722</v>
      </c>
      <c r="D684" t="s">
        <v>2723</v>
      </c>
      <c r="E684" t="s">
        <v>39</v>
      </c>
      <c r="F684" t="s">
        <v>30</v>
      </c>
      <c r="G684" t="s">
        <v>31</v>
      </c>
      <c r="H684" t="s">
        <v>991</v>
      </c>
      <c r="I684" t="s">
        <v>3106</v>
      </c>
      <c r="J684" t="s">
        <v>3107</v>
      </c>
      <c r="K684" t="s">
        <v>39</v>
      </c>
      <c r="L684" t="s">
        <v>30</v>
      </c>
      <c r="M684" t="s">
        <v>31</v>
      </c>
      <c r="N684" t="s">
        <v>991</v>
      </c>
      <c r="Q684" s="4">
        <v>1</v>
      </c>
    </row>
    <row r="685" spans="1:20" s="16" customFormat="1" ht="18.5" thickBot="1" x14ac:dyDescent="0.6">
      <c r="A685" s="16" t="s">
        <v>2103</v>
      </c>
      <c r="C685" s="16" t="s">
        <v>3106</v>
      </c>
      <c r="D685" s="16" t="s">
        <v>3107</v>
      </c>
      <c r="E685" s="16" t="s">
        <v>39</v>
      </c>
      <c r="F685" s="16" t="s">
        <v>30</v>
      </c>
      <c r="G685" s="16" t="s">
        <v>31</v>
      </c>
      <c r="H685" s="16" t="s">
        <v>991</v>
      </c>
      <c r="I685" s="16" t="s">
        <v>4009</v>
      </c>
      <c r="J685" s="16" t="s">
        <v>4010</v>
      </c>
      <c r="K685" s="16" t="s">
        <v>39</v>
      </c>
      <c r="L685" s="16" t="s">
        <v>30</v>
      </c>
      <c r="M685" s="16" t="s">
        <v>31</v>
      </c>
      <c r="N685" s="16" t="s">
        <v>991</v>
      </c>
      <c r="Q685" s="17">
        <f>S685/T685</f>
        <v>0.3</v>
      </c>
      <c r="S685" s="16">
        <f>MID(D685,FIND("x",D685)+7,4)*1</f>
        <v>1800</v>
      </c>
      <c r="T685" s="16">
        <v>6000</v>
      </c>
    </row>
    <row r="686" spans="1:20" x14ac:dyDescent="0.55000000000000004">
      <c r="A686" t="s">
        <v>2104</v>
      </c>
      <c r="C686" t="s">
        <v>2724</v>
      </c>
      <c r="D686" t="s">
        <v>2725</v>
      </c>
      <c r="E686" t="s">
        <v>35</v>
      </c>
      <c r="F686" t="s">
        <v>30</v>
      </c>
      <c r="G686" t="s">
        <v>31</v>
      </c>
      <c r="H686" t="s">
        <v>36</v>
      </c>
      <c r="I686" t="s">
        <v>2726</v>
      </c>
      <c r="J686" t="s">
        <v>2727</v>
      </c>
      <c r="K686" t="s">
        <v>39</v>
      </c>
      <c r="L686" t="s">
        <v>30</v>
      </c>
      <c r="M686" t="s">
        <v>31</v>
      </c>
      <c r="N686" t="s">
        <v>991</v>
      </c>
      <c r="Q686" s="4">
        <v>1</v>
      </c>
    </row>
    <row r="687" spans="1:20" x14ac:dyDescent="0.55000000000000004">
      <c r="A687" t="s">
        <v>2105</v>
      </c>
      <c r="C687" t="s">
        <v>2726</v>
      </c>
      <c r="D687" t="s">
        <v>2727</v>
      </c>
      <c r="E687" t="s">
        <v>39</v>
      </c>
      <c r="F687" t="s">
        <v>30</v>
      </c>
      <c r="G687" t="s">
        <v>31</v>
      </c>
      <c r="H687" t="s">
        <v>991</v>
      </c>
      <c r="I687" t="s">
        <v>3078</v>
      </c>
      <c r="J687" t="s">
        <v>3079</v>
      </c>
      <c r="K687" t="s">
        <v>362</v>
      </c>
      <c r="L687" t="s">
        <v>30</v>
      </c>
      <c r="M687" t="s">
        <v>31</v>
      </c>
      <c r="Q687" s="4">
        <v>1</v>
      </c>
    </row>
    <row r="688" spans="1:20" x14ac:dyDescent="0.55000000000000004">
      <c r="A688" t="s">
        <v>2106</v>
      </c>
      <c r="C688" t="s">
        <v>2726</v>
      </c>
      <c r="D688" t="s">
        <v>2727</v>
      </c>
      <c r="E688" t="s">
        <v>39</v>
      </c>
      <c r="F688" t="s">
        <v>30</v>
      </c>
      <c r="G688" t="s">
        <v>31</v>
      </c>
      <c r="H688" t="s">
        <v>991</v>
      </c>
      <c r="I688" t="s">
        <v>3108</v>
      </c>
      <c r="J688" t="s">
        <v>3109</v>
      </c>
      <c r="K688" t="s">
        <v>39</v>
      </c>
      <c r="L688" t="s">
        <v>30</v>
      </c>
      <c r="M688" t="s">
        <v>31</v>
      </c>
      <c r="N688" t="s">
        <v>991</v>
      </c>
      <c r="Q688" s="4">
        <v>1</v>
      </c>
    </row>
    <row r="689" spans="1:20" s="16" customFormat="1" ht="18.5" thickBot="1" x14ac:dyDescent="0.6">
      <c r="A689" s="16" t="s">
        <v>2107</v>
      </c>
      <c r="C689" s="16" t="s">
        <v>3108</v>
      </c>
      <c r="D689" s="16" t="s">
        <v>3109</v>
      </c>
      <c r="E689" s="16" t="s">
        <v>39</v>
      </c>
      <c r="F689" s="16" t="s">
        <v>30</v>
      </c>
      <c r="G689" s="16" t="s">
        <v>31</v>
      </c>
      <c r="H689" s="16" t="s">
        <v>991</v>
      </c>
      <c r="I689" s="16" t="s">
        <v>4009</v>
      </c>
      <c r="J689" s="16" t="s">
        <v>4010</v>
      </c>
      <c r="K689" s="16" t="s">
        <v>39</v>
      </c>
      <c r="L689" s="16" t="s">
        <v>30</v>
      </c>
      <c r="M689" s="16" t="s">
        <v>31</v>
      </c>
      <c r="N689" s="16" t="s">
        <v>991</v>
      </c>
      <c r="Q689" s="17">
        <f>S689/T689</f>
        <v>0.31666666666666665</v>
      </c>
      <c r="S689" s="16">
        <f>MID(D689,FIND("x",D689)+7,4)*1</f>
        <v>1900</v>
      </c>
      <c r="T689" s="16">
        <v>6000</v>
      </c>
    </row>
    <row r="690" spans="1:20" x14ac:dyDescent="0.55000000000000004">
      <c r="A690" t="s">
        <v>2108</v>
      </c>
      <c r="C690" t="s">
        <v>2728</v>
      </c>
      <c r="D690" t="s">
        <v>2729</v>
      </c>
      <c r="E690" t="s">
        <v>35</v>
      </c>
      <c r="F690" t="s">
        <v>30</v>
      </c>
      <c r="G690" t="s">
        <v>31</v>
      </c>
      <c r="H690" t="s">
        <v>36</v>
      </c>
      <c r="I690" t="s">
        <v>2730</v>
      </c>
      <c r="J690" t="s">
        <v>2731</v>
      </c>
      <c r="K690" t="s">
        <v>39</v>
      </c>
      <c r="L690" t="s">
        <v>30</v>
      </c>
      <c r="M690" t="s">
        <v>31</v>
      </c>
      <c r="N690" t="s">
        <v>991</v>
      </c>
      <c r="Q690" s="4">
        <v>1</v>
      </c>
    </row>
    <row r="691" spans="1:20" x14ac:dyDescent="0.55000000000000004">
      <c r="A691" t="s">
        <v>2109</v>
      </c>
      <c r="C691" t="s">
        <v>2730</v>
      </c>
      <c r="D691" t="s">
        <v>2731</v>
      </c>
      <c r="E691" t="s">
        <v>39</v>
      </c>
      <c r="F691" t="s">
        <v>30</v>
      </c>
      <c r="G691" t="s">
        <v>31</v>
      </c>
      <c r="H691" t="s">
        <v>991</v>
      </c>
      <c r="I691" t="s">
        <v>3078</v>
      </c>
      <c r="J691" t="s">
        <v>3079</v>
      </c>
      <c r="K691" t="s">
        <v>362</v>
      </c>
      <c r="L691" t="s">
        <v>30</v>
      </c>
      <c r="M691" t="s">
        <v>31</v>
      </c>
      <c r="Q691" s="4">
        <v>1</v>
      </c>
    </row>
    <row r="692" spans="1:20" x14ac:dyDescent="0.55000000000000004">
      <c r="A692" t="s">
        <v>2110</v>
      </c>
      <c r="C692" t="s">
        <v>2730</v>
      </c>
      <c r="D692" t="s">
        <v>2731</v>
      </c>
      <c r="E692" t="s">
        <v>39</v>
      </c>
      <c r="F692" t="s">
        <v>30</v>
      </c>
      <c r="G692" t="s">
        <v>31</v>
      </c>
      <c r="H692" t="s">
        <v>991</v>
      </c>
      <c r="I692" t="s">
        <v>3110</v>
      </c>
      <c r="J692" t="s">
        <v>3111</v>
      </c>
      <c r="K692" t="s">
        <v>39</v>
      </c>
      <c r="L692" t="s">
        <v>30</v>
      </c>
      <c r="M692" t="s">
        <v>31</v>
      </c>
      <c r="N692" t="s">
        <v>991</v>
      </c>
      <c r="Q692" s="4">
        <v>1</v>
      </c>
    </row>
    <row r="693" spans="1:20" s="16" customFormat="1" ht="18.5" thickBot="1" x14ac:dyDescent="0.6">
      <c r="A693" s="16" t="s">
        <v>2111</v>
      </c>
      <c r="C693" s="16" t="s">
        <v>3110</v>
      </c>
      <c r="D693" s="16" t="s">
        <v>3111</v>
      </c>
      <c r="E693" s="16" t="s">
        <v>39</v>
      </c>
      <c r="F693" s="16" t="s">
        <v>30</v>
      </c>
      <c r="G693" s="16" t="s">
        <v>31</v>
      </c>
      <c r="H693" s="16" t="s">
        <v>991</v>
      </c>
      <c r="I693" s="16" t="s">
        <v>4009</v>
      </c>
      <c r="J693" s="16" t="s">
        <v>4010</v>
      </c>
      <c r="K693" s="16" t="s">
        <v>39</v>
      </c>
      <c r="L693" s="16" t="s">
        <v>30</v>
      </c>
      <c r="M693" s="16" t="s">
        <v>31</v>
      </c>
      <c r="N693" s="16" t="s">
        <v>991</v>
      </c>
      <c r="Q693" s="17">
        <f>S693/T693</f>
        <v>0.33333333333333331</v>
      </c>
      <c r="S693" s="16">
        <f>MID(D693,FIND("x",D693)+7,4)*1</f>
        <v>2000</v>
      </c>
      <c r="T693" s="16">
        <v>6000</v>
      </c>
    </row>
    <row r="694" spans="1:20" x14ac:dyDescent="0.55000000000000004">
      <c r="A694" t="s">
        <v>2112</v>
      </c>
      <c r="C694" t="s">
        <v>2732</v>
      </c>
      <c r="D694" t="s">
        <v>2733</v>
      </c>
      <c r="E694" t="s">
        <v>35</v>
      </c>
      <c r="F694" t="s">
        <v>30</v>
      </c>
      <c r="G694" t="s">
        <v>31</v>
      </c>
      <c r="H694" t="s">
        <v>36</v>
      </c>
      <c r="I694" t="s">
        <v>2734</v>
      </c>
      <c r="J694" t="s">
        <v>2735</v>
      </c>
      <c r="K694" t="s">
        <v>39</v>
      </c>
      <c r="L694" t="s">
        <v>30</v>
      </c>
      <c r="M694" t="s">
        <v>31</v>
      </c>
      <c r="N694" t="s">
        <v>991</v>
      </c>
      <c r="Q694" s="4">
        <v>1</v>
      </c>
    </row>
    <row r="695" spans="1:20" x14ac:dyDescent="0.55000000000000004">
      <c r="A695" t="s">
        <v>2113</v>
      </c>
      <c r="C695" t="s">
        <v>2734</v>
      </c>
      <c r="D695" t="s">
        <v>2735</v>
      </c>
      <c r="E695" t="s">
        <v>39</v>
      </c>
      <c r="F695" t="s">
        <v>30</v>
      </c>
      <c r="G695" t="s">
        <v>31</v>
      </c>
      <c r="H695" t="s">
        <v>991</v>
      </c>
      <c r="I695" t="s">
        <v>3078</v>
      </c>
      <c r="J695" t="s">
        <v>3079</v>
      </c>
      <c r="K695" t="s">
        <v>362</v>
      </c>
      <c r="L695" t="s">
        <v>30</v>
      </c>
      <c r="M695" t="s">
        <v>31</v>
      </c>
      <c r="Q695" s="4">
        <v>1</v>
      </c>
    </row>
    <row r="696" spans="1:20" x14ac:dyDescent="0.55000000000000004">
      <c r="A696" t="s">
        <v>2114</v>
      </c>
      <c r="C696" t="s">
        <v>2734</v>
      </c>
      <c r="D696" t="s">
        <v>2735</v>
      </c>
      <c r="E696" t="s">
        <v>39</v>
      </c>
      <c r="F696" t="s">
        <v>30</v>
      </c>
      <c r="G696" t="s">
        <v>31</v>
      </c>
      <c r="H696" t="s">
        <v>991</v>
      </c>
      <c r="I696" t="s">
        <v>3112</v>
      </c>
      <c r="J696" t="s">
        <v>3113</v>
      </c>
      <c r="K696" t="s">
        <v>39</v>
      </c>
      <c r="L696" t="s">
        <v>30</v>
      </c>
      <c r="M696" t="s">
        <v>31</v>
      </c>
      <c r="N696" t="s">
        <v>991</v>
      </c>
      <c r="Q696" s="4">
        <v>1</v>
      </c>
    </row>
    <row r="697" spans="1:20" s="16" customFormat="1" ht="18.5" thickBot="1" x14ac:dyDescent="0.6">
      <c r="A697" s="16" t="s">
        <v>2115</v>
      </c>
      <c r="C697" s="16" t="s">
        <v>3112</v>
      </c>
      <c r="D697" s="16" t="s">
        <v>3113</v>
      </c>
      <c r="E697" s="16" t="s">
        <v>39</v>
      </c>
      <c r="F697" s="16" t="s">
        <v>30</v>
      </c>
      <c r="G697" s="16" t="s">
        <v>31</v>
      </c>
      <c r="H697" s="16" t="s">
        <v>991</v>
      </c>
      <c r="I697" s="16" t="s">
        <v>4009</v>
      </c>
      <c r="J697" s="16" t="s">
        <v>4010</v>
      </c>
      <c r="K697" s="16" t="s">
        <v>39</v>
      </c>
      <c r="L697" s="16" t="s">
        <v>30</v>
      </c>
      <c r="M697" s="16" t="s">
        <v>31</v>
      </c>
      <c r="N697" s="16" t="s">
        <v>991</v>
      </c>
      <c r="Q697" s="17">
        <f>S697/T697</f>
        <v>0.35</v>
      </c>
      <c r="S697" s="16">
        <f>MID(D697,FIND("x",D697)+7,4)*1</f>
        <v>2100</v>
      </c>
      <c r="T697" s="16">
        <v>6000</v>
      </c>
    </row>
    <row r="698" spans="1:20" x14ac:dyDescent="0.55000000000000004">
      <c r="A698" t="s">
        <v>2116</v>
      </c>
      <c r="C698" t="s">
        <v>2736</v>
      </c>
      <c r="D698" t="s">
        <v>2737</v>
      </c>
      <c r="E698" t="s">
        <v>35</v>
      </c>
      <c r="F698" t="s">
        <v>30</v>
      </c>
      <c r="G698" t="s">
        <v>31</v>
      </c>
      <c r="H698" t="s">
        <v>36</v>
      </c>
      <c r="I698" t="s">
        <v>2738</v>
      </c>
      <c r="J698" t="s">
        <v>2739</v>
      </c>
      <c r="K698" t="s">
        <v>39</v>
      </c>
      <c r="L698" t="s">
        <v>30</v>
      </c>
      <c r="M698" t="s">
        <v>31</v>
      </c>
      <c r="N698" t="s">
        <v>991</v>
      </c>
      <c r="Q698" s="4">
        <v>1</v>
      </c>
    </row>
    <row r="699" spans="1:20" x14ac:dyDescent="0.55000000000000004">
      <c r="A699" t="s">
        <v>2117</v>
      </c>
      <c r="C699" t="s">
        <v>2738</v>
      </c>
      <c r="D699" t="s">
        <v>2739</v>
      </c>
      <c r="E699" t="s">
        <v>39</v>
      </c>
      <c r="F699" t="s">
        <v>30</v>
      </c>
      <c r="G699" t="s">
        <v>31</v>
      </c>
      <c r="H699" t="s">
        <v>991</v>
      </c>
      <c r="I699" t="s">
        <v>3078</v>
      </c>
      <c r="J699" t="s">
        <v>3079</v>
      </c>
      <c r="K699" t="s">
        <v>362</v>
      </c>
      <c r="L699" t="s">
        <v>30</v>
      </c>
      <c r="M699" t="s">
        <v>31</v>
      </c>
      <c r="Q699" s="4">
        <v>1</v>
      </c>
    </row>
    <row r="700" spans="1:20" x14ac:dyDescent="0.55000000000000004">
      <c r="A700" t="s">
        <v>2118</v>
      </c>
      <c r="C700" t="s">
        <v>2738</v>
      </c>
      <c r="D700" t="s">
        <v>2739</v>
      </c>
      <c r="E700" t="s">
        <v>39</v>
      </c>
      <c r="F700" t="s">
        <v>30</v>
      </c>
      <c r="G700" t="s">
        <v>31</v>
      </c>
      <c r="H700" t="s">
        <v>991</v>
      </c>
      <c r="I700" t="s">
        <v>3114</v>
      </c>
      <c r="J700" t="s">
        <v>3115</v>
      </c>
      <c r="K700" t="s">
        <v>39</v>
      </c>
      <c r="L700" t="s">
        <v>30</v>
      </c>
      <c r="M700" t="s">
        <v>31</v>
      </c>
      <c r="N700" t="s">
        <v>991</v>
      </c>
      <c r="Q700" s="4">
        <v>1</v>
      </c>
    </row>
    <row r="701" spans="1:20" s="16" customFormat="1" ht="18.5" thickBot="1" x14ac:dyDescent="0.6">
      <c r="A701" s="16" t="s">
        <v>2119</v>
      </c>
      <c r="C701" s="16" t="s">
        <v>3114</v>
      </c>
      <c r="D701" s="16" t="s">
        <v>3115</v>
      </c>
      <c r="E701" s="16" t="s">
        <v>39</v>
      </c>
      <c r="F701" s="16" t="s">
        <v>30</v>
      </c>
      <c r="G701" s="16" t="s">
        <v>31</v>
      </c>
      <c r="H701" s="16" t="s">
        <v>991</v>
      </c>
      <c r="I701" s="16" t="s">
        <v>4009</v>
      </c>
      <c r="J701" s="16" t="s">
        <v>4010</v>
      </c>
      <c r="K701" s="16" t="s">
        <v>39</v>
      </c>
      <c r="L701" s="16" t="s">
        <v>30</v>
      </c>
      <c r="M701" s="16" t="s">
        <v>31</v>
      </c>
      <c r="N701" s="16" t="s">
        <v>991</v>
      </c>
      <c r="Q701" s="17">
        <f>S701/T701</f>
        <v>0.36666666666666664</v>
      </c>
      <c r="S701" s="16">
        <f>MID(D701,FIND("x",D701)+7,4)*1</f>
        <v>2200</v>
      </c>
      <c r="T701" s="16">
        <v>6000</v>
      </c>
    </row>
    <row r="702" spans="1:20" x14ac:dyDescent="0.55000000000000004">
      <c r="A702" t="s">
        <v>2120</v>
      </c>
      <c r="C702" t="s">
        <v>2740</v>
      </c>
      <c r="D702" t="s">
        <v>2741</v>
      </c>
      <c r="E702" t="s">
        <v>35</v>
      </c>
      <c r="F702" t="s">
        <v>30</v>
      </c>
      <c r="G702" t="s">
        <v>31</v>
      </c>
      <c r="H702" t="s">
        <v>36</v>
      </c>
      <c r="I702" t="s">
        <v>2742</v>
      </c>
      <c r="J702" t="s">
        <v>2743</v>
      </c>
      <c r="K702" t="s">
        <v>39</v>
      </c>
      <c r="L702" t="s">
        <v>30</v>
      </c>
      <c r="M702" t="s">
        <v>31</v>
      </c>
      <c r="N702" t="s">
        <v>991</v>
      </c>
      <c r="Q702" s="4">
        <v>1</v>
      </c>
    </row>
    <row r="703" spans="1:20" x14ac:dyDescent="0.55000000000000004">
      <c r="A703" t="s">
        <v>2121</v>
      </c>
      <c r="C703" t="s">
        <v>2742</v>
      </c>
      <c r="D703" t="s">
        <v>2743</v>
      </c>
      <c r="E703" t="s">
        <v>39</v>
      </c>
      <c r="F703" t="s">
        <v>30</v>
      </c>
      <c r="G703" t="s">
        <v>31</v>
      </c>
      <c r="H703" t="s">
        <v>991</v>
      </c>
      <c r="I703" t="s">
        <v>3078</v>
      </c>
      <c r="J703" t="s">
        <v>3079</v>
      </c>
      <c r="K703" t="s">
        <v>362</v>
      </c>
      <c r="L703" t="s">
        <v>30</v>
      </c>
      <c r="M703" t="s">
        <v>31</v>
      </c>
      <c r="Q703" s="4">
        <v>1</v>
      </c>
    </row>
    <row r="704" spans="1:20" x14ac:dyDescent="0.55000000000000004">
      <c r="A704" t="s">
        <v>2122</v>
      </c>
      <c r="C704" t="s">
        <v>2742</v>
      </c>
      <c r="D704" t="s">
        <v>2743</v>
      </c>
      <c r="E704" t="s">
        <v>39</v>
      </c>
      <c r="F704" t="s">
        <v>30</v>
      </c>
      <c r="G704" t="s">
        <v>31</v>
      </c>
      <c r="H704" t="s">
        <v>991</v>
      </c>
      <c r="I704" t="s">
        <v>3116</v>
      </c>
      <c r="J704" t="s">
        <v>3117</v>
      </c>
      <c r="K704" t="s">
        <v>39</v>
      </c>
      <c r="L704" t="s">
        <v>30</v>
      </c>
      <c r="M704" t="s">
        <v>31</v>
      </c>
      <c r="N704" t="s">
        <v>991</v>
      </c>
      <c r="Q704" s="4">
        <v>1</v>
      </c>
    </row>
    <row r="705" spans="1:20" s="16" customFormat="1" ht="18.5" thickBot="1" x14ac:dyDescent="0.6">
      <c r="A705" s="16" t="s">
        <v>2123</v>
      </c>
      <c r="C705" s="16" t="s">
        <v>3116</v>
      </c>
      <c r="D705" s="16" t="s">
        <v>3117</v>
      </c>
      <c r="E705" s="16" t="s">
        <v>39</v>
      </c>
      <c r="F705" s="16" t="s">
        <v>30</v>
      </c>
      <c r="G705" s="16" t="s">
        <v>31</v>
      </c>
      <c r="H705" s="16" t="s">
        <v>991</v>
      </c>
      <c r="I705" s="16" t="s">
        <v>4009</v>
      </c>
      <c r="J705" s="16" t="s">
        <v>4010</v>
      </c>
      <c r="K705" s="16" t="s">
        <v>39</v>
      </c>
      <c r="L705" s="16" t="s">
        <v>30</v>
      </c>
      <c r="M705" s="16" t="s">
        <v>31</v>
      </c>
      <c r="N705" s="16" t="s">
        <v>991</v>
      </c>
      <c r="Q705" s="17">
        <f>S705/T705</f>
        <v>0.38333333333333336</v>
      </c>
      <c r="S705" s="16">
        <f>MID(D705,FIND("x",D705)+7,4)*1</f>
        <v>2300</v>
      </c>
      <c r="T705" s="16">
        <v>6000</v>
      </c>
    </row>
    <row r="706" spans="1:20" x14ac:dyDescent="0.55000000000000004">
      <c r="A706" t="s">
        <v>2124</v>
      </c>
      <c r="C706" t="s">
        <v>2744</v>
      </c>
      <c r="D706" t="s">
        <v>2745</v>
      </c>
      <c r="E706" t="s">
        <v>35</v>
      </c>
      <c r="F706" t="s">
        <v>30</v>
      </c>
      <c r="G706" t="s">
        <v>31</v>
      </c>
      <c r="H706" t="s">
        <v>36</v>
      </c>
      <c r="I706" t="s">
        <v>2746</v>
      </c>
      <c r="J706" t="s">
        <v>2747</v>
      </c>
      <c r="K706" t="s">
        <v>39</v>
      </c>
      <c r="L706" t="s">
        <v>30</v>
      </c>
      <c r="M706" t="s">
        <v>31</v>
      </c>
      <c r="N706" t="s">
        <v>991</v>
      </c>
      <c r="Q706" s="4">
        <v>1</v>
      </c>
    </row>
    <row r="707" spans="1:20" x14ac:dyDescent="0.55000000000000004">
      <c r="A707" t="s">
        <v>2125</v>
      </c>
      <c r="C707" t="s">
        <v>2746</v>
      </c>
      <c r="D707" t="s">
        <v>2747</v>
      </c>
      <c r="E707" t="s">
        <v>39</v>
      </c>
      <c r="F707" t="s">
        <v>30</v>
      </c>
      <c r="G707" t="s">
        <v>31</v>
      </c>
      <c r="H707" t="s">
        <v>991</v>
      </c>
      <c r="I707" t="s">
        <v>3078</v>
      </c>
      <c r="J707" t="s">
        <v>3079</v>
      </c>
      <c r="K707" t="s">
        <v>362</v>
      </c>
      <c r="L707" t="s">
        <v>30</v>
      </c>
      <c r="M707" t="s">
        <v>31</v>
      </c>
      <c r="Q707" s="4">
        <v>1</v>
      </c>
    </row>
    <row r="708" spans="1:20" x14ac:dyDescent="0.55000000000000004">
      <c r="A708" t="s">
        <v>2126</v>
      </c>
      <c r="C708" t="s">
        <v>2746</v>
      </c>
      <c r="D708" t="s">
        <v>2747</v>
      </c>
      <c r="E708" t="s">
        <v>39</v>
      </c>
      <c r="F708" t="s">
        <v>30</v>
      </c>
      <c r="G708" t="s">
        <v>31</v>
      </c>
      <c r="H708" t="s">
        <v>991</v>
      </c>
      <c r="I708" t="s">
        <v>3118</v>
      </c>
      <c r="J708" t="s">
        <v>3119</v>
      </c>
      <c r="K708" t="s">
        <v>39</v>
      </c>
      <c r="L708" t="s">
        <v>30</v>
      </c>
      <c r="M708" t="s">
        <v>31</v>
      </c>
      <c r="N708" t="s">
        <v>991</v>
      </c>
      <c r="Q708" s="4">
        <v>1</v>
      </c>
    </row>
    <row r="709" spans="1:20" s="16" customFormat="1" ht="18.5" thickBot="1" x14ac:dyDescent="0.6">
      <c r="A709" s="16" t="s">
        <v>2127</v>
      </c>
      <c r="C709" s="16" t="s">
        <v>3118</v>
      </c>
      <c r="D709" s="16" t="s">
        <v>3119</v>
      </c>
      <c r="E709" s="16" t="s">
        <v>39</v>
      </c>
      <c r="F709" s="16" t="s">
        <v>30</v>
      </c>
      <c r="G709" s="16" t="s">
        <v>31</v>
      </c>
      <c r="H709" s="16" t="s">
        <v>991</v>
      </c>
      <c r="I709" s="16" t="s">
        <v>4009</v>
      </c>
      <c r="J709" s="16" t="s">
        <v>4010</v>
      </c>
      <c r="K709" s="16" t="s">
        <v>39</v>
      </c>
      <c r="L709" s="16" t="s">
        <v>30</v>
      </c>
      <c r="M709" s="16" t="s">
        <v>31</v>
      </c>
      <c r="N709" s="16" t="s">
        <v>991</v>
      </c>
      <c r="Q709" s="17">
        <f>S709/T709</f>
        <v>0.4</v>
      </c>
      <c r="S709" s="16">
        <f>MID(D709,FIND("x",D709)+7,4)*1</f>
        <v>2400</v>
      </c>
      <c r="T709" s="16">
        <v>6000</v>
      </c>
    </row>
    <row r="710" spans="1:20" x14ac:dyDescent="0.55000000000000004">
      <c r="A710" t="s">
        <v>2128</v>
      </c>
      <c r="C710" t="s">
        <v>2748</v>
      </c>
      <c r="D710" t="s">
        <v>2749</v>
      </c>
      <c r="E710" t="s">
        <v>35</v>
      </c>
      <c r="F710" t="s">
        <v>30</v>
      </c>
      <c r="G710" t="s">
        <v>31</v>
      </c>
      <c r="H710" t="s">
        <v>36</v>
      </c>
      <c r="I710" t="s">
        <v>2750</v>
      </c>
      <c r="J710" t="s">
        <v>2751</v>
      </c>
      <c r="K710" t="s">
        <v>39</v>
      </c>
      <c r="L710" t="s">
        <v>30</v>
      </c>
      <c r="M710" t="s">
        <v>31</v>
      </c>
      <c r="N710" t="s">
        <v>991</v>
      </c>
      <c r="Q710" s="4">
        <v>1</v>
      </c>
    </row>
    <row r="711" spans="1:20" x14ac:dyDescent="0.55000000000000004">
      <c r="A711" t="s">
        <v>2129</v>
      </c>
      <c r="C711" t="s">
        <v>2750</v>
      </c>
      <c r="D711" t="s">
        <v>2751</v>
      </c>
      <c r="E711" t="s">
        <v>39</v>
      </c>
      <c r="F711" t="s">
        <v>30</v>
      </c>
      <c r="G711" t="s">
        <v>31</v>
      </c>
      <c r="H711" t="s">
        <v>991</v>
      </c>
      <c r="I711" t="s">
        <v>3078</v>
      </c>
      <c r="J711" t="s">
        <v>3079</v>
      </c>
      <c r="K711" t="s">
        <v>362</v>
      </c>
      <c r="L711" t="s">
        <v>30</v>
      </c>
      <c r="M711" t="s">
        <v>31</v>
      </c>
      <c r="Q711" s="4">
        <v>1</v>
      </c>
    </row>
    <row r="712" spans="1:20" x14ac:dyDescent="0.55000000000000004">
      <c r="A712" t="s">
        <v>2130</v>
      </c>
      <c r="C712" t="s">
        <v>2750</v>
      </c>
      <c r="D712" t="s">
        <v>2751</v>
      </c>
      <c r="E712" t="s">
        <v>39</v>
      </c>
      <c r="F712" t="s">
        <v>30</v>
      </c>
      <c r="G712" t="s">
        <v>31</v>
      </c>
      <c r="H712" t="s">
        <v>991</v>
      </c>
      <c r="I712" t="s">
        <v>3120</v>
      </c>
      <c r="J712" t="s">
        <v>3121</v>
      </c>
      <c r="K712" t="s">
        <v>39</v>
      </c>
      <c r="L712" t="s">
        <v>30</v>
      </c>
      <c r="M712" t="s">
        <v>31</v>
      </c>
      <c r="N712" t="s">
        <v>991</v>
      </c>
      <c r="Q712" s="4">
        <v>1</v>
      </c>
    </row>
    <row r="713" spans="1:20" s="16" customFormat="1" ht="18.5" thickBot="1" x14ac:dyDescent="0.6">
      <c r="A713" s="16" t="s">
        <v>2131</v>
      </c>
      <c r="C713" s="16" t="s">
        <v>3120</v>
      </c>
      <c r="D713" s="16" t="s">
        <v>3121</v>
      </c>
      <c r="E713" s="16" t="s">
        <v>39</v>
      </c>
      <c r="F713" s="16" t="s">
        <v>30</v>
      </c>
      <c r="G713" s="16" t="s">
        <v>31</v>
      </c>
      <c r="H713" s="16" t="s">
        <v>991</v>
      </c>
      <c r="I713" s="16" t="s">
        <v>4009</v>
      </c>
      <c r="J713" s="16" t="s">
        <v>4010</v>
      </c>
      <c r="K713" s="16" t="s">
        <v>39</v>
      </c>
      <c r="L713" s="16" t="s">
        <v>30</v>
      </c>
      <c r="M713" s="16" t="s">
        <v>31</v>
      </c>
      <c r="N713" s="16" t="s">
        <v>991</v>
      </c>
      <c r="Q713" s="17">
        <f>S713/T713</f>
        <v>0.41666666666666669</v>
      </c>
      <c r="S713" s="16">
        <f>MID(D713,FIND("x",D713)+7,4)*1</f>
        <v>2500</v>
      </c>
      <c r="T713" s="16">
        <v>6000</v>
      </c>
    </row>
    <row r="714" spans="1:20" x14ac:dyDescent="0.55000000000000004">
      <c r="A714" t="s">
        <v>2132</v>
      </c>
      <c r="C714" t="s">
        <v>2752</v>
      </c>
      <c r="D714" t="s">
        <v>2753</v>
      </c>
      <c r="E714" t="s">
        <v>35</v>
      </c>
      <c r="F714" t="s">
        <v>30</v>
      </c>
      <c r="G714" t="s">
        <v>31</v>
      </c>
      <c r="H714" t="s">
        <v>36</v>
      </c>
      <c r="I714" t="s">
        <v>2754</v>
      </c>
      <c r="J714" t="s">
        <v>2755</v>
      </c>
      <c r="K714" t="s">
        <v>39</v>
      </c>
      <c r="L714" t="s">
        <v>30</v>
      </c>
      <c r="M714" t="s">
        <v>31</v>
      </c>
      <c r="N714" t="s">
        <v>991</v>
      </c>
      <c r="Q714" s="4">
        <v>1</v>
      </c>
    </row>
    <row r="715" spans="1:20" x14ac:dyDescent="0.55000000000000004">
      <c r="A715" t="s">
        <v>2133</v>
      </c>
      <c r="C715" t="s">
        <v>2754</v>
      </c>
      <c r="D715" t="s">
        <v>2755</v>
      </c>
      <c r="E715" t="s">
        <v>39</v>
      </c>
      <c r="F715" t="s">
        <v>30</v>
      </c>
      <c r="G715" t="s">
        <v>31</v>
      </c>
      <c r="H715" t="s">
        <v>991</v>
      </c>
      <c r="I715" t="s">
        <v>3078</v>
      </c>
      <c r="J715" t="s">
        <v>3079</v>
      </c>
      <c r="K715" t="s">
        <v>362</v>
      </c>
      <c r="L715" t="s">
        <v>30</v>
      </c>
      <c r="M715" t="s">
        <v>31</v>
      </c>
      <c r="Q715" s="4">
        <v>1</v>
      </c>
    </row>
    <row r="716" spans="1:20" x14ac:dyDescent="0.55000000000000004">
      <c r="A716" t="s">
        <v>2134</v>
      </c>
      <c r="C716" t="s">
        <v>2754</v>
      </c>
      <c r="D716" t="s">
        <v>2755</v>
      </c>
      <c r="E716" t="s">
        <v>39</v>
      </c>
      <c r="F716" t="s">
        <v>30</v>
      </c>
      <c r="G716" t="s">
        <v>31</v>
      </c>
      <c r="H716" t="s">
        <v>991</v>
      </c>
      <c r="I716" t="s">
        <v>3122</v>
      </c>
      <c r="J716" t="s">
        <v>3123</v>
      </c>
      <c r="K716" t="s">
        <v>39</v>
      </c>
      <c r="L716" t="s">
        <v>30</v>
      </c>
      <c r="M716" t="s">
        <v>31</v>
      </c>
      <c r="N716" t="s">
        <v>991</v>
      </c>
      <c r="Q716" s="4">
        <v>1</v>
      </c>
    </row>
    <row r="717" spans="1:20" s="16" customFormat="1" ht="18.5" thickBot="1" x14ac:dyDescent="0.6">
      <c r="A717" s="16" t="s">
        <v>2135</v>
      </c>
      <c r="C717" s="16" t="s">
        <v>3122</v>
      </c>
      <c r="D717" s="16" t="s">
        <v>3123</v>
      </c>
      <c r="E717" s="16" t="s">
        <v>39</v>
      </c>
      <c r="F717" s="16" t="s">
        <v>30</v>
      </c>
      <c r="G717" s="16" t="s">
        <v>31</v>
      </c>
      <c r="H717" s="16" t="s">
        <v>991</v>
      </c>
      <c r="I717" s="16" t="s">
        <v>4009</v>
      </c>
      <c r="J717" s="16" t="s">
        <v>4010</v>
      </c>
      <c r="K717" s="16" t="s">
        <v>39</v>
      </c>
      <c r="L717" s="16" t="s">
        <v>30</v>
      </c>
      <c r="M717" s="16" t="s">
        <v>31</v>
      </c>
      <c r="N717" s="16" t="s">
        <v>991</v>
      </c>
      <c r="Q717" s="17">
        <f>S717/T717</f>
        <v>0.43333333333333335</v>
      </c>
      <c r="S717" s="16">
        <f>MID(D717,FIND("x",D717)+7,4)*1</f>
        <v>2600</v>
      </c>
      <c r="T717" s="16">
        <v>6000</v>
      </c>
    </row>
    <row r="718" spans="1:20" x14ac:dyDescent="0.55000000000000004">
      <c r="A718" t="s">
        <v>2136</v>
      </c>
      <c r="C718" t="s">
        <v>2756</v>
      </c>
      <c r="D718" t="s">
        <v>2757</v>
      </c>
      <c r="E718" t="s">
        <v>35</v>
      </c>
      <c r="F718" t="s">
        <v>30</v>
      </c>
      <c r="G718" t="s">
        <v>31</v>
      </c>
      <c r="H718" t="s">
        <v>36</v>
      </c>
      <c r="I718" t="s">
        <v>2758</v>
      </c>
      <c r="J718" t="s">
        <v>2759</v>
      </c>
      <c r="K718" t="s">
        <v>39</v>
      </c>
      <c r="L718" t="s">
        <v>30</v>
      </c>
      <c r="M718" t="s">
        <v>31</v>
      </c>
      <c r="N718" t="s">
        <v>991</v>
      </c>
      <c r="Q718" s="4">
        <v>1</v>
      </c>
    </row>
    <row r="719" spans="1:20" x14ac:dyDescent="0.55000000000000004">
      <c r="A719" t="s">
        <v>2137</v>
      </c>
      <c r="C719" t="s">
        <v>2758</v>
      </c>
      <c r="D719" t="s">
        <v>2759</v>
      </c>
      <c r="E719" t="s">
        <v>39</v>
      </c>
      <c r="F719" t="s">
        <v>30</v>
      </c>
      <c r="G719" t="s">
        <v>31</v>
      </c>
      <c r="H719" t="s">
        <v>991</v>
      </c>
      <c r="I719" t="s">
        <v>3078</v>
      </c>
      <c r="J719" t="s">
        <v>3079</v>
      </c>
      <c r="K719" t="s">
        <v>362</v>
      </c>
      <c r="L719" t="s">
        <v>30</v>
      </c>
      <c r="M719" t="s">
        <v>31</v>
      </c>
      <c r="Q719" s="4">
        <v>1</v>
      </c>
    </row>
    <row r="720" spans="1:20" x14ac:dyDescent="0.55000000000000004">
      <c r="A720" t="s">
        <v>2138</v>
      </c>
      <c r="C720" t="s">
        <v>2758</v>
      </c>
      <c r="D720" t="s">
        <v>2759</v>
      </c>
      <c r="E720" t="s">
        <v>39</v>
      </c>
      <c r="F720" t="s">
        <v>30</v>
      </c>
      <c r="G720" t="s">
        <v>31</v>
      </c>
      <c r="H720" t="s">
        <v>991</v>
      </c>
      <c r="I720" t="s">
        <v>3124</v>
      </c>
      <c r="J720" t="s">
        <v>3125</v>
      </c>
      <c r="K720" t="s">
        <v>39</v>
      </c>
      <c r="L720" t="s">
        <v>30</v>
      </c>
      <c r="M720" t="s">
        <v>31</v>
      </c>
      <c r="N720" t="s">
        <v>991</v>
      </c>
      <c r="Q720" s="4">
        <v>1</v>
      </c>
    </row>
    <row r="721" spans="1:20" s="16" customFormat="1" ht="18.5" thickBot="1" x14ac:dyDescent="0.6">
      <c r="A721" s="16" t="s">
        <v>2139</v>
      </c>
      <c r="C721" s="16" t="s">
        <v>3124</v>
      </c>
      <c r="D721" s="16" t="s">
        <v>3125</v>
      </c>
      <c r="E721" s="16" t="s">
        <v>39</v>
      </c>
      <c r="F721" s="16" t="s">
        <v>30</v>
      </c>
      <c r="G721" s="16" t="s">
        <v>31</v>
      </c>
      <c r="H721" s="16" t="s">
        <v>991</v>
      </c>
      <c r="I721" s="16" t="s">
        <v>4009</v>
      </c>
      <c r="J721" s="16" t="s">
        <v>4010</v>
      </c>
      <c r="K721" s="16" t="s">
        <v>39</v>
      </c>
      <c r="L721" s="16" t="s">
        <v>30</v>
      </c>
      <c r="M721" s="16" t="s">
        <v>31</v>
      </c>
      <c r="N721" s="16" t="s">
        <v>991</v>
      </c>
      <c r="Q721" s="17">
        <f>S721/T721</f>
        <v>0.45</v>
      </c>
      <c r="S721" s="16">
        <f>MID(D721,FIND("x",D721)+7,4)*1</f>
        <v>2700</v>
      </c>
      <c r="T721" s="16">
        <v>6000</v>
      </c>
    </row>
    <row r="722" spans="1:20" x14ac:dyDescent="0.55000000000000004">
      <c r="A722" t="s">
        <v>2140</v>
      </c>
      <c r="C722" t="s">
        <v>2760</v>
      </c>
      <c r="D722" t="s">
        <v>2761</v>
      </c>
      <c r="E722" t="s">
        <v>35</v>
      </c>
      <c r="F722" t="s">
        <v>30</v>
      </c>
      <c r="G722" t="s">
        <v>31</v>
      </c>
      <c r="H722" t="s">
        <v>36</v>
      </c>
      <c r="I722" t="s">
        <v>2762</v>
      </c>
      <c r="J722" t="s">
        <v>2763</v>
      </c>
      <c r="K722" t="s">
        <v>39</v>
      </c>
      <c r="L722" t="s">
        <v>30</v>
      </c>
      <c r="M722" t="s">
        <v>31</v>
      </c>
      <c r="N722" t="s">
        <v>991</v>
      </c>
      <c r="Q722" s="4">
        <v>1</v>
      </c>
    </row>
    <row r="723" spans="1:20" x14ac:dyDescent="0.55000000000000004">
      <c r="A723" t="s">
        <v>2141</v>
      </c>
      <c r="C723" t="s">
        <v>2762</v>
      </c>
      <c r="D723" t="s">
        <v>2763</v>
      </c>
      <c r="E723" t="s">
        <v>39</v>
      </c>
      <c r="F723" t="s">
        <v>30</v>
      </c>
      <c r="G723" t="s">
        <v>31</v>
      </c>
      <c r="H723" t="s">
        <v>991</v>
      </c>
      <c r="I723" t="s">
        <v>3078</v>
      </c>
      <c r="J723" t="s">
        <v>3079</v>
      </c>
      <c r="K723" t="s">
        <v>362</v>
      </c>
      <c r="L723" t="s">
        <v>30</v>
      </c>
      <c r="M723" t="s">
        <v>31</v>
      </c>
      <c r="Q723" s="4">
        <v>1</v>
      </c>
    </row>
    <row r="724" spans="1:20" x14ac:dyDescent="0.55000000000000004">
      <c r="A724" t="s">
        <v>2142</v>
      </c>
      <c r="C724" t="s">
        <v>2762</v>
      </c>
      <c r="D724" t="s">
        <v>2763</v>
      </c>
      <c r="E724" t="s">
        <v>39</v>
      </c>
      <c r="F724" t="s">
        <v>30</v>
      </c>
      <c r="G724" t="s">
        <v>31</v>
      </c>
      <c r="H724" t="s">
        <v>991</v>
      </c>
      <c r="I724" t="s">
        <v>3126</v>
      </c>
      <c r="J724" t="s">
        <v>3127</v>
      </c>
      <c r="K724" t="s">
        <v>39</v>
      </c>
      <c r="L724" t="s">
        <v>30</v>
      </c>
      <c r="M724" t="s">
        <v>31</v>
      </c>
      <c r="N724" t="s">
        <v>991</v>
      </c>
      <c r="Q724" s="4">
        <v>1</v>
      </c>
    </row>
    <row r="725" spans="1:20" s="16" customFormat="1" ht="18.5" thickBot="1" x14ac:dyDescent="0.6">
      <c r="A725" s="16" t="s">
        <v>2143</v>
      </c>
      <c r="C725" s="16" t="s">
        <v>3126</v>
      </c>
      <c r="D725" s="16" t="s">
        <v>3127</v>
      </c>
      <c r="E725" s="16" t="s">
        <v>39</v>
      </c>
      <c r="F725" s="16" t="s">
        <v>30</v>
      </c>
      <c r="G725" s="16" t="s">
        <v>31</v>
      </c>
      <c r="H725" s="16" t="s">
        <v>991</v>
      </c>
      <c r="I725" s="16" t="s">
        <v>4009</v>
      </c>
      <c r="J725" s="16" t="s">
        <v>4010</v>
      </c>
      <c r="K725" s="16" t="s">
        <v>39</v>
      </c>
      <c r="L725" s="16" t="s">
        <v>30</v>
      </c>
      <c r="M725" s="16" t="s">
        <v>31</v>
      </c>
      <c r="N725" s="16" t="s">
        <v>991</v>
      </c>
      <c r="Q725" s="17">
        <f>S725/T725</f>
        <v>0.46666666666666667</v>
      </c>
      <c r="S725" s="16">
        <f>MID(D725,FIND("x",D725)+7,4)*1</f>
        <v>2800</v>
      </c>
      <c r="T725" s="16">
        <v>6000</v>
      </c>
    </row>
    <row r="726" spans="1:20" x14ac:dyDescent="0.55000000000000004">
      <c r="A726" t="s">
        <v>2144</v>
      </c>
      <c r="C726" t="s">
        <v>2764</v>
      </c>
      <c r="D726" t="s">
        <v>2765</v>
      </c>
      <c r="E726" t="s">
        <v>35</v>
      </c>
      <c r="F726" t="s">
        <v>30</v>
      </c>
      <c r="G726" t="s">
        <v>31</v>
      </c>
      <c r="H726" t="s">
        <v>36</v>
      </c>
      <c r="I726" t="s">
        <v>2766</v>
      </c>
      <c r="J726" t="s">
        <v>2767</v>
      </c>
      <c r="K726" t="s">
        <v>39</v>
      </c>
      <c r="L726" t="s">
        <v>30</v>
      </c>
      <c r="M726" t="s">
        <v>31</v>
      </c>
      <c r="N726" t="s">
        <v>991</v>
      </c>
      <c r="Q726" s="4">
        <v>1</v>
      </c>
    </row>
    <row r="727" spans="1:20" x14ac:dyDescent="0.55000000000000004">
      <c r="A727" t="s">
        <v>2145</v>
      </c>
      <c r="C727" t="s">
        <v>2766</v>
      </c>
      <c r="D727" t="s">
        <v>2767</v>
      </c>
      <c r="E727" t="s">
        <v>39</v>
      </c>
      <c r="F727" t="s">
        <v>30</v>
      </c>
      <c r="G727" t="s">
        <v>31</v>
      </c>
      <c r="H727" t="s">
        <v>991</v>
      </c>
      <c r="I727" t="s">
        <v>3078</v>
      </c>
      <c r="J727" t="s">
        <v>3079</v>
      </c>
      <c r="K727" t="s">
        <v>362</v>
      </c>
      <c r="L727" t="s">
        <v>30</v>
      </c>
      <c r="M727" t="s">
        <v>31</v>
      </c>
      <c r="Q727" s="4">
        <v>1</v>
      </c>
    </row>
    <row r="728" spans="1:20" x14ac:dyDescent="0.55000000000000004">
      <c r="A728" t="s">
        <v>2146</v>
      </c>
      <c r="C728" t="s">
        <v>2766</v>
      </c>
      <c r="D728" t="s">
        <v>2767</v>
      </c>
      <c r="E728" t="s">
        <v>39</v>
      </c>
      <c r="F728" t="s">
        <v>30</v>
      </c>
      <c r="G728" t="s">
        <v>31</v>
      </c>
      <c r="H728" t="s">
        <v>991</v>
      </c>
      <c r="I728" t="s">
        <v>3128</v>
      </c>
      <c r="J728" t="s">
        <v>3129</v>
      </c>
      <c r="K728" t="s">
        <v>39</v>
      </c>
      <c r="L728" t="s">
        <v>30</v>
      </c>
      <c r="M728" t="s">
        <v>31</v>
      </c>
      <c r="N728" t="s">
        <v>991</v>
      </c>
      <c r="Q728" s="4">
        <v>1</v>
      </c>
    </row>
    <row r="729" spans="1:20" s="16" customFormat="1" ht="18.5" thickBot="1" x14ac:dyDescent="0.6">
      <c r="A729" s="16" t="s">
        <v>2147</v>
      </c>
      <c r="C729" s="16" t="s">
        <v>3128</v>
      </c>
      <c r="D729" s="16" t="s">
        <v>3129</v>
      </c>
      <c r="E729" s="16" t="s">
        <v>39</v>
      </c>
      <c r="F729" s="16" t="s">
        <v>30</v>
      </c>
      <c r="G729" s="16" t="s">
        <v>31</v>
      </c>
      <c r="H729" s="16" t="s">
        <v>991</v>
      </c>
      <c r="I729" s="16" t="s">
        <v>4009</v>
      </c>
      <c r="J729" s="16" t="s">
        <v>4010</v>
      </c>
      <c r="K729" s="16" t="s">
        <v>39</v>
      </c>
      <c r="L729" s="16" t="s">
        <v>30</v>
      </c>
      <c r="M729" s="16" t="s">
        <v>31</v>
      </c>
      <c r="N729" s="16" t="s">
        <v>991</v>
      </c>
      <c r="Q729" s="17">
        <f>S729/T729</f>
        <v>0.48333333333333334</v>
      </c>
      <c r="S729" s="16">
        <f>MID(D729,FIND("x",D729)+7,4)*1</f>
        <v>2900</v>
      </c>
      <c r="T729" s="16">
        <v>6000</v>
      </c>
    </row>
    <row r="730" spans="1:20" x14ac:dyDescent="0.55000000000000004">
      <c r="A730" t="s">
        <v>2148</v>
      </c>
      <c r="C730" t="s">
        <v>2768</v>
      </c>
      <c r="D730" t="s">
        <v>2769</v>
      </c>
      <c r="E730" t="s">
        <v>35</v>
      </c>
      <c r="F730" t="s">
        <v>30</v>
      </c>
      <c r="G730" t="s">
        <v>31</v>
      </c>
      <c r="H730" t="s">
        <v>36</v>
      </c>
      <c r="I730" t="s">
        <v>2770</v>
      </c>
      <c r="J730" t="s">
        <v>2771</v>
      </c>
      <c r="K730" t="s">
        <v>39</v>
      </c>
      <c r="L730" t="s">
        <v>30</v>
      </c>
      <c r="M730" t="s">
        <v>31</v>
      </c>
      <c r="N730" t="s">
        <v>991</v>
      </c>
      <c r="Q730" s="4">
        <v>1</v>
      </c>
    </row>
    <row r="731" spans="1:20" x14ac:dyDescent="0.55000000000000004">
      <c r="A731" t="s">
        <v>2149</v>
      </c>
      <c r="C731" t="s">
        <v>2770</v>
      </c>
      <c r="D731" t="s">
        <v>2771</v>
      </c>
      <c r="E731" t="s">
        <v>39</v>
      </c>
      <c r="F731" t="s">
        <v>30</v>
      </c>
      <c r="G731" t="s">
        <v>31</v>
      </c>
      <c r="H731" t="s">
        <v>991</v>
      </c>
      <c r="I731" t="s">
        <v>3078</v>
      </c>
      <c r="J731" t="s">
        <v>3079</v>
      </c>
      <c r="K731" t="s">
        <v>362</v>
      </c>
      <c r="L731" t="s">
        <v>30</v>
      </c>
      <c r="M731" t="s">
        <v>31</v>
      </c>
      <c r="Q731" s="4">
        <v>1</v>
      </c>
    </row>
    <row r="732" spans="1:20" x14ac:dyDescent="0.55000000000000004">
      <c r="A732" t="s">
        <v>2150</v>
      </c>
      <c r="C732" t="s">
        <v>2770</v>
      </c>
      <c r="D732" t="s">
        <v>2771</v>
      </c>
      <c r="E732" t="s">
        <v>39</v>
      </c>
      <c r="F732" t="s">
        <v>30</v>
      </c>
      <c r="G732" t="s">
        <v>31</v>
      </c>
      <c r="H732" t="s">
        <v>991</v>
      </c>
      <c r="I732" t="s">
        <v>3130</v>
      </c>
      <c r="J732" t="s">
        <v>3131</v>
      </c>
      <c r="K732" t="s">
        <v>39</v>
      </c>
      <c r="L732" t="s">
        <v>30</v>
      </c>
      <c r="M732" t="s">
        <v>31</v>
      </c>
      <c r="N732" t="s">
        <v>991</v>
      </c>
      <c r="Q732" s="4">
        <v>1</v>
      </c>
    </row>
    <row r="733" spans="1:20" s="16" customFormat="1" ht="18.5" thickBot="1" x14ac:dyDescent="0.6">
      <c r="A733" s="16" t="s">
        <v>2151</v>
      </c>
      <c r="C733" s="16" t="s">
        <v>3130</v>
      </c>
      <c r="D733" s="16" t="s">
        <v>3131</v>
      </c>
      <c r="E733" s="16" t="s">
        <v>39</v>
      </c>
      <c r="F733" s="16" t="s">
        <v>30</v>
      </c>
      <c r="G733" s="16" t="s">
        <v>31</v>
      </c>
      <c r="H733" s="16" t="s">
        <v>991</v>
      </c>
      <c r="I733" s="16" t="s">
        <v>4009</v>
      </c>
      <c r="J733" s="16" t="s">
        <v>4010</v>
      </c>
      <c r="K733" s="16" t="s">
        <v>39</v>
      </c>
      <c r="L733" s="16" t="s">
        <v>30</v>
      </c>
      <c r="M733" s="16" t="s">
        <v>31</v>
      </c>
      <c r="N733" s="16" t="s">
        <v>991</v>
      </c>
      <c r="Q733" s="17">
        <f>S733/T733</f>
        <v>0.5</v>
      </c>
      <c r="S733" s="16">
        <f>MID(D733,FIND("x",D733)+7,4)*1</f>
        <v>3000</v>
      </c>
      <c r="T733" s="16">
        <v>6000</v>
      </c>
    </row>
    <row r="734" spans="1:20" x14ac:dyDescent="0.55000000000000004">
      <c r="A734" t="s">
        <v>2152</v>
      </c>
      <c r="C734" t="s">
        <v>2772</v>
      </c>
      <c r="D734" t="s">
        <v>2773</v>
      </c>
      <c r="E734" t="s">
        <v>35</v>
      </c>
      <c r="F734" t="s">
        <v>30</v>
      </c>
      <c r="G734" t="s">
        <v>31</v>
      </c>
      <c r="H734" t="s">
        <v>36</v>
      </c>
      <c r="I734" t="s">
        <v>2774</v>
      </c>
      <c r="J734" t="s">
        <v>2775</v>
      </c>
      <c r="K734" t="s">
        <v>39</v>
      </c>
      <c r="L734" t="s">
        <v>30</v>
      </c>
      <c r="M734" t="s">
        <v>31</v>
      </c>
      <c r="N734" t="s">
        <v>991</v>
      </c>
      <c r="Q734" s="4">
        <v>1</v>
      </c>
    </row>
    <row r="735" spans="1:20" x14ac:dyDescent="0.55000000000000004">
      <c r="A735" t="s">
        <v>2153</v>
      </c>
      <c r="C735" t="s">
        <v>2774</v>
      </c>
      <c r="D735" t="s">
        <v>2775</v>
      </c>
      <c r="E735" t="s">
        <v>39</v>
      </c>
      <c r="F735" t="s">
        <v>30</v>
      </c>
      <c r="G735" t="s">
        <v>31</v>
      </c>
      <c r="H735" t="s">
        <v>991</v>
      </c>
      <c r="I735" t="s">
        <v>3078</v>
      </c>
      <c r="J735" t="s">
        <v>3079</v>
      </c>
      <c r="K735" t="s">
        <v>362</v>
      </c>
      <c r="L735" t="s">
        <v>30</v>
      </c>
      <c r="M735" t="s">
        <v>31</v>
      </c>
      <c r="Q735" s="4">
        <v>1</v>
      </c>
    </row>
    <row r="736" spans="1:20" x14ac:dyDescent="0.55000000000000004">
      <c r="A736" t="s">
        <v>2154</v>
      </c>
      <c r="C736" t="s">
        <v>2774</v>
      </c>
      <c r="D736" t="s">
        <v>2775</v>
      </c>
      <c r="E736" t="s">
        <v>39</v>
      </c>
      <c r="F736" t="s">
        <v>30</v>
      </c>
      <c r="G736" t="s">
        <v>31</v>
      </c>
      <c r="H736" t="s">
        <v>991</v>
      </c>
      <c r="I736" t="s">
        <v>3132</v>
      </c>
      <c r="J736" t="s">
        <v>3133</v>
      </c>
      <c r="K736" t="s">
        <v>39</v>
      </c>
      <c r="L736" t="s">
        <v>30</v>
      </c>
      <c r="M736" t="s">
        <v>31</v>
      </c>
      <c r="N736" t="s">
        <v>991</v>
      </c>
      <c r="Q736" s="4">
        <v>1</v>
      </c>
    </row>
    <row r="737" spans="1:20" s="16" customFormat="1" ht="18.5" thickBot="1" x14ac:dyDescent="0.6">
      <c r="A737" s="16" t="s">
        <v>2155</v>
      </c>
      <c r="C737" s="16" t="s">
        <v>3132</v>
      </c>
      <c r="D737" s="16" t="s">
        <v>3133</v>
      </c>
      <c r="E737" s="16" t="s">
        <v>39</v>
      </c>
      <c r="F737" s="16" t="s">
        <v>30</v>
      </c>
      <c r="G737" s="16" t="s">
        <v>31</v>
      </c>
      <c r="H737" s="16" t="s">
        <v>991</v>
      </c>
      <c r="I737" s="16" t="s">
        <v>4009</v>
      </c>
      <c r="J737" s="16" t="s">
        <v>4010</v>
      </c>
      <c r="K737" s="16" t="s">
        <v>39</v>
      </c>
      <c r="L737" s="16" t="s">
        <v>30</v>
      </c>
      <c r="M737" s="16" t="s">
        <v>31</v>
      </c>
      <c r="N737" s="16" t="s">
        <v>991</v>
      </c>
      <c r="Q737" s="17">
        <f>S737/T737</f>
        <v>0.51666666666666672</v>
      </c>
      <c r="S737" s="16">
        <f>MID(D737,FIND("x",D737)+7,4)*1</f>
        <v>3100</v>
      </c>
      <c r="T737" s="16">
        <v>6000</v>
      </c>
    </row>
    <row r="738" spans="1:20" x14ac:dyDescent="0.55000000000000004">
      <c r="A738" t="s">
        <v>2156</v>
      </c>
      <c r="C738" t="s">
        <v>2776</v>
      </c>
      <c r="D738" t="s">
        <v>2777</v>
      </c>
      <c r="E738" t="s">
        <v>35</v>
      </c>
      <c r="F738" t="s">
        <v>30</v>
      </c>
      <c r="G738" t="s">
        <v>31</v>
      </c>
      <c r="H738" t="s">
        <v>36</v>
      </c>
      <c r="I738" t="s">
        <v>2778</v>
      </c>
      <c r="J738" t="s">
        <v>2779</v>
      </c>
      <c r="K738" t="s">
        <v>39</v>
      </c>
      <c r="L738" t="s">
        <v>30</v>
      </c>
      <c r="M738" t="s">
        <v>31</v>
      </c>
      <c r="N738" t="s">
        <v>991</v>
      </c>
      <c r="Q738" s="4">
        <v>1</v>
      </c>
    </row>
    <row r="739" spans="1:20" x14ac:dyDescent="0.55000000000000004">
      <c r="A739" t="s">
        <v>2157</v>
      </c>
      <c r="C739" t="s">
        <v>2778</v>
      </c>
      <c r="D739" t="s">
        <v>2779</v>
      </c>
      <c r="E739" t="s">
        <v>39</v>
      </c>
      <c r="F739" t="s">
        <v>30</v>
      </c>
      <c r="G739" t="s">
        <v>31</v>
      </c>
      <c r="H739" t="s">
        <v>991</v>
      </c>
      <c r="I739" t="s">
        <v>3078</v>
      </c>
      <c r="J739" t="s">
        <v>3079</v>
      </c>
      <c r="K739" t="s">
        <v>362</v>
      </c>
      <c r="L739" t="s">
        <v>30</v>
      </c>
      <c r="M739" t="s">
        <v>31</v>
      </c>
      <c r="Q739" s="4">
        <v>1</v>
      </c>
    </row>
    <row r="740" spans="1:20" x14ac:dyDescent="0.55000000000000004">
      <c r="A740" t="s">
        <v>2158</v>
      </c>
      <c r="C740" t="s">
        <v>2778</v>
      </c>
      <c r="D740" t="s">
        <v>2779</v>
      </c>
      <c r="E740" t="s">
        <v>39</v>
      </c>
      <c r="F740" t="s">
        <v>30</v>
      </c>
      <c r="G740" t="s">
        <v>31</v>
      </c>
      <c r="H740" t="s">
        <v>991</v>
      </c>
      <c r="I740" t="s">
        <v>3134</v>
      </c>
      <c r="J740" t="s">
        <v>3135</v>
      </c>
      <c r="K740" t="s">
        <v>39</v>
      </c>
      <c r="L740" t="s">
        <v>30</v>
      </c>
      <c r="M740" t="s">
        <v>31</v>
      </c>
      <c r="N740" t="s">
        <v>991</v>
      </c>
      <c r="Q740" s="4">
        <v>1</v>
      </c>
    </row>
    <row r="741" spans="1:20" s="16" customFormat="1" ht="18.5" thickBot="1" x14ac:dyDescent="0.6">
      <c r="A741" s="16" t="s">
        <v>2159</v>
      </c>
      <c r="C741" s="16" t="s">
        <v>3134</v>
      </c>
      <c r="D741" s="16" t="s">
        <v>3135</v>
      </c>
      <c r="E741" s="16" t="s">
        <v>39</v>
      </c>
      <c r="F741" s="16" t="s">
        <v>30</v>
      </c>
      <c r="G741" s="16" t="s">
        <v>31</v>
      </c>
      <c r="H741" s="16" t="s">
        <v>991</v>
      </c>
      <c r="I741" s="16" t="s">
        <v>4009</v>
      </c>
      <c r="J741" s="16" t="s">
        <v>4010</v>
      </c>
      <c r="K741" s="16" t="s">
        <v>39</v>
      </c>
      <c r="L741" s="16" t="s">
        <v>30</v>
      </c>
      <c r="M741" s="16" t="s">
        <v>31</v>
      </c>
      <c r="N741" s="16" t="s">
        <v>991</v>
      </c>
      <c r="Q741" s="17">
        <f>S741/T741</f>
        <v>0.53333333333333333</v>
      </c>
      <c r="S741" s="16">
        <f>MID(D741,FIND("x",D741)+7,4)*1</f>
        <v>3200</v>
      </c>
      <c r="T741" s="16">
        <v>6000</v>
      </c>
    </row>
    <row r="742" spans="1:20" x14ac:dyDescent="0.55000000000000004">
      <c r="A742" t="s">
        <v>2160</v>
      </c>
      <c r="C742" t="s">
        <v>2780</v>
      </c>
      <c r="D742" t="s">
        <v>2781</v>
      </c>
      <c r="E742" t="s">
        <v>35</v>
      </c>
      <c r="F742" t="s">
        <v>30</v>
      </c>
      <c r="G742" t="s">
        <v>31</v>
      </c>
      <c r="H742" t="s">
        <v>36</v>
      </c>
      <c r="I742" t="s">
        <v>2782</v>
      </c>
      <c r="J742" t="s">
        <v>2783</v>
      </c>
      <c r="K742" t="s">
        <v>39</v>
      </c>
      <c r="L742" t="s">
        <v>30</v>
      </c>
      <c r="M742" t="s">
        <v>31</v>
      </c>
      <c r="N742" t="s">
        <v>991</v>
      </c>
      <c r="Q742" s="4">
        <v>1</v>
      </c>
    </row>
    <row r="743" spans="1:20" x14ac:dyDescent="0.55000000000000004">
      <c r="A743" t="s">
        <v>2161</v>
      </c>
      <c r="C743" t="s">
        <v>2782</v>
      </c>
      <c r="D743" t="s">
        <v>2783</v>
      </c>
      <c r="E743" t="s">
        <v>39</v>
      </c>
      <c r="F743" t="s">
        <v>30</v>
      </c>
      <c r="G743" t="s">
        <v>31</v>
      </c>
      <c r="H743" t="s">
        <v>991</v>
      </c>
      <c r="I743" t="s">
        <v>3078</v>
      </c>
      <c r="J743" t="s">
        <v>3079</v>
      </c>
      <c r="K743" t="s">
        <v>362</v>
      </c>
      <c r="L743" t="s">
        <v>30</v>
      </c>
      <c r="M743" t="s">
        <v>31</v>
      </c>
      <c r="Q743" s="4">
        <v>1</v>
      </c>
    </row>
    <row r="744" spans="1:20" x14ac:dyDescent="0.55000000000000004">
      <c r="A744" t="s">
        <v>2162</v>
      </c>
      <c r="C744" t="s">
        <v>2782</v>
      </c>
      <c r="D744" t="s">
        <v>2783</v>
      </c>
      <c r="E744" t="s">
        <v>39</v>
      </c>
      <c r="F744" t="s">
        <v>30</v>
      </c>
      <c r="G744" t="s">
        <v>31</v>
      </c>
      <c r="H744" t="s">
        <v>991</v>
      </c>
      <c r="I744" t="s">
        <v>3136</v>
      </c>
      <c r="J744" t="s">
        <v>3137</v>
      </c>
      <c r="K744" t="s">
        <v>39</v>
      </c>
      <c r="L744" t="s">
        <v>30</v>
      </c>
      <c r="M744" t="s">
        <v>31</v>
      </c>
      <c r="N744" t="s">
        <v>991</v>
      </c>
      <c r="Q744" s="4">
        <v>1</v>
      </c>
    </row>
    <row r="745" spans="1:20" s="16" customFormat="1" ht="18.5" thickBot="1" x14ac:dyDescent="0.6">
      <c r="A745" s="16" t="s">
        <v>2163</v>
      </c>
      <c r="C745" s="16" t="s">
        <v>3136</v>
      </c>
      <c r="D745" s="16" t="s">
        <v>3137</v>
      </c>
      <c r="E745" s="16" t="s">
        <v>39</v>
      </c>
      <c r="F745" s="16" t="s">
        <v>30</v>
      </c>
      <c r="G745" s="16" t="s">
        <v>31</v>
      </c>
      <c r="H745" s="16" t="s">
        <v>991</v>
      </c>
      <c r="I745" s="16" t="s">
        <v>4009</v>
      </c>
      <c r="J745" s="16" t="s">
        <v>4010</v>
      </c>
      <c r="K745" s="16" t="s">
        <v>39</v>
      </c>
      <c r="L745" s="16" t="s">
        <v>30</v>
      </c>
      <c r="M745" s="16" t="s">
        <v>31</v>
      </c>
      <c r="N745" s="16" t="s">
        <v>991</v>
      </c>
      <c r="Q745" s="17">
        <f>S745/T745</f>
        <v>0.55000000000000004</v>
      </c>
      <c r="S745" s="16">
        <f>MID(D745,FIND("x",D745)+7,4)*1</f>
        <v>3300</v>
      </c>
      <c r="T745" s="16">
        <v>6000</v>
      </c>
    </row>
    <row r="746" spans="1:20" x14ac:dyDescent="0.55000000000000004">
      <c r="A746" t="s">
        <v>2164</v>
      </c>
      <c r="C746" t="s">
        <v>2784</v>
      </c>
      <c r="D746" t="s">
        <v>2785</v>
      </c>
      <c r="E746" t="s">
        <v>35</v>
      </c>
      <c r="F746" t="s">
        <v>30</v>
      </c>
      <c r="G746" t="s">
        <v>31</v>
      </c>
      <c r="H746" t="s">
        <v>36</v>
      </c>
      <c r="I746" t="s">
        <v>2786</v>
      </c>
      <c r="J746" t="s">
        <v>2787</v>
      </c>
      <c r="K746" t="s">
        <v>39</v>
      </c>
      <c r="L746" t="s">
        <v>30</v>
      </c>
      <c r="M746" t="s">
        <v>31</v>
      </c>
      <c r="N746" t="s">
        <v>991</v>
      </c>
      <c r="Q746" s="4">
        <v>1</v>
      </c>
    </row>
    <row r="747" spans="1:20" x14ac:dyDescent="0.55000000000000004">
      <c r="A747" t="s">
        <v>2165</v>
      </c>
      <c r="C747" t="s">
        <v>2786</v>
      </c>
      <c r="D747" t="s">
        <v>2787</v>
      </c>
      <c r="E747" t="s">
        <v>39</v>
      </c>
      <c r="F747" t="s">
        <v>30</v>
      </c>
      <c r="G747" t="s">
        <v>31</v>
      </c>
      <c r="H747" t="s">
        <v>991</v>
      </c>
      <c r="I747" t="s">
        <v>3078</v>
      </c>
      <c r="J747" t="s">
        <v>3079</v>
      </c>
      <c r="K747" t="s">
        <v>362</v>
      </c>
      <c r="L747" t="s">
        <v>30</v>
      </c>
      <c r="M747" t="s">
        <v>31</v>
      </c>
      <c r="Q747" s="4">
        <v>1</v>
      </c>
    </row>
    <row r="748" spans="1:20" x14ac:dyDescent="0.55000000000000004">
      <c r="A748" t="s">
        <v>2166</v>
      </c>
      <c r="C748" t="s">
        <v>2786</v>
      </c>
      <c r="D748" t="s">
        <v>2787</v>
      </c>
      <c r="E748" t="s">
        <v>39</v>
      </c>
      <c r="F748" t="s">
        <v>30</v>
      </c>
      <c r="G748" t="s">
        <v>31</v>
      </c>
      <c r="H748" t="s">
        <v>991</v>
      </c>
      <c r="I748" t="s">
        <v>3138</v>
      </c>
      <c r="J748" t="s">
        <v>3139</v>
      </c>
      <c r="K748" t="s">
        <v>39</v>
      </c>
      <c r="L748" t="s">
        <v>30</v>
      </c>
      <c r="M748" t="s">
        <v>31</v>
      </c>
      <c r="N748" t="s">
        <v>991</v>
      </c>
      <c r="Q748" s="4">
        <v>1</v>
      </c>
    </row>
    <row r="749" spans="1:20" s="16" customFormat="1" ht="18.5" thickBot="1" x14ac:dyDescent="0.6">
      <c r="A749" s="16" t="s">
        <v>2167</v>
      </c>
      <c r="C749" s="16" t="s">
        <v>3138</v>
      </c>
      <c r="D749" s="16" t="s">
        <v>3139</v>
      </c>
      <c r="E749" s="16" t="s">
        <v>39</v>
      </c>
      <c r="F749" s="16" t="s">
        <v>30</v>
      </c>
      <c r="G749" s="16" t="s">
        <v>31</v>
      </c>
      <c r="H749" s="16" t="s">
        <v>991</v>
      </c>
      <c r="I749" s="16" t="s">
        <v>4009</v>
      </c>
      <c r="J749" s="16" t="s">
        <v>4010</v>
      </c>
      <c r="K749" s="16" t="s">
        <v>39</v>
      </c>
      <c r="L749" s="16" t="s">
        <v>30</v>
      </c>
      <c r="M749" s="16" t="s">
        <v>31</v>
      </c>
      <c r="N749" s="16" t="s">
        <v>991</v>
      </c>
      <c r="Q749" s="17">
        <f>S749/T749</f>
        <v>0.56666666666666665</v>
      </c>
      <c r="S749" s="16">
        <f>MID(D749,FIND("x",D749)+7,4)*1</f>
        <v>3400</v>
      </c>
      <c r="T749" s="16">
        <v>6000</v>
      </c>
    </row>
    <row r="750" spans="1:20" x14ac:dyDescent="0.55000000000000004">
      <c r="A750" t="s">
        <v>2168</v>
      </c>
      <c r="C750" t="s">
        <v>2788</v>
      </c>
      <c r="D750" t="s">
        <v>2789</v>
      </c>
      <c r="E750" t="s">
        <v>35</v>
      </c>
      <c r="F750" t="s">
        <v>30</v>
      </c>
      <c r="G750" t="s">
        <v>31</v>
      </c>
      <c r="H750" t="s">
        <v>36</v>
      </c>
      <c r="I750" t="s">
        <v>2790</v>
      </c>
      <c r="J750" t="s">
        <v>2791</v>
      </c>
      <c r="K750" t="s">
        <v>39</v>
      </c>
      <c r="L750" t="s">
        <v>30</v>
      </c>
      <c r="M750" t="s">
        <v>31</v>
      </c>
      <c r="N750" t="s">
        <v>991</v>
      </c>
      <c r="Q750" s="4">
        <v>1</v>
      </c>
    </row>
    <row r="751" spans="1:20" x14ac:dyDescent="0.55000000000000004">
      <c r="A751" t="s">
        <v>2169</v>
      </c>
      <c r="C751" t="s">
        <v>2790</v>
      </c>
      <c r="D751" t="s">
        <v>2791</v>
      </c>
      <c r="E751" t="s">
        <v>39</v>
      </c>
      <c r="F751" t="s">
        <v>30</v>
      </c>
      <c r="G751" t="s">
        <v>31</v>
      </c>
      <c r="H751" t="s">
        <v>991</v>
      </c>
      <c r="I751" t="s">
        <v>3078</v>
      </c>
      <c r="J751" t="s">
        <v>3079</v>
      </c>
      <c r="K751" t="s">
        <v>362</v>
      </c>
      <c r="L751" t="s">
        <v>30</v>
      </c>
      <c r="M751" t="s">
        <v>31</v>
      </c>
      <c r="Q751" s="4">
        <v>1</v>
      </c>
    </row>
    <row r="752" spans="1:20" x14ac:dyDescent="0.55000000000000004">
      <c r="A752" t="s">
        <v>2170</v>
      </c>
      <c r="C752" t="s">
        <v>2790</v>
      </c>
      <c r="D752" t="s">
        <v>2791</v>
      </c>
      <c r="E752" t="s">
        <v>39</v>
      </c>
      <c r="F752" t="s">
        <v>30</v>
      </c>
      <c r="G752" t="s">
        <v>31</v>
      </c>
      <c r="H752" t="s">
        <v>991</v>
      </c>
      <c r="I752" t="s">
        <v>3140</v>
      </c>
      <c r="J752" t="s">
        <v>3141</v>
      </c>
      <c r="K752" t="s">
        <v>39</v>
      </c>
      <c r="L752" t="s">
        <v>30</v>
      </c>
      <c r="M752" t="s">
        <v>31</v>
      </c>
      <c r="N752" t="s">
        <v>991</v>
      </c>
      <c r="Q752" s="4">
        <v>1</v>
      </c>
    </row>
    <row r="753" spans="1:20" s="16" customFormat="1" ht="18.5" thickBot="1" x14ac:dyDescent="0.6">
      <c r="A753" s="16" t="s">
        <v>2171</v>
      </c>
      <c r="C753" s="16" t="s">
        <v>3140</v>
      </c>
      <c r="D753" s="16" t="s">
        <v>3141</v>
      </c>
      <c r="E753" s="16" t="s">
        <v>39</v>
      </c>
      <c r="F753" s="16" t="s">
        <v>30</v>
      </c>
      <c r="G753" s="16" t="s">
        <v>31</v>
      </c>
      <c r="H753" s="16" t="s">
        <v>991</v>
      </c>
      <c r="I753" s="16" t="s">
        <v>4009</v>
      </c>
      <c r="J753" s="16" t="s">
        <v>4010</v>
      </c>
      <c r="K753" s="16" t="s">
        <v>39</v>
      </c>
      <c r="L753" s="16" t="s">
        <v>30</v>
      </c>
      <c r="M753" s="16" t="s">
        <v>31</v>
      </c>
      <c r="N753" s="16" t="s">
        <v>991</v>
      </c>
      <c r="Q753" s="17">
        <f>S753/T753</f>
        <v>0.58333333333333337</v>
      </c>
      <c r="S753" s="16">
        <f>MID(D753,FIND("x",D753)+7,4)*1</f>
        <v>3500</v>
      </c>
      <c r="T753" s="16">
        <v>6000</v>
      </c>
    </row>
    <row r="754" spans="1:20" x14ac:dyDescent="0.55000000000000004">
      <c r="A754" t="s">
        <v>2172</v>
      </c>
      <c r="C754" t="s">
        <v>2792</v>
      </c>
      <c r="D754" t="s">
        <v>2793</v>
      </c>
      <c r="E754" t="s">
        <v>35</v>
      </c>
      <c r="F754" t="s">
        <v>30</v>
      </c>
      <c r="G754" t="s">
        <v>31</v>
      </c>
      <c r="H754" t="s">
        <v>36</v>
      </c>
      <c r="I754" t="s">
        <v>2794</v>
      </c>
      <c r="J754" t="s">
        <v>2795</v>
      </c>
      <c r="K754" t="s">
        <v>39</v>
      </c>
      <c r="L754" t="s">
        <v>30</v>
      </c>
      <c r="M754" t="s">
        <v>31</v>
      </c>
      <c r="N754" t="s">
        <v>991</v>
      </c>
      <c r="Q754" s="4">
        <v>1</v>
      </c>
    </row>
    <row r="755" spans="1:20" x14ac:dyDescent="0.55000000000000004">
      <c r="A755" t="s">
        <v>2173</v>
      </c>
      <c r="C755" t="s">
        <v>2794</v>
      </c>
      <c r="D755" t="s">
        <v>2795</v>
      </c>
      <c r="E755" t="s">
        <v>39</v>
      </c>
      <c r="F755" t="s">
        <v>30</v>
      </c>
      <c r="G755" t="s">
        <v>31</v>
      </c>
      <c r="H755" t="s">
        <v>991</v>
      </c>
      <c r="I755" t="s">
        <v>3078</v>
      </c>
      <c r="J755" t="s">
        <v>3079</v>
      </c>
      <c r="K755" t="s">
        <v>362</v>
      </c>
      <c r="L755" t="s">
        <v>30</v>
      </c>
      <c r="M755" t="s">
        <v>31</v>
      </c>
      <c r="Q755" s="4">
        <v>1</v>
      </c>
    </row>
    <row r="756" spans="1:20" x14ac:dyDescent="0.55000000000000004">
      <c r="A756" t="s">
        <v>2174</v>
      </c>
      <c r="C756" t="s">
        <v>2794</v>
      </c>
      <c r="D756" t="s">
        <v>2795</v>
      </c>
      <c r="E756" t="s">
        <v>39</v>
      </c>
      <c r="F756" t="s">
        <v>30</v>
      </c>
      <c r="G756" t="s">
        <v>31</v>
      </c>
      <c r="H756" t="s">
        <v>991</v>
      </c>
      <c r="I756" t="s">
        <v>3142</v>
      </c>
      <c r="J756" t="s">
        <v>3143</v>
      </c>
      <c r="K756" t="s">
        <v>39</v>
      </c>
      <c r="L756" t="s">
        <v>30</v>
      </c>
      <c r="M756" t="s">
        <v>31</v>
      </c>
      <c r="N756" t="s">
        <v>991</v>
      </c>
      <c r="Q756" s="4">
        <v>1</v>
      </c>
    </row>
    <row r="757" spans="1:20" s="16" customFormat="1" ht="18.5" thickBot="1" x14ac:dyDescent="0.6">
      <c r="A757" s="16" t="s">
        <v>2175</v>
      </c>
      <c r="C757" s="16" t="s">
        <v>3142</v>
      </c>
      <c r="D757" s="16" t="s">
        <v>3143</v>
      </c>
      <c r="E757" s="16" t="s">
        <v>39</v>
      </c>
      <c r="F757" s="16" t="s">
        <v>30</v>
      </c>
      <c r="G757" s="16" t="s">
        <v>31</v>
      </c>
      <c r="H757" s="16" t="s">
        <v>991</v>
      </c>
      <c r="I757" s="16" t="s">
        <v>4009</v>
      </c>
      <c r="J757" s="16" t="s">
        <v>4010</v>
      </c>
      <c r="K757" s="16" t="s">
        <v>39</v>
      </c>
      <c r="L757" s="16" t="s">
        <v>30</v>
      </c>
      <c r="M757" s="16" t="s">
        <v>31</v>
      </c>
      <c r="N757" s="16" t="s">
        <v>991</v>
      </c>
      <c r="Q757" s="17">
        <f>S757/T757</f>
        <v>0.6</v>
      </c>
      <c r="S757" s="16">
        <f>MID(D757,FIND("x",D757)+7,4)*1</f>
        <v>3600</v>
      </c>
      <c r="T757" s="16">
        <v>6000</v>
      </c>
    </row>
    <row r="758" spans="1:20" x14ac:dyDescent="0.55000000000000004">
      <c r="A758" t="s">
        <v>2176</v>
      </c>
      <c r="C758" t="s">
        <v>2796</v>
      </c>
      <c r="D758" t="s">
        <v>2797</v>
      </c>
      <c r="E758" t="s">
        <v>35</v>
      </c>
      <c r="F758" t="s">
        <v>30</v>
      </c>
      <c r="G758" t="s">
        <v>31</v>
      </c>
      <c r="H758" t="s">
        <v>36</v>
      </c>
      <c r="I758" t="s">
        <v>2798</v>
      </c>
      <c r="J758" t="s">
        <v>2799</v>
      </c>
      <c r="K758" t="s">
        <v>39</v>
      </c>
      <c r="L758" t="s">
        <v>30</v>
      </c>
      <c r="M758" t="s">
        <v>31</v>
      </c>
      <c r="N758" t="s">
        <v>991</v>
      </c>
      <c r="Q758" s="4">
        <v>1</v>
      </c>
    </row>
    <row r="759" spans="1:20" x14ac:dyDescent="0.55000000000000004">
      <c r="A759" t="s">
        <v>2177</v>
      </c>
      <c r="C759" t="s">
        <v>2798</v>
      </c>
      <c r="D759" t="s">
        <v>2799</v>
      </c>
      <c r="E759" t="s">
        <v>39</v>
      </c>
      <c r="F759" t="s">
        <v>30</v>
      </c>
      <c r="G759" t="s">
        <v>31</v>
      </c>
      <c r="H759" t="s">
        <v>991</v>
      </c>
      <c r="I759" t="s">
        <v>3078</v>
      </c>
      <c r="J759" t="s">
        <v>3079</v>
      </c>
      <c r="K759" t="s">
        <v>362</v>
      </c>
      <c r="L759" t="s">
        <v>30</v>
      </c>
      <c r="M759" t="s">
        <v>31</v>
      </c>
      <c r="Q759" s="4">
        <v>1</v>
      </c>
    </row>
    <row r="760" spans="1:20" x14ac:dyDescent="0.55000000000000004">
      <c r="A760" t="s">
        <v>2178</v>
      </c>
      <c r="C760" t="s">
        <v>2798</v>
      </c>
      <c r="D760" t="s">
        <v>2799</v>
      </c>
      <c r="E760" t="s">
        <v>39</v>
      </c>
      <c r="F760" t="s">
        <v>30</v>
      </c>
      <c r="G760" t="s">
        <v>31</v>
      </c>
      <c r="H760" t="s">
        <v>991</v>
      </c>
      <c r="I760" t="s">
        <v>3144</v>
      </c>
      <c r="J760" t="s">
        <v>3145</v>
      </c>
      <c r="K760" t="s">
        <v>39</v>
      </c>
      <c r="L760" t="s">
        <v>30</v>
      </c>
      <c r="M760" t="s">
        <v>31</v>
      </c>
      <c r="N760" t="s">
        <v>991</v>
      </c>
      <c r="Q760" s="4">
        <v>1</v>
      </c>
    </row>
    <row r="761" spans="1:20" s="16" customFormat="1" ht="18.5" thickBot="1" x14ac:dyDescent="0.6">
      <c r="A761" s="16" t="s">
        <v>2179</v>
      </c>
      <c r="C761" s="16" t="s">
        <v>3144</v>
      </c>
      <c r="D761" s="16" t="s">
        <v>3145</v>
      </c>
      <c r="E761" s="16" t="s">
        <v>39</v>
      </c>
      <c r="F761" s="16" t="s">
        <v>30</v>
      </c>
      <c r="G761" s="16" t="s">
        <v>31</v>
      </c>
      <c r="H761" s="16" t="s">
        <v>991</v>
      </c>
      <c r="I761" s="16" t="s">
        <v>4009</v>
      </c>
      <c r="J761" s="16" t="s">
        <v>4010</v>
      </c>
      <c r="K761" s="16" t="s">
        <v>39</v>
      </c>
      <c r="L761" s="16" t="s">
        <v>30</v>
      </c>
      <c r="M761" s="16" t="s">
        <v>31</v>
      </c>
      <c r="N761" s="16" t="s">
        <v>991</v>
      </c>
      <c r="Q761" s="17">
        <f>S761/T761</f>
        <v>0.6166666666666667</v>
      </c>
      <c r="S761" s="16">
        <f>MID(D761,FIND("x",D761)+7,4)*1</f>
        <v>3700</v>
      </c>
      <c r="T761" s="16">
        <v>6000</v>
      </c>
    </row>
    <row r="762" spans="1:20" x14ac:dyDescent="0.55000000000000004">
      <c r="A762" t="s">
        <v>2180</v>
      </c>
      <c r="C762" t="s">
        <v>2800</v>
      </c>
      <c r="D762" t="s">
        <v>2801</v>
      </c>
      <c r="E762" t="s">
        <v>35</v>
      </c>
      <c r="F762" t="s">
        <v>30</v>
      </c>
      <c r="G762" t="s">
        <v>31</v>
      </c>
      <c r="H762" t="s">
        <v>36</v>
      </c>
      <c r="I762" t="s">
        <v>2802</v>
      </c>
      <c r="J762" t="s">
        <v>2803</v>
      </c>
      <c r="K762" t="s">
        <v>39</v>
      </c>
      <c r="L762" t="s">
        <v>30</v>
      </c>
      <c r="M762" t="s">
        <v>31</v>
      </c>
      <c r="N762" t="s">
        <v>991</v>
      </c>
      <c r="Q762" s="4">
        <v>1</v>
      </c>
    </row>
    <row r="763" spans="1:20" x14ac:dyDescent="0.55000000000000004">
      <c r="A763" t="s">
        <v>2181</v>
      </c>
      <c r="C763" t="s">
        <v>2802</v>
      </c>
      <c r="D763" t="s">
        <v>2803</v>
      </c>
      <c r="E763" t="s">
        <v>39</v>
      </c>
      <c r="F763" t="s">
        <v>30</v>
      </c>
      <c r="G763" t="s">
        <v>31</v>
      </c>
      <c r="H763" t="s">
        <v>991</v>
      </c>
      <c r="I763" t="s">
        <v>3078</v>
      </c>
      <c r="J763" t="s">
        <v>3079</v>
      </c>
      <c r="K763" t="s">
        <v>362</v>
      </c>
      <c r="L763" t="s">
        <v>30</v>
      </c>
      <c r="M763" t="s">
        <v>31</v>
      </c>
      <c r="Q763" s="4">
        <v>1</v>
      </c>
    </row>
    <row r="764" spans="1:20" x14ac:dyDescent="0.55000000000000004">
      <c r="A764" t="s">
        <v>2182</v>
      </c>
      <c r="C764" t="s">
        <v>2802</v>
      </c>
      <c r="D764" t="s">
        <v>2803</v>
      </c>
      <c r="E764" t="s">
        <v>39</v>
      </c>
      <c r="F764" t="s">
        <v>30</v>
      </c>
      <c r="G764" t="s">
        <v>31</v>
      </c>
      <c r="H764" t="s">
        <v>991</v>
      </c>
      <c r="I764" t="s">
        <v>3146</v>
      </c>
      <c r="J764" t="s">
        <v>3147</v>
      </c>
      <c r="K764" t="s">
        <v>39</v>
      </c>
      <c r="L764" t="s">
        <v>30</v>
      </c>
      <c r="M764" t="s">
        <v>31</v>
      </c>
      <c r="N764" t="s">
        <v>991</v>
      </c>
      <c r="Q764" s="4">
        <v>1</v>
      </c>
    </row>
    <row r="765" spans="1:20" s="16" customFormat="1" ht="18.5" thickBot="1" x14ac:dyDescent="0.6">
      <c r="A765" s="16" t="s">
        <v>2183</v>
      </c>
      <c r="C765" s="16" t="s">
        <v>3146</v>
      </c>
      <c r="D765" s="16" t="s">
        <v>3147</v>
      </c>
      <c r="E765" s="16" t="s">
        <v>39</v>
      </c>
      <c r="F765" s="16" t="s">
        <v>30</v>
      </c>
      <c r="G765" s="16" t="s">
        <v>31</v>
      </c>
      <c r="H765" s="16" t="s">
        <v>991</v>
      </c>
      <c r="I765" s="16" t="s">
        <v>4009</v>
      </c>
      <c r="J765" s="16" t="s">
        <v>4010</v>
      </c>
      <c r="K765" s="16" t="s">
        <v>39</v>
      </c>
      <c r="L765" s="16" t="s">
        <v>30</v>
      </c>
      <c r="M765" s="16" t="s">
        <v>31</v>
      </c>
      <c r="N765" s="16" t="s">
        <v>991</v>
      </c>
      <c r="Q765" s="17">
        <f>S765/T765</f>
        <v>0.6333333333333333</v>
      </c>
      <c r="S765" s="16">
        <f>MID(D765,FIND("x",D765)+7,4)*1</f>
        <v>3800</v>
      </c>
      <c r="T765" s="16">
        <v>6000</v>
      </c>
    </row>
    <row r="766" spans="1:20" x14ac:dyDescent="0.55000000000000004">
      <c r="A766" t="s">
        <v>2184</v>
      </c>
      <c r="C766" t="s">
        <v>2804</v>
      </c>
      <c r="D766" t="s">
        <v>2805</v>
      </c>
      <c r="E766" t="s">
        <v>35</v>
      </c>
      <c r="F766" t="s">
        <v>30</v>
      </c>
      <c r="G766" t="s">
        <v>31</v>
      </c>
      <c r="H766" t="s">
        <v>36</v>
      </c>
      <c r="I766" t="s">
        <v>2806</v>
      </c>
      <c r="J766" t="s">
        <v>2807</v>
      </c>
      <c r="K766" t="s">
        <v>39</v>
      </c>
      <c r="L766" t="s">
        <v>30</v>
      </c>
      <c r="M766" t="s">
        <v>31</v>
      </c>
      <c r="N766" t="s">
        <v>991</v>
      </c>
      <c r="Q766" s="4">
        <v>1</v>
      </c>
    </row>
    <row r="767" spans="1:20" x14ac:dyDescent="0.55000000000000004">
      <c r="A767" t="s">
        <v>2185</v>
      </c>
      <c r="C767" t="s">
        <v>2806</v>
      </c>
      <c r="D767" t="s">
        <v>2807</v>
      </c>
      <c r="E767" t="s">
        <v>39</v>
      </c>
      <c r="F767" t="s">
        <v>30</v>
      </c>
      <c r="G767" t="s">
        <v>31</v>
      </c>
      <c r="H767" t="s">
        <v>991</v>
      </c>
      <c r="I767" t="s">
        <v>3078</v>
      </c>
      <c r="J767" t="s">
        <v>3079</v>
      </c>
      <c r="K767" t="s">
        <v>362</v>
      </c>
      <c r="L767" t="s">
        <v>30</v>
      </c>
      <c r="M767" t="s">
        <v>31</v>
      </c>
      <c r="Q767" s="4">
        <v>1</v>
      </c>
    </row>
    <row r="768" spans="1:20" x14ac:dyDescent="0.55000000000000004">
      <c r="A768" t="s">
        <v>2186</v>
      </c>
      <c r="C768" t="s">
        <v>2806</v>
      </c>
      <c r="D768" t="s">
        <v>2807</v>
      </c>
      <c r="E768" t="s">
        <v>39</v>
      </c>
      <c r="F768" t="s">
        <v>30</v>
      </c>
      <c r="G768" t="s">
        <v>31</v>
      </c>
      <c r="H768" t="s">
        <v>991</v>
      </c>
      <c r="I768" t="s">
        <v>3148</v>
      </c>
      <c r="J768" t="s">
        <v>3149</v>
      </c>
      <c r="K768" t="s">
        <v>39</v>
      </c>
      <c r="L768" t="s">
        <v>30</v>
      </c>
      <c r="M768" t="s">
        <v>31</v>
      </c>
      <c r="N768" t="s">
        <v>991</v>
      </c>
      <c r="Q768" s="4">
        <v>1</v>
      </c>
    </row>
    <row r="769" spans="1:20" s="16" customFormat="1" ht="18.5" thickBot="1" x14ac:dyDescent="0.6">
      <c r="A769" s="16" t="s">
        <v>2187</v>
      </c>
      <c r="C769" s="16" t="s">
        <v>3148</v>
      </c>
      <c r="D769" s="16" t="s">
        <v>3149</v>
      </c>
      <c r="E769" s="16" t="s">
        <v>39</v>
      </c>
      <c r="F769" s="16" t="s">
        <v>30</v>
      </c>
      <c r="G769" s="16" t="s">
        <v>31</v>
      </c>
      <c r="H769" s="16" t="s">
        <v>991</v>
      </c>
      <c r="I769" s="16" t="s">
        <v>4009</v>
      </c>
      <c r="J769" s="16" t="s">
        <v>4010</v>
      </c>
      <c r="K769" s="16" t="s">
        <v>39</v>
      </c>
      <c r="L769" s="16" t="s">
        <v>30</v>
      </c>
      <c r="M769" s="16" t="s">
        <v>31</v>
      </c>
      <c r="N769" s="16" t="s">
        <v>991</v>
      </c>
      <c r="Q769" s="17">
        <f>S769/T769</f>
        <v>0.65</v>
      </c>
      <c r="S769" s="16">
        <f>MID(D769,FIND("x",D769)+7,4)*1</f>
        <v>3900</v>
      </c>
      <c r="T769" s="16">
        <v>6000</v>
      </c>
    </row>
    <row r="770" spans="1:20" x14ac:dyDescent="0.55000000000000004">
      <c r="A770" t="s">
        <v>2188</v>
      </c>
      <c r="C770" t="s">
        <v>2808</v>
      </c>
      <c r="D770" t="s">
        <v>2809</v>
      </c>
      <c r="E770" t="s">
        <v>35</v>
      </c>
      <c r="F770" t="s">
        <v>30</v>
      </c>
      <c r="G770" t="s">
        <v>31</v>
      </c>
      <c r="H770" t="s">
        <v>36</v>
      </c>
      <c r="I770" t="s">
        <v>2810</v>
      </c>
      <c r="J770" t="s">
        <v>2811</v>
      </c>
      <c r="K770" t="s">
        <v>39</v>
      </c>
      <c r="L770" t="s">
        <v>30</v>
      </c>
      <c r="M770" t="s">
        <v>31</v>
      </c>
      <c r="N770" t="s">
        <v>991</v>
      </c>
      <c r="Q770" s="4">
        <v>1</v>
      </c>
    </row>
    <row r="771" spans="1:20" x14ac:dyDescent="0.55000000000000004">
      <c r="A771" t="s">
        <v>2189</v>
      </c>
      <c r="C771" t="s">
        <v>2810</v>
      </c>
      <c r="D771" t="s">
        <v>2811</v>
      </c>
      <c r="E771" t="s">
        <v>39</v>
      </c>
      <c r="F771" t="s">
        <v>30</v>
      </c>
      <c r="G771" t="s">
        <v>31</v>
      </c>
      <c r="H771" t="s">
        <v>991</v>
      </c>
      <c r="I771" t="s">
        <v>3078</v>
      </c>
      <c r="J771" t="s">
        <v>3079</v>
      </c>
      <c r="K771" t="s">
        <v>362</v>
      </c>
      <c r="L771" t="s">
        <v>30</v>
      </c>
      <c r="M771" t="s">
        <v>31</v>
      </c>
      <c r="Q771" s="4">
        <v>1</v>
      </c>
    </row>
    <row r="772" spans="1:20" x14ac:dyDescent="0.55000000000000004">
      <c r="A772" t="s">
        <v>2190</v>
      </c>
      <c r="C772" t="s">
        <v>2810</v>
      </c>
      <c r="D772" t="s">
        <v>2811</v>
      </c>
      <c r="E772" t="s">
        <v>39</v>
      </c>
      <c r="F772" t="s">
        <v>30</v>
      </c>
      <c r="G772" t="s">
        <v>31</v>
      </c>
      <c r="H772" t="s">
        <v>991</v>
      </c>
      <c r="I772" t="s">
        <v>3150</v>
      </c>
      <c r="J772" t="s">
        <v>3151</v>
      </c>
      <c r="K772" t="s">
        <v>39</v>
      </c>
      <c r="L772" t="s">
        <v>30</v>
      </c>
      <c r="M772" t="s">
        <v>31</v>
      </c>
      <c r="N772" t="s">
        <v>991</v>
      </c>
      <c r="Q772" s="4">
        <v>1</v>
      </c>
    </row>
    <row r="773" spans="1:20" s="16" customFormat="1" ht="18.5" thickBot="1" x14ac:dyDescent="0.6">
      <c r="A773" s="16" t="s">
        <v>2191</v>
      </c>
      <c r="C773" s="16" t="s">
        <v>3150</v>
      </c>
      <c r="D773" s="16" t="s">
        <v>3151</v>
      </c>
      <c r="E773" s="16" t="s">
        <v>39</v>
      </c>
      <c r="F773" s="16" t="s">
        <v>30</v>
      </c>
      <c r="G773" s="16" t="s">
        <v>31</v>
      </c>
      <c r="H773" s="16" t="s">
        <v>991</v>
      </c>
      <c r="I773" s="16" t="s">
        <v>4009</v>
      </c>
      <c r="J773" s="16" t="s">
        <v>4010</v>
      </c>
      <c r="K773" s="16" t="s">
        <v>39</v>
      </c>
      <c r="L773" s="16" t="s">
        <v>30</v>
      </c>
      <c r="M773" s="16" t="s">
        <v>31</v>
      </c>
      <c r="N773" s="16" t="s">
        <v>991</v>
      </c>
      <c r="Q773" s="17">
        <f>S773/T773</f>
        <v>0.66666666666666663</v>
      </c>
      <c r="S773" s="16">
        <f>MID(D773,FIND("x",D773)+7,4)*1</f>
        <v>4000</v>
      </c>
      <c r="T773" s="16">
        <v>6000</v>
      </c>
    </row>
    <row r="774" spans="1:20" x14ac:dyDescent="0.55000000000000004">
      <c r="A774" t="s">
        <v>2192</v>
      </c>
      <c r="C774" t="s">
        <v>2812</v>
      </c>
      <c r="D774" t="s">
        <v>2813</v>
      </c>
      <c r="E774" t="s">
        <v>35</v>
      </c>
      <c r="F774" t="s">
        <v>30</v>
      </c>
      <c r="G774" t="s">
        <v>31</v>
      </c>
      <c r="H774" t="s">
        <v>36</v>
      </c>
      <c r="I774" t="s">
        <v>2814</v>
      </c>
      <c r="J774" t="s">
        <v>2815</v>
      </c>
      <c r="K774" t="s">
        <v>39</v>
      </c>
      <c r="L774" t="s">
        <v>30</v>
      </c>
      <c r="M774" t="s">
        <v>31</v>
      </c>
      <c r="N774" t="s">
        <v>991</v>
      </c>
      <c r="Q774" s="4">
        <v>1</v>
      </c>
    </row>
    <row r="775" spans="1:20" x14ac:dyDescent="0.55000000000000004">
      <c r="A775" t="s">
        <v>2193</v>
      </c>
      <c r="C775" t="s">
        <v>2814</v>
      </c>
      <c r="D775" t="s">
        <v>2815</v>
      </c>
      <c r="E775" t="s">
        <v>39</v>
      </c>
      <c r="F775" t="s">
        <v>30</v>
      </c>
      <c r="G775" t="s">
        <v>31</v>
      </c>
      <c r="H775" t="s">
        <v>991</v>
      </c>
      <c r="I775" t="s">
        <v>3078</v>
      </c>
      <c r="J775" t="s">
        <v>3079</v>
      </c>
      <c r="K775" t="s">
        <v>362</v>
      </c>
      <c r="L775" t="s">
        <v>30</v>
      </c>
      <c r="M775" t="s">
        <v>31</v>
      </c>
      <c r="Q775" s="4">
        <v>1</v>
      </c>
    </row>
    <row r="776" spans="1:20" x14ac:dyDescent="0.55000000000000004">
      <c r="A776" t="s">
        <v>2194</v>
      </c>
      <c r="C776" t="s">
        <v>2814</v>
      </c>
      <c r="D776" t="s">
        <v>2815</v>
      </c>
      <c r="E776" t="s">
        <v>39</v>
      </c>
      <c r="F776" t="s">
        <v>30</v>
      </c>
      <c r="G776" t="s">
        <v>31</v>
      </c>
      <c r="H776" t="s">
        <v>991</v>
      </c>
      <c r="I776" t="s">
        <v>3152</v>
      </c>
      <c r="J776" t="s">
        <v>3153</v>
      </c>
      <c r="K776" t="s">
        <v>39</v>
      </c>
      <c r="L776" t="s">
        <v>30</v>
      </c>
      <c r="M776" t="s">
        <v>31</v>
      </c>
      <c r="N776" t="s">
        <v>991</v>
      </c>
      <c r="Q776" s="4">
        <v>1</v>
      </c>
    </row>
    <row r="777" spans="1:20" s="16" customFormat="1" ht="18.5" thickBot="1" x14ac:dyDescent="0.6">
      <c r="A777" s="16" t="s">
        <v>2195</v>
      </c>
      <c r="C777" s="16" t="s">
        <v>3152</v>
      </c>
      <c r="D777" s="16" t="s">
        <v>3153</v>
      </c>
      <c r="E777" s="16" t="s">
        <v>39</v>
      </c>
      <c r="F777" s="16" t="s">
        <v>30</v>
      </c>
      <c r="G777" s="16" t="s">
        <v>31</v>
      </c>
      <c r="H777" s="16" t="s">
        <v>991</v>
      </c>
      <c r="I777" s="16" t="s">
        <v>4009</v>
      </c>
      <c r="J777" s="16" t="s">
        <v>4010</v>
      </c>
      <c r="K777" s="16" t="s">
        <v>39</v>
      </c>
      <c r="L777" s="16" t="s">
        <v>30</v>
      </c>
      <c r="M777" s="16" t="s">
        <v>31</v>
      </c>
      <c r="N777" s="16" t="s">
        <v>991</v>
      </c>
      <c r="Q777" s="17">
        <f>S777/T777</f>
        <v>0.68333333333333335</v>
      </c>
      <c r="S777" s="16">
        <f>MID(D777,FIND("x",D777)+7,4)*1</f>
        <v>4100</v>
      </c>
      <c r="T777" s="16">
        <v>6000</v>
      </c>
    </row>
    <row r="778" spans="1:20" x14ac:dyDescent="0.55000000000000004">
      <c r="A778" t="s">
        <v>2196</v>
      </c>
      <c r="C778" t="s">
        <v>2816</v>
      </c>
      <c r="D778" t="s">
        <v>2817</v>
      </c>
      <c r="E778" t="s">
        <v>35</v>
      </c>
      <c r="F778" t="s">
        <v>30</v>
      </c>
      <c r="G778" t="s">
        <v>31</v>
      </c>
      <c r="H778" t="s">
        <v>36</v>
      </c>
      <c r="I778" t="s">
        <v>2818</v>
      </c>
      <c r="J778" t="s">
        <v>2819</v>
      </c>
      <c r="K778" t="s">
        <v>39</v>
      </c>
      <c r="L778" t="s">
        <v>30</v>
      </c>
      <c r="M778" t="s">
        <v>31</v>
      </c>
      <c r="N778" t="s">
        <v>991</v>
      </c>
      <c r="Q778" s="4">
        <v>1</v>
      </c>
    </row>
    <row r="779" spans="1:20" x14ac:dyDescent="0.55000000000000004">
      <c r="A779" t="s">
        <v>2197</v>
      </c>
      <c r="C779" t="s">
        <v>2818</v>
      </c>
      <c r="D779" t="s">
        <v>2819</v>
      </c>
      <c r="E779" t="s">
        <v>39</v>
      </c>
      <c r="F779" t="s">
        <v>30</v>
      </c>
      <c r="G779" t="s">
        <v>31</v>
      </c>
      <c r="H779" t="s">
        <v>991</v>
      </c>
      <c r="I779" t="s">
        <v>3078</v>
      </c>
      <c r="J779" t="s">
        <v>3079</v>
      </c>
      <c r="K779" t="s">
        <v>362</v>
      </c>
      <c r="L779" t="s">
        <v>30</v>
      </c>
      <c r="M779" t="s">
        <v>31</v>
      </c>
      <c r="Q779" s="4">
        <v>1</v>
      </c>
    </row>
    <row r="780" spans="1:20" x14ac:dyDescent="0.55000000000000004">
      <c r="A780" t="s">
        <v>2198</v>
      </c>
      <c r="C780" t="s">
        <v>2818</v>
      </c>
      <c r="D780" t="s">
        <v>2819</v>
      </c>
      <c r="E780" t="s">
        <v>39</v>
      </c>
      <c r="F780" t="s">
        <v>30</v>
      </c>
      <c r="G780" t="s">
        <v>31</v>
      </c>
      <c r="H780" t="s">
        <v>991</v>
      </c>
      <c r="I780" t="s">
        <v>3154</v>
      </c>
      <c r="J780" t="s">
        <v>3155</v>
      </c>
      <c r="K780" t="s">
        <v>39</v>
      </c>
      <c r="L780" t="s">
        <v>30</v>
      </c>
      <c r="M780" t="s">
        <v>31</v>
      </c>
      <c r="N780" t="s">
        <v>991</v>
      </c>
      <c r="Q780" s="4">
        <v>1</v>
      </c>
    </row>
    <row r="781" spans="1:20" s="16" customFormat="1" ht="18.5" thickBot="1" x14ac:dyDescent="0.6">
      <c r="A781" s="16" t="s">
        <v>2199</v>
      </c>
      <c r="C781" s="16" t="s">
        <v>3154</v>
      </c>
      <c r="D781" s="16" t="s">
        <v>3155</v>
      </c>
      <c r="E781" s="16" t="s">
        <v>39</v>
      </c>
      <c r="F781" s="16" t="s">
        <v>30</v>
      </c>
      <c r="G781" s="16" t="s">
        <v>31</v>
      </c>
      <c r="H781" s="16" t="s">
        <v>991</v>
      </c>
      <c r="I781" s="16" t="s">
        <v>4009</v>
      </c>
      <c r="J781" s="16" t="s">
        <v>4010</v>
      </c>
      <c r="K781" s="16" t="s">
        <v>39</v>
      </c>
      <c r="L781" s="16" t="s">
        <v>30</v>
      </c>
      <c r="M781" s="16" t="s">
        <v>31</v>
      </c>
      <c r="N781" s="16" t="s">
        <v>991</v>
      </c>
      <c r="Q781" s="17">
        <f>S781/T781</f>
        <v>0.7</v>
      </c>
      <c r="S781" s="16">
        <f>MID(D781,FIND("x",D781)+7,4)*1</f>
        <v>4200</v>
      </c>
      <c r="T781" s="16">
        <v>6000</v>
      </c>
    </row>
    <row r="782" spans="1:20" x14ac:dyDescent="0.55000000000000004">
      <c r="A782" t="s">
        <v>2200</v>
      </c>
      <c r="C782" t="s">
        <v>2820</v>
      </c>
      <c r="D782" t="s">
        <v>2821</v>
      </c>
      <c r="E782" t="s">
        <v>35</v>
      </c>
      <c r="F782" t="s">
        <v>30</v>
      </c>
      <c r="G782" t="s">
        <v>31</v>
      </c>
      <c r="H782" t="s">
        <v>36</v>
      </c>
      <c r="I782" t="s">
        <v>2822</v>
      </c>
      <c r="J782" t="s">
        <v>2823</v>
      </c>
      <c r="K782" t="s">
        <v>39</v>
      </c>
      <c r="L782" t="s">
        <v>30</v>
      </c>
      <c r="M782" t="s">
        <v>31</v>
      </c>
      <c r="N782" t="s">
        <v>991</v>
      </c>
      <c r="Q782" s="4">
        <v>1</v>
      </c>
    </row>
    <row r="783" spans="1:20" x14ac:dyDescent="0.55000000000000004">
      <c r="A783" t="s">
        <v>2201</v>
      </c>
      <c r="C783" t="s">
        <v>2822</v>
      </c>
      <c r="D783" t="s">
        <v>2823</v>
      </c>
      <c r="E783" t="s">
        <v>39</v>
      </c>
      <c r="F783" t="s">
        <v>30</v>
      </c>
      <c r="G783" t="s">
        <v>31</v>
      </c>
      <c r="H783" t="s">
        <v>991</v>
      </c>
      <c r="I783" t="s">
        <v>3078</v>
      </c>
      <c r="J783" t="s">
        <v>3079</v>
      </c>
      <c r="K783" t="s">
        <v>362</v>
      </c>
      <c r="L783" t="s">
        <v>30</v>
      </c>
      <c r="M783" t="s">
        <v>31</v>
      </c>
      <c r="Q783" s="4">
        <v>1</v>
      </c>
    </row>
    <row r="784" spans="1:20" x14ac:dyDescent="0.55000000000000004">
      <c r="A784" t="s">
        <v>2202</v>
      </c>
      <c r="C784" t="s">
        <v>2822</v>
      </c>
      <c r="D784" t="s">
        <v>2823</v>
      </c>
      <c r="E784" t="s">
        <v>39</v>
      </c>
      <c r="F784" t="s">
        <v>30</v>
      </c>
      <c r="G784" t="s">
        <v>31</v>
      </c>
      <c r="H784" t="s">
        <v>991</v>
      </c>
      <c r="I784" t="s">
        <v>3156</v>
      </c>
      <c r="J784" t="s">
        <v>3157</v>
      </c>
      <c r="K784" t="s">
        <v>39</v>
      </c>
      <c r="L784" t="s">
        <v>30</v>
      </c>
      <c r="M784" t="s">
        <v>31</v>
      </c>
      <c r="N784" t="s">
        <v>991</v>
      </c>
      <c r="Q784" s="4">
        <v>1</v>
      </c>
    </row>
    <row r="785" spans="1:20" s="16" customFormat="1" ht="18.5" thickBot="1" x14ac:dyDescent="0.6">
      <c r="A785" s="16" t="s">
        <v>2203</v>
      </c>
      <c r="C785" s="16" t="s">
        <v>3156</v>
      </c>
      <c r="D785" s="16" t="s">
        <v>3157</v>
      </c>
      <c r="E785" s="16" t="s">
        <v>39</v>
      </c>
      <c r="F785" s="16" t="s">
        <v>30</v>
      </c>
      <c r="G785" s="16" t="s">
        <v>31</v>
      </c>
      <c r="H785" s="16" t="s">
        <v>991</v>
      </c>
      <c r="I785" s="16" t="s">
        <v>4009</v>
      </c>
      <c r="J785" s="16" t="s">
        <v>4010</v>
      </c>
      <c r="K785" s="16" t="s">
        <v>39</v>
      </c>
      <c r="L785" s="16" t="s">
        <v>30</v>
      </c>
      <c r="M785" s="16" t="s">
        <v>31</v>
      </c>
      <c r="N785" s="16" t="s">
        <v>991</v>
      </c>
      <c r="Q785" s="17">
        <f>S785/T785</f>
        <v>0.71666666666666667</v>
      </c>
      <c r="S785" s="16">
        <f>MID(D785,FIND("x",D785)+7,4)*1</f>
        <v>4300</v>
      </c>
      <c r="T785" s="16">
        <v>6000</v>
      </c>
    </row>
    <row r="786" spans="1:20" x14ac:dyDescent="0.55000000000000004">
      <c r="A786" t="s">
        <v>2204</v>
      </c>
      <c r="C786" t="s">
        <v>358</v>
      </c>
      <c r="D786" t="s">
        <v>359</v>
      </c>
      <c r="E786" t="s">
        <v>35</v>
      </c>
      <c r="F786" t="s">
        <v>30</v>
      </c>
      <c r="G786" t="s">
        <v>31</v>
      </c>
      <c r="H786" t="s">
        <v>36</v>
      </c>
      <c r="I786" t="s">
        <v>360</v>
      </c>
      <c r="J786" t="s">
        <v>361</v>
      </c>
      <c r="K786" t="s">
        <v>362</v>
      </c>
      <c r="L786" t="s">
        <v>30</v>
      </c>
      <c r="M786" t="s">
        <v>31</v>
      </c>
      <c r="Q786" s="4">
        <v>1</v>
      </c>
    </row>
    <row r="787" spans="1:20" x14ac:dyDescent="0.55000000000000004">
      <c r="A787" t="s">
        <v>2205</v>
      </c>
      <c r="C787" t="s">
        <v>364</v>
      </c>
      <c r="D787" t="s">
        <v>365</v>
      </c>
      <c r="E787" t="s">
        <v>35</v>
      </c>
      <c r="F787" t="s">
        <v>30</v>
      </c>
      <c r="G787" t="s">
        <v>31</v>
      </c>
      <c r="H787" t="s">
        <v>36</v>
      </c>
      <c r="I787" t="s">
        <v>366</v>
      </c>
      <c r="J787" t="s">
        <v>367</v>
      </c>
      <c r="K787" t="s">
        <v>362</v>
      </c>
      <c r="L787" t="s">
        <v>30</v>
      </c>
      <c r="M787" t="s">
        <v>31</v>
      </c>
      <c r="Q787" s="4">
        <v>1</v>
      </c>
    </row>
    <row r="788" spans="1:20" x14ac:dyDescent="0.55000000000000004">
      <c r="A788" t="s">
        <v>2206</v>
      </c>
      <c r="C788" t="s">
        <v>369</v>
      </c>
      <c r="D788" t="s">
        <v>370</v>
      </c>
      <c r="E788" t="s">
        <v>35</v>
      </c>
      <c r="F788" t="s">
        <v>30</v>
      </c>
      <c r="G788" t="s">
        <v>31</v>
      </c>
      <c r="H788" t="s">
        <v>36</v>
      </c>
      <c r="I788" t="s">
        <v>371</v>
      </c>
      <c r="J788" t="s">
        <v>372</v>
      </c>
      <c r="K788" t="s">
        <v>362</v>
      </c>
      <c r="L788" t="s">
        <v>30</v>
      </c>
      <c r="M788" t="s">
        <v>31</v>
      </c>
      <c r="Q788" s="4">
        <v>1</v>
      </c>
    </row>
    <row r="789" spans="1:20" x14ac:dyDescent="0.55000000000000004">
      <c r="A789" t="s">
        <v>2207</v>
      </c>
      <c r="C789" t="s">
        <v>374</v>
      </c>
      <c r="D789" t="s">
        <v>375</v>
      </c>
      <c r="E789" t="s">
        <v>35</v>
      </c>
      <c r="F789" t="s">
        <v>30</v>
      </c>
      <c r="G789" t="s">
        <v>31</v>
      </c>
      <c r="H789" t="s">
        <v>36</v>
      </c>
      <c r="I789" t="s">
        <v>376</v>
      </c>
      <c r="J789" t="s">
        <v>377</v>
      </c>
      <c r="K789" t="s">
        <v>362</v>
      </c>
      <c r="L789" t="s">
        <v>30</v>
      </c>
      <c r="M789" t="s">
        <v>31</v>
      </c>
      <c r="Q789" s="4">
        <v>1</v>
      </c>
    </row>
    <row r="790" spans="1:20" x14ac:dyDescent="0.55000000000000004">
      <c r="A790" t="s">
        <v>2208</v>
      </c>
      <c r="C790" t="s">
        <v>379</v>
      </c>
      <c r="D790" t="s">
        <v>380</v>
      </c>
      <c r="E790" t="s">
        <v>35</v>
      </c>
      <c r="F790" t="s">
        <v>30</v>
      </c>
      <c r="G790" t="s">
        <v>31</v>
      </c>
      <c r="H790" t="s">
        <v>36</v>
      </c>
      <c r="I790" t="s">
        <v>381</v>
      </c>
      <c r="J790" t="s">
        <v>382</v>
      </c>
      <c r="K790" t="s">
        <v>362</v>
      </c>
      <c r="L790" t="s">
        <v>30</v>
      </c>
      <c r="M790" t="s">
        <v>31</v>
      </c>
      <c r="Q790" s="4">
        <v>1</v>
      </c>
    </row>
    <row r="791" spans="1:20" x14ac:dyDescent="0.55000000000000004">
      <c r="A791" t="s">
        <v>2209</v>
      </c>
      <c r="C791" t="s">
        <v>384</v>
      </c>
      <c r="D791" t="s">
        <v>385</v>
      </c>
      <c r="E791" t="s">
        <v>35</v>
      </c>
      <c r="F791" t="s">
        <v>30</v>
      </c>
      <c r="G791" t="s">
        <v>31</v>
      </c>
      <c r="H791" t="s">
        <v>36</v>
      </c>
      <c r="I791" t="s">
        <v>386</v>
      </c>
      <c r="J791" t="s">
        <v>387</v>
      </c>
      <c r="K791" t="s">
        <v>362</v>
      </c>
      <c r="L791" t="s">
        <v>30</v>
      </c>
      <c r="M791" t="s">
        <v>31</v>
      </c>
      <c r="Q791" s="4">
        <v>1</v>
      </c>
    </row>
    <row r="792" spans="1:20" x14ac:dyDescent="0.55000000000000004">
      <c r="A792" t="s">
        <v>2210</v>
      </c>
      <c r="C792" t="s">
        <v>389</v>
      </c>
      <c r="D792" t="s">
        <v>390</v>
      </c>
      <c r="E792" t="s">
        <v>35</v>
      </c>
      <c r="F792" t="s">
        <v>30</v>
      </c>
      <c r="G792" t="s">
        <v>31</v>
      </c>
      <c r="H792" t="s">
        <v>36</v>
      </c>
      <c r="I792" t="s">
        <v>391</v>
      </c>
      <c r="J792" t="s">
        <v>392</v>
      </c>
      <c r="K792" t="s">
        <v>362</v>
      </c>
      <c r="L792" t="s">
        <v>30</v>
      </c>
      <c r="M792" t="s">
        <v>31</v>
      </c>
      <c r="Q792" s="4">
        <v>1</v>
      </c>
    </row>
    <row r="793" spans="1:20" x14ac:dyDescent="0.55000000000000004">
      <c r="A793" t="s">
        <v>2211</v>
      </c>
      <c r="C793" t="s">
        <v>394</v>
      </c>
      <c r="D793" t="s">
        <v>395</v>
      </c>
      <c r="E793" t="s">
        <v>35</v>
      </c>
      <c r="F793" t="s">
        <v>30</v>
      </c>
      <c r="G793" t="s">
        <v>31</v>
      </c>
      <c r="H793" t="s">
        <v>36</v>
      </c>
      <c r="I793" t="s">
        <v>396</v>
      </c>
      <c r="J793" t="s">
        <v>397</v>
      </c>
      <c r="K793" t="s">
        <v>362</v>
      </c>
      <c r="L793" t="s">
        <v>30</v>
      </c>
      <c r="M793" t="s">
        <v>31</v>
      </c>
      <c r="Q793" s="4">
        <v>1</v>
      </c>
    </row>
    <row r="794" spans="1:20" x14ac:dyDescent="0.55000000000000004">
      <c r="A794" t="s">
        <v>2212</v>
      </c>
      <c r="C794" t="s">
        <v>399</v>
      </c>
      <c r="D794" t="s">
        <v>400</v>
      </c>
      <c r="E794" t="s">
        <v>35</v>
      </c>
      <c r="F794" t="s">
        <v>30</v>
      </c>
      <c r="G794" t="s">
        <v>31</v>
      </c>
      <c r="H794" t="s">
        <v>36</v>
      </c>
      <c r="I794" t="s">
        <v>401</v>
      </c>
      <c r="J794" t="s">
        <v>402</v>
      </c>
      <c r="K794" t="s">
        <v>362</v>
      </c>
      <c r="L794" t="s">
        <v>30</v>
      </c>
      <c r="M794" t="s">
        <v>31</v>
      </c>
      <c r="Q794" s="4">
        <v>1</v>
      </c>
    </row>
    <row r="795" spans="1:20" x14ac:dyDescent="0.55000000000000004">
      <c r="A795" t="s">
        <v>2213</v>
      </c>
      <c r="C795" t="s">
        <v>404</v>
      </c>
      <c r="D795" t="s">
        <v>405</v>
      </c>
      <c r="E795" t="s">
        <v>35</v>
      </c>
      <c r="F795" t="s">
        <v>30</v>
      </c>
      <c r="G795" t="s">
        <v>31</v>
      </c>
      <c r="H795" t="s">
        <v>36</v>
      </c>
      <c r="I795" t="s">
        <v>406</v>
      </c>
      <c r="J795" t="s">
        <v>407</v>
      </c>
      <c r="K795" t="s">
        <v>362</v>
      </c>
      <c r="L795" t="s">
        <v>30</v>
      </c>
      <c r="M795" t="s">
        <v>31</v>
      </c>
      <c r="Q795" s="4">
        <v>1</v>
      </c>
    </row>
    <row r="796" spans="1:20" x14ac:dyDescent="0.55000000000000004">
      <c r="A796" t="s">
        <v>2214</v>
      </c>
      <c r="C796" t="s">
        <v>409</v>
      </c>
      <c r="D796" t="s">
        <v>410</v>
      </c>
      <c r="E796" t="s">
        <v>35</v>
      </c>
      <c r="F796" t="s">
        <v>30</v>
      </c>
      <c r="G796" t="s">
        <v>31</v>
      </c>
      <c r="H796" t="s">
        <v>36</v>
      </c>
      <c r="I796" t="s">
        <v>411</v>
      </c>
      <c r="J796" t="s">
        <v>412</v>
      </c>
      <c r="K796" t="s">
        <v>362</v>
      </c>
      <c r="L796" t="s">
        <v>30</v>
      </c>
      <c r="M796" t="s">
        <v>31</v>
      </c>
      <c r="Q796" s="4">
        <v>1</v>
      </c>
    </row>
    <row r="797" spans="1:20" x14ac:dyDescent="0.55000000000000004">
      <c r="A797" t="s">
        <v>2215</v>
      </c>
      <c r="C797" t="s">
        <v>414</v>
      </c>
      <c r="D797" t="s">
        <v>415</v>
      </c>
      <c r="E797" t="s">
        <v>35</v>
      </c>
      <c r="F797" t="s">
        <v>30</v>
      </c>
      <c r="G797" t="s">
        <v>31</v>
      </c>
      <c r="H797" t="s">
        <v>36</v>
      </c>
      <c r="I797" t="s">
        <v>416</v>
      </c>
      <c r="J797" t="s">
        <v>417</v>
      </c>
      <c r="K797" t="s">
        <v>362</v>
      </c>
      <c r="L797" t="s">
        <v>30</v>
      </c>
      <c r="M797" t="s">
        <v>31</v>
      </c>
      <c r="Q797" s="4">
        <v>1</v>
      </c>
    </row>
    <row r="798" spans="1:20" x14ac:dyDescent="0.55000000000000004">
      <c r="A798" t="s">
        <v>2216</v>
      </c>
      <c r="C798" t="s">
        <v>419</v>
      </c>
      <c r="D798" t="s">
        <v>420</v>
      </c>
      <c r="E798" t="s">
        <v>35</v>
      </c>
      <c r="F798" t="s">
        <v>30</v>
      </c>
      <c r="G798" t="s">
        <v>31</v>
      </c>
      <c r="H798" t="s">
        <v>36</v>
      </c>
      <c r="I798" t="s">
        <v>421</v>
      </c>
      <c r="J798" t="s">
        <v>422</v>
      </c>
      <c r="K798" t="s">
        <v>362</v>
      </c>
      <c r="L798" t="s">
        <v>30</v>
      </c>
      <c r="M798" t="s">
        <v>31</v>
      </c>
      <c r="Q798" s="4">
        <v>1</v>
      </c>
    </row>
    <row r="799" spans="1:20" x14ac:dyDescent="0.55000000000000004">
      <c r="A799" t="s">
        <v>2217</v>
      </c>
      <c r="C799" t="s">
        <v>424</v>
      </c>
      <c r="D799" t="s">
        <v>425</v>
      </c>
      <c r="E799" t="s">
        <v>35</v>
      </c>
      <c r="F799" t="s">
        <v>30</v>
      </c>
      <c r="G799" t="s">
        <v>31</v>
      </c>
      <c r="H799" t="s">
        <v>36</v>
      </c>
      <c r="I799" t="s">
        <v>426</v>
      </c>
      <c r="J799" t="s">
        <v>427</v>
      </c>
      <c r="K799" t="s">
        <v>362</v>
      </c>
      <c r="L799" t="s">
        <v>30</v>
      </c>
      <c r="M799" t="s">
        <v>31</v>
      </c>
      <c r="Q799" s="4">
        <v>1</v>
      </c>
    </row>
    <row r="800" spans="1:20" x14ac:dyDescent="0.55000000000000004">
      <c r="A800" t="s">
        <v>2218</v>
      </c>
      <c r="C800" t="s">
        <v>429</v>
      </c>
      <c r="D800" t="s">
        <v>430</v>
      </c>
      <c r="E800" t="s">
        <v>35</v>
      </c>
      <c r="F800" t="s">
        <v>30</v>
      </c>
      <c r="G800" t="s">
        <v>31</v>
      </c>
      <c r="H800" t="s">
        <v>36</v>
      </c>
      <c r="I800" t="s">
        <v>431</v>
      </c>
      <c r="J800" t="s">
        <v>432</v>
      </c>
      <c r="K800" t="s">
        <v>362</v>
      </c>
      <c r="L800" t="s">
        <v>30</v>
      </c>
      <c r="M800" t="s">
        <v>31</v>
      </c>
      <c r="Q800" s="4">
        <v>1</v>
      </c>
    </row>
    <row r="801" spans="1:20" x14ac:dyDescent="0.55000000000000004">
      <c r="A801" t="s">
        <v>2219</v>
      </c>
      <c r="C801" t="s">
        <v>434</v>
      </c>
      <c r="D801" t="s">
        <v>435</v>
      </c>
      <c r="E801" t="s">
        <v>35</v>
      </c>
      <c r="F801" t="s">
        <v>30</v>
      </c>
      <c r="G801" t="s">
        <v>31</v>
      </c>
      <c r="H801" t="s">
        <v>36</v>
      </c>
      <c r="I801" t="s">
        <v>436</v>
      </c>
      <c r="J801" t="s">
        <v>437</v>
      </c>
      <c r="K801" t="s">
        <v>362</v>
      </c>
      <c r="L801" t="s">
        <v>30</v>
      </c>
      <c r="M801" t="s">
        <v>31</v>
      </c>
      <c r="Q801" s="4">
        <v>1</v>
      </c>
    </row>
    <row r="802" spans="1:20" x14ac:dyDescent="0.55000000000000004">
      <c r="A802" t="s">
        <v>2220</v>
      </c>
      <c r="C802" t="s">
        <v>439</v>
      </c>
      <c r="D802" t="s">
        <v>440</v>
      </c>
      <c r="E802" t="s">
        <v>35</v>
      </c>
      <c r="F802" t="s">
        <v>30</v>
      </c>
      <c r="G802" t="s">
        <v>31</v>
      </c>
      <c r="H802" t="s">
        <v>36</v>
      </c>
      <c r="I802" t="s">
        <v>441</v>
      </c>
      <c r="J802" t="s">
        <v>442</v>
      </c>
      <c r="K802" t="s">
        <v>362</v>
      </c>
      <c r="L802" t="s">
        <v>30</v>
      </c>
      <c r="M802" t="s">
        <v>31</v>
      </c>
      <c r="Q802" s="4">
        <v>1</v>
      </c>
    </row>
    <row r="803" spans="1:20" x14ac:dyDescent="0.55000000000000004">
      <c r="A803" t="s">
        <v>2221</v>
      </c>
      <c r="C803" t="s">
        <v>444</v>
      </c>
      <c r="D803" t="s">
        <v>445</v>
      </c>
      <c r="E803" t="s">
        <v>35</v>
      </c>
      <c r="F803" t="s">
        <v>30</v>
      </c>
      <c r="G803" t="s">
        <v>31</v>
      </c>
      <c r="H803" t="s">
        <v>36</v>
      </c>
      <c r="I803" t="s">
        <v>446</v>
      </c>
      <c r="J803" t="s">
        <v>447</v>
      </c>
      <c r="K803" t="s">
        <v>362</v>
      </c>
      <c r="L803" t="s">
        <v>30</v>
      </c>
      <c r="M803" t="s">
        <v>31</v>
      </c>
      <c r="Q803" s="4">
        <v>1</v>
      </c>
    </row>
    <row r="804" spans="1:20" x14ac:dyDescent="0.55000000000000004">
      <c r="A804" t="s">
        <v>2222</v>
      </c>
      <c r="C804" t="s">
        <v>449</v>
      </c>
      <c r="D804" t="s">
        <v>450</v>
      </c>
      <c r="E804" t="s">
        <v>35</v>
      </c>
      <c r="F804" t="s">
        <v>30</v>
      </c>
      <c r="G804" t="s">
        <v>31</v>
      </c>
      <c r="H804" t="s">
        <v>36</v>
      </c>
      <c r="I804" t="s">
        <v>451</v>
      </c>
      <c r="J804" t="s">
        <v>452</v>
      </c>
      <c r="K804" t="s">
        <v>362</v>
      </c>
      <c r="L804" t="s">
        <v>30</v>
      </c>
      <c r="M804" t="s">
        <v>31</v>
      </c>
      <c r="Q804" s="4">
        <v>1</v>
      </c>
    </row>
    <row r="805" spans="1:20" x14ac:dyDescent="0.55000000000000004">
      <c r="A805" t="s">
        <v>2223</v>
      </c>
      <c r="C805" t="s">
        <v>454</v>
      </c>
      <c r="D805" t="s">
        <v>455</v>
      </c>
      <c r="E805" t="s">
        <v>35</v>
      </c>
      <c r="F805" t="s">
        <v>30</v>
      </c>
      <c r="G805" t="s">
        <v>31</v>
      </c>
      <c r="H805" t="s">
        <v>36</v>
      </c>
      <c r="I805" t="s">
        <v>456</v>
      </c>
      <c r="J805" t="s">
        <v>457</v>
      </c>
      <c r="K805" t="s">
        <v>362</v>
      </c>
      <c r="L805" t="s">
        <v>30</v>
      </c>
      <c r="M805" t="s">
        <v>31</v>
      </c>
      <c r="Q805" s="4">
        <v>1</v>
      </c>
    </row>
    <row r="806" spans="1:20" x14ac:dyDescent="0.55000000000000004">
      <c r="A806" t="s">
        <v>2224</v>
      </c>
      <c r="C806" t="s">
        <v>459</v>
      </c>
      <c r="D806" t="s">
        <v>460</v>
      </c>
      <c r="E806" t="s">
        <v>35</v>
      </c>
      <c r="F806" t="s">
        <v>30</v>
      </c>
      <c r="G806" t="s">
        <v>31</v>
      </c>
      <c r="H806" t="s">
        <v>36</v>
      </c>
      <c r="I806" t="s">
        <v>461</v>
      </c>
      <c r="J806" t="s">
        <v>462</v>
      </c>
      <c r="K806" t="s">
        <v>362</v>
      </c>
      <c r="L806" t="s">
        <v>30</v>
      </c>
      <c r="M806" t="s">
        <v>31</v>
      </c>
      <c r="Q806" s="4">
        <v>1</v>
      </c>
    </row>
    <row r="807" spans="1:20" x14ac:dyDescent="0.55000000000000004">
      <c r="A807" t="s">
        <v>2225</v>
      </c>
      <c r="C807" t="s">
        <v>464</v>
      </c>
      <c r="D807" t="s">
        <v>465</v>
      </c>
      <c r="E807" t="s">
        <v>35</v>
      </c>
      <c r="F807" t="s">
        <v>30</v>
      </c>
      <c r="G807" t="s">
        <v>31</v>
      </c>
      <c r="H807" t="s">
        <v>36</v>
      </c>
      <c r="I807" t="s">
        <v>466</v>
      </c>
      <c r="J807" t="s">
        <v>467</v>
      </c>
      <c r="K807" t="s">
        <v>362</v>
      </c>
      <c r="L807" t="s">
        <v>30</v>
      </c>
      <c r="M807" t="s">
        <v>31</v>
      </c>
      <c r="Q807" s="4">
        <v>1</v>
      </c>
    </row>
    <row r="808" spans="1:20" x14ac:dyDescent="0.55000000000000004">
      <c r="A808" t="s">
        <v>2226</v>
      </c>
      <c r="C808" t="s">
        <v>469</v>
      </c>
      <c r="D808" t="s">
        <v>470</v>
      </c>
      <c r="E808" t="s">
        <v>35</v>
      </c>
      <c r="F808" t="s">
        <v>30</v>
      </c>
      <c r="G808" t="s">
        <v>31</v>
      </c>
      <c r="H808" t="s">
        <v>36</v>
      </c>
      <c r="I808" t="s">
        <v>471</v>
      </c>
      <c r="J808" t="s">
        <v>472</v>
      </c>
      <c r="K808" t="s">
        <v>362</v>
      </c>
      <c r="L808" t="s">
        <v>30</v>
      </c>
      <c r="M808" t="s">
        <v>31</v>
      </c>
      <c r="Q808" s="4">
        <v>1</v>
      </c>
    </row>
    <row r="809" spans="1:20" x14ac:dyDescent="0.55000000000000004">
      <c r="A809" t="s">
        <v>2227</v>
      </c>
      <c r="C809" t="s">
        <v>474</v>
      </c>
      <c r="D809" t="s">
        <v>475</v>
      </c>
      <c r="E809" t="s">
        <v>35</v>
      </c>
      <c r="F809" t="s">
        <v>30</v>
      </c>
      <c r="G809" t="s">
        <v>31</v>
      </c>
      <c r="H809" t="s">
        <v>36</v>
      </c>
      <c r="I809" t="s">
        <v>476</v>
      </c>
      <c r="J809" t="s">
        <v>477</v>
      </c>
      <c r="K809" t="s">
        <v>362</v>
      </c>
      <c r="L809" t="s">
        <v>30</v>
      </c>
      <c r="M809" t="s">
        <v>31</v>
      </c>
      <c r="Q809" s="4">
        <v>1</v>
      </c>
    </row>
    <row r="810" spans="1:20" x14ac:dyDescent="0.55000000000000004">
      <c r="A810" t="s">
        <v>2228</v>
      </c>
      <c r="C810" t="s">
        <v>479</v>
      </c>
      <c r="D810" t="s">
        <v>480</v>
      </c>
      <c r="E810" t="s">
        <v>35</v>
      </c>
      <c r="F810" t="s">
        <v>30</v>
      </c>
      <c r="G810" t="s">
        <v>31</v>
      </c>
      <c r="H810" t="s">
        <v>36</v>
      </c>
      <c r="I810" t="s">
        <v>481</v>
      </c>
      <c r="J810" t="s">
        <v>482</v>
      </c>
      <c r="K810" t="s">
        <v>362</v>
      </c>
      <c r="L810" t="s">
        <v>30</v>
      </c>
      <c r="M810" t="s">
        <v>31</v>
      </c>
      <c r="Q810" s="4">
        <v>1</v>
      </c>
    </row>
    <row r="811" spans="1:20" x14ac:dyDescent="0.55000000000000004">
      <c r="A811" t="s">
        <v>2229</v>
      </c>
      <c r="C811" t="s">
        <v>484</v>
      </c>
      <c r="D811" t="s">
        <v>485</v>
      </c>
      <c r="E811" t="s">
        <v>35</v>
      </c>
      <c r="F811" t="s">
        <v>30</v>
      </c>
      <c r="G811" t="s">
        <v>31</v>
      </c>
      <c r="H811" t="s">
        <v>36</v>
      </c>
      <c r="I811" t="s">
        <v>486</v>
      </c>
      <c r="J811" t="s">
        <v>487</v>
      </c>
      <c r="K811" t="s">
        <v>362</v>
      </c>
      <c r="L811" t="s">
        <v>30</v>
      </c>
      <c r="M811" t="s">
        <v>31</v>
      </c>
      <c r="Q811" s="4">
        <v>1</v>
      </c>
    </row>
    <row r="812" spans="1:20" s="16" customFormat="1" ht="18.5" thickBot="1" x14ac:dyDescent="0.6">
      <c r="A812" s="16" t="s">
        <v>2230</v>
      </c>
      <c r="C812" s="16" t="s">
        <v>489</v>
      </c>
      <c r="D812" s="16" t="s">
        <v>490</v>
      </c>
      <c r="E812" s="16" t="s">
        <v>35</v>
      </c>
      <c r="F812" s="16" t="s">
        <v>30</v>
      </c>
      <c r="G812" s="16" t="s">
        <v>31</v>
      </c>
      <c r="H812" s="16" t="s">
        <v>36</v>
      </c>
      <c r="I812" s="16" t="s">
        <v>491</v>
      </c>
      <c r="J812" s="16" t="s">
        <v>492</v>
      </c>
      <c r="K812" s="16" t="s">
        <v>362</v>
      </c>
      <c r="L812" s="16" t="s">
        <v>30</v>
      </c>
      <c r="M812" s="16" t="s">
        <v>31</v>
      </c>
      <c r="Q812" s="18">
        <v>1</v>
      </c>
    </row>
    <row r="813" spans="1:20" x14ac:dyDescent="0.55000000000000004">
      <c r="A813" t="s">
        <v>2231</v>
      </c>
      <c r="C813" t="s">
        <v>494</v>
      </c>
      <c r="D813" t="s">
        <v>495</v>
      </c>
      <c r="E813" t="s">
        <v>35</v>
      </c>
      <c r="F813" t="s">
        <v>30</v>
      </c>
      <c r="G813" t="s">
        <v>31</v>
      </c>
      <c r="H813" t="s">
        <v>36</v>
      </c>
      <c r="I813" t="s">
        <v>496</v>
      </c>
      <c r="J813" t="s">
        <v>4001</v>
      </c>
      <c r="K813" t="s">
        <v>39</v>
      </c>
      <c r="L813" t="s">
        <v>30</v>
      </c>
      <c r="M813" t="s">
        <v>31</v>
      </c>
      <c r="N813" t="s">
        <v>4003</v>
      </c>
      <c r="Q813" s="4">
        <v>1</v>
      </c>
    </row>
    <row r="814" spans="1:20" x14ac:dyDescent="0.55000000000000004">
      <c r="A814" t="s">
        <v>2232</v>
      </c>
      <c r="C814" t="s">
        <v>496</v>
      </c>
      <c r="D814" t="s">
        <v>4001</v>
      </c>
      <c r="E814" t="s">
        <v>39</v>
      </c>
      <c r="F814" t="s">
        <v>30</v>
      </c>
      <c r="G814" t="s">
        <v>31</v>
      </c>
      <c r="H814" s="11" t="s">
        <v>991</v>
      </c>
      <c r="I814" t="s">
        <v>1295</v>
      </c>
      <c r="J814" t="s">
        <v>1296</v>
      </c>
      <c r="K814" t="s">
        <v>362</v>
      </c>
      <c r="L814" t="s">
        <v>30</v>
      </c>
      <c r="M814" t="s">
        <v>31</v>
      </c>
      <c r="Q814" s="4">
        <v>1</v>
      </c>
    </row>
    <row r="815" spans="1:20" x14ac:dyDescent="0.55000000000000004">
      <c r="A815" t="s">
        <v>2233</v>
      </c>
      <c r="C815" t="s">
        <v>496</v>
      </c>
      <c r="D815" t="s">
        <v>497</v>
      </c>
      <c r="E815" t="s">
        <v>39</v>
      </c>
      <c r="F815" t="s">
        <v>30</v>
      </c>
      <c r="G815" t="s">
        <v>31</v>
      </c>
      <c r="H815" s="11" t="s">
        <v>991</v>
      </c>
      <c r="I815" t="s">
        <v>1298</v>
      </c>
      <c r="J815" t="s">
        <v>1299</v>
      </c>
      <c r="K815" t="s">
        <v>39</v>
      </c>
      <c r="L815" t="s">
        <v>30</v>
      </c>
      <c r="M815" t="s">
        <v>31</v>
      </c>
      <c r="N815" t="s">
        <v>991</v>
      </c>
      <c r="Q815" s="4">
        <v>1</v>
      </c>
    </row>
    <row r="816" spans="1:20" x14ac:dyDescent="0.55000000000000004">
      <c r="A816" t="s">
        <v>2234</v>
      </c>
      <c r="C816" t="s">
        <v>1298</v>
      </c>
      <c r="D816" t="s">
        <v>1299</v>
      </c>
      <c r="E816" t="s">
        <v>39</v>
      </c>
      <c r="F816" t="s">
        <v>30</v>
      </c>
      <c r="G816" t="s">
        <v>31</v>
      </c>
      <c r="H816" t="s">
        <v>991</v>
      </c>
      <c r="I816" t="s">
        <v>3779</v>
      </c>
      <c r="J816" t="s">
        <v>3780</v>
      </c>
      <c r="K816" t="s">
        <v>39</v>
      </c>
      <c r="L816" t="s">
        <v>30</v>
      </c>
      <c r="M816" t="s">
        <v>31</v>
      </c>
      <c r="N816" t="s">
        <v>991</v>
      </c>
      <c r="Q816" s="15">
        <f>S816/T816</f>
        <v>8.3333333333333329E-2</v>
      </c>
      <c r="S816">
        <f>MID(D816,FIND("x",D816)+6,3)*1</f>
        <v>500</v>
      </c>
      <c r="T816">
        <v>6000</v>
      </c>
    </row>
    <row r="817" spans="1:20" s="16" customFormat="1" ht="18.5" thickBot="1" x14ac:dyDescent="0.6">
      <c r="A817" s="16" t="s">
        <v>2235</v>
      </c>
      <c r="C817" s="16" t="s">
        <v>3779</v>
      </c>
      <c r="D817" s="16" t="s">
        <v>3780</v>
      </c>
      <c r="E817" s="16" t="s">
        <v>39</v>
      </c>
      <c r="F817" s="16" t="s">
        <v>30</v>
      </c>
      <c r="G817" s="16" t="s">
        <v>31</v>
      </c>
      <c r="H817" s="16" t="s">
        <v>991</v>
      </c>
      <c r="I817" s="16" t="s">
        <v>3795</v>
      </c>
      <c r="J817" s="16" t="s">
        <v>3796</v>
      </c>
      <c r="K817" s="16" t="s">
        <v>362</v>
      </c>
      <c r="L817" s="16" t="s">
        <v>30</v>
      </c>
      <c r="M817" s="16" t="s">
        <v>31</v>
      </c>
      <c r="N817" s="16" t="s">
        <v>991</v>
      </c>
      <c r="Q817" s="18">
        <v>1</v>
      </c>
    </row>
    <row r="818" spans="1:20" x14ac:dyDescent="0.55000000000000004">
      <c r="A818" t="s">
        <v>2236</v>
      </c>
      <c r="C818" t="s">
        <v>499</v>
      </c>
      <c r="D818" t="s">
        <v>500</v>
      </c>
      <c r="E818" t="s">
        <v>35</v>
      </c>
      <c r="F818" t="s">
        <v>30</v>
      </c>
      <c r="G818" t="s">
        <v>31</v>
      </c>
      <c r="H818" t="s">
        <v>36</v>
      </c>
      <c r="I818" t="s">
        <v>501</v>
      </c>
      <c r="J818" t="s">
        <v>502</v>
      </c>
      <c r="K818" t="s">
        <v>39</v>
      </c>
      <c r="L818" t="s">
        <v>30</v>
      </c>
      <c r="M818" t="s">
        <v>31</v>
      </c>
      <c r="N818" t="s">
        <v>4003</v>
      </c>
      <c r="Q818" s="4">
        <v>1</v>
      </c>
    </row>
    <row r="819" spans="1:20" x14ac:dyDescent="0.55000000000000004">
      <c r="A819" t="s">
        <v>2237</v>
      </c>
      <c r="C819" t="s">
        <v>501</v>
      </c>
      <c r="D819" t="s">
        <v>502</v>
      </c>
      <c r="E819" t="s">
        <v>39</v>
      </c>
      <c r="F819" t="s">
        <v>30</v>
      </c>
      <c r="G819" t="s">
        <v>31</v>
      </c>
      <c r="H819" s="11" t="s">
        <v>991</v>
      </c>
      <c r="I819" t="s">
        <v>1295</v>
      </c>
      <c r="J819" t="s">
        <v>1296</v>
      </c>
      <c r="K819" t="s">
        <v>362</v>
      </c>
      <c r="L819" t="s">
        <v>30</v>
      </c>
      <c r="M819" t="s">
        <v>31</v>
      </c>
      <c r="Q819" s="4">
        <v>1</v>
      </c>
    </row>
    <row r="820" spans="1:20" x14ac:dyDescent="0.55000000000000004">
      <c r="A820" t="s">
        <v>2238</v>
      </c>
      <c r="C820" t="s">
        <v>501</v>
      </c>
      <c r="D820" t="s">
        <v>502</v>
      </c>
      <c r="E820" t="s">
        <v>39</v>
      </c>
      <c r="F820" t="s">
        <v>30</v>
      </c>
      <c r="G820" t="s">
        <v>31</v>
      </c>
      <c r="H820" s="11" t="s">
        <v>991</v>
      </c>
      <c r="I820" t="s">
        <v>1304</v>
      </c>
      <c r="J820" t="s">
        <v>1305</v>
      </c>
      <c r="K820" t="s">
        <v>39</v>
      </c>
      <c r="L820" t="s">
        <v>30</v>
      </c>
      <c r="M820" t="s">
        <v>31</v>
      </c>
      <c r="N820" t="s">
        <v>991</v>
      </c>
      <c r="Q820" s="4">
        <v>1</v>
      </c>
    </row>
    <row r="821" spans="1:20" s="16" customFormat="1" ht="18.5" thickBot="1" x14ac:dyDescent="0.6">
      <c r="A821" s="16" t="s">
        <v>2239</v>
      </c>
      <c r="C821" s="16" t="s">
        <v>1304</v>
      </c>
      <c r="D821" s="16" t="s">
        <v>1305</v>
      </c>
      <c r="E821" s="16" t="s">
        <v>39</v>
      </c>
      <c r="F821" s="16" t="s">
        <v>30</v>
      </c>
      <c r="G821" s="16" t="s">
        <v>31</v>
      </c>
      <c r="H821" s="16" t="s">
        <v>991</v>
      </c>
      <c r="I821" s="16" t="s">
        <v>3779</v>
      </c>
      <c r="J821" s="16" t="s">
        <v>3780</v>
      </c>
      <c r="K821" s="16" t="s">
        <v>39</v>
      </c>
      <c r="L821" s="16" t="s">
        <v>30</v>
      </c>
      <c r="M821" s="16" t="s">
        <v>31</v>
      </c>
      <c r="N821" s="16" t="s">
        <v>991</v>
      </c>
      <c r="Q821" s="17">
        <f>S821/T821</f>
        <v>0.1</v>
      </c>
      <c r="S821" s="16">
        <f>MID(D821,FIND("x",D821)+6,3)*1</f>
        <v>600</v>
      </c>
      <c r="T821" s="16">
        <v>6000</v>
      </c>
    </row>
    <row r="822" spans="1:20" x14ac:dyDescent="0.55000000000000004">
      <c r="A822" t="s">
        <v>2240</v>
      </c>
      <c r="C822" t="s">
        <v>504</v>
      </c>
      <c r="D822" t="s">
        <v>505</v>
      </c>
      <c r="E822" t="s">
        <v>35</v>
      </c>
      <c r="F822" t="s">
        <v>30</v>
      </c>
      <c r="G822" t="s">
        <v>31</v>
      </c>
      <c r="H822" t="s">
        <v>36</v>
      </c>
      <c r="I822" t="s">
        <v>506</v>
      </c>
      <c r="J822" t="s">
        <v>507</v>
      </c>
      <c r="K822" t="s">
        <v>39</v>
      </c>
      <c r="L822" t="s">
        <v>30</v>
      </c>
      <c r="M822" t="s">
        <v>31</v>
      </c>
      <c r="N822" t="s">
        <v>4003</v>
      </c>
      <c r="Q822" s="4">
        <v>1</v>
      </c>
    </row>
    <row r="823" spans="1:20" x14ac:dyDescent="0.55000000000000004">
      <c r="A823" t="s">
        <v>2241</v>
      </c>
      <c r="C823" t="s">
        <v>506</v>
      </c>
      <c r="D823" t="s">
        <v>507</v>
      </c>
      <c r="E823" t="s">
        <v>39</v>
      </c>
      <c r="F823" t="s">
        <v>30</v>
      </c>
      <c r="G823" t="s">
        <v>31</v>
      </c>
      <c r="H823" s="11" t="s">
        <v>991</v>
      </c>
      <c r="I823" t="s">
        <v>1295</v>
      </c>
      <c r="J823" t="s">
        <v>1296</v>
      </c>
      <c r="K823" t="s">
        <v>362</v>
      </c>
      <c r="L823" t="s">
        <v>30</v>
      </c>
      <c r="M823" t="s">
        <v>31</v>
      </c>
      <c r="Q823" s="4">
        <v>1</v>
      </c>
    </row>
    <row r="824" spans="1:20" x14ac:dyDescent="0.55000000000000004">
      <c r="A824" t="s">
        <v>2242</v>
      </c>
      <c r="C824" t="s">
        <v>506</v>
      </c>
      <c r="D824" t="s">
        <v>507</v>
      </c>
      <c r="E824" t="s">
        <v>39</v>
      </c>
      <c r="F824" t="s">
        <v>30</v>
      </c>
      <c r="G824" t="s">
        <v>31</v>
      </c>
      <c r="H824" s="11" t="s">
        <v>991</v>
      </c>
      <c r="I824" t="s">
        <v>1310</v>
      </c>
      <c r="J824" t="s">
        <v>1311</v>
      </c>
      <c r="K824" t="s">
        <v>39</v>
      </c>
      <c r="L824" t="s">
        <v>30</v>
      </c>
      <c r="M824" t="s">
        <v>31</v>
      </c>
      <c r="N824" t="s">
        <v>991</v>
      </c>
      <c r="Q824" s="4">
        <v>1</v>
      </c>
    </row>
    <row r="825" spans="1:20" s="16" customFormat="1" ht="18.5" thickBot="1" x14ac:dyDescent="0.6">
      <c r="A825" s="16" t="s">
        <v>2243</v>
      </c>
      <c r="C825" s="16" t="s">
        <v>1310</v>
      </c>
      <c r="D825" s="16" t="s">
        <v>1311</v>
      </c>
      <c r="E825" s="16" t="s">
        <v>39</v>
      </c>
      <c r="F825" s="16" t="s">
        <v>30</v>
      </c>
      <c r="G825" s="16" t="s">
        <v>31</v>
      </c>
      <c r="H825" s="16" t="s">
        <v>991</v>
      </c>
      <c r="I825" s="16" t="s">
        <v>3779</v>
      </c>
      <c r="J825" s="16" t="s">
        <v>3780</v>
      </c>
      <c r="K825" s="16" t="s">
        <v>39</v>
      </c>
      <c r="L825" s="16" t="s">
        <v>30</v>
      </c>
      <c r="M825" s="16" t="s">
        <v>31</v>
      </c>
      <c r="N825" s="16" t="s">
        <v>991</v>
      </c>
      <c r="Q825" s="17">
        <f>S825/T825</f>
        <v>0.11666666666666667</v>
      </c>
      <c r="S825" s="16">
        <f>MID(D825,FIND("x",D825)+6,3)*1</f>
        <v>700</v>
      </c>
      <c r="T825" s="16">
        <v>6000</v>
      </c>
    </row>
    <row r="826" spans="1:20" x14ac:dyDescent="0.55000000000000004">
      <c r="A826" t="s">
        <v>2244</v>
      </c>
      <c r="C826" t="s">
        <v>509</v>
      </c>
      <c r="D826" t="s">
        <v>510</v>
      </c>
      <c r="E826" t="s">
        <v>35</v>
      </c>
      <c r="F826" t="s">
        <v>30</v>
      </c>
      <c r="G826" t="s">
        <v>31</v>
      </c>
      <c r="H826" t="s">
        <v>36</v>
      </c>
      <c r="I826" t="s">
        <v>511</v>
      </c>
      <c r="J826" t="s">
        <v>512</v>
      </c>
      <c r="K826" t="s">
        <v>39</v>
      </c>
      <c r="L826" t="s">
        <v>30</v>
      </c>
      <c r="M826" t="s">
        <v>31</v>
      </c>
      <c r="N826" t="s">
        <v>4003</v>
      </c>
      <c r="Q826" s="4">
        <v>1</v>
      </c>
    </row>
    <row r="827" spans="1:20" x14ac:dyDescent="0.55000000000000004">
      <c r="A827" t="s">
        <v>2245</v>
      </c>
      <c r="C827" t="s">
        <v>511</v>
      </c>
      <c r="D827" t="s">
        <v>512</v>
      </c>
      <c r="E827" t="s">
        <v>39</v>
      </c>
      <c r="F827" t="s">
        <v>30</v>
      </c>
      <c r="G827" t="s">
        <v>31</v>
      </c>
      <c r="H827" s="11" t="s">
        <v>991</v>
      </c>
      <c r="I827" t="s">
        <v>1295</v>
      </c>
      <c r="J827" t="s">
        <v>1296</v>
      </c>
      <c r="K827" t="s">
        <v>362</v>
      </c>
      <c r="L827" t="s">
        <v>30</v>
      </c>
      <c r="M827" t="s">
        <v>31</v>
      </c>
      <c r="Q827" s="4">
        <v>1</v>
      </c>
    </row>
    <row r="828" spans="1:20" x14ac:dyDescent="0.55000000000000004">
      <c r="A828" t="s">
        <v>2246</v>
      </c>
      <c r="C828" t="s">
        <v>511</v>
      </c>
      <c r="D828" t="s">
        <v>512</v>
      </c>
      <c r="E828" t="s">
        <v>39</v>
      </c>
      <c r="F828" t="s">
        <v>30</v>
      </c>
      <c r="G828" t="s">
        <v>31</v>
      </c>
      <c r="H828" s="11" t="s">
        <v>991</v>
      </c>
      <c r="I828" t="s">
        <v>1316</v>
      </c>
      <c r="J828" t="s">
        <v>1317</v>
      </c>
      <c r="K828" t="s">
        <v>39</v>
      </c>
      <c r="L828" t="s">
        <v>30</v>
      </c>
      <c r="M828" t="s">
        <v>31</v>
      </c>
      <c r="N828" t="s">
        <v>991</v>
      </c>
      <c r="Q828" s="4">
        <v>1</v>
      </c>
    </row>
    <row r="829" spans="1:20" s="16" customFormat="1" ht="18.5" thickBot="1" x14ac:dyDescent="0.6">
      <c r="A829" s="16" t="s">
        <v>2247</v>
      </c>
      <c r="C829" s="16" t="s">
        <v>1316</v>
      </c>
      <c r="D829" s="16" t="s">
        <v>1317</v>
      </c>
      <c r="E829" s="16" t="s">
        <v>39</v>
      </c>
      <c r="F829" s="16" t="s">
        <v>30</v>
      </c>
      <c r="G829" s="16" t="s">
        <v>31</v>
      </c>
      <c r="H829" s="16" t="s">
        <v>991</v>
      </c>
      <c r="I829" s="16" t="s">
        <v>3779</v>
      </c>
      <c r="J829" s="16" t="s">
        <v>3780</v>
      </c>
      <c r="K829" s="16" t="s">
        <v>39</v>
      </c>
      <c r="L829" s="16" t="s">
        <v>30</v>
      </c>
      <c r="M829" s="16" t="s">
        <v>31</v>
      </c>
      <c r="N829" s="16" t="s">
        <v>991</v>
      </c>
      <c r="Q829" s="17">
        <f>S829/T829</f>
        <v>0.13333333333333333</v>
      </c>
      <c r="S829" s="16">
        <f>MID(D829,FIND("x",D829)+6,3)*1</f>
        <v>800</v>
      </c>
      <c r="T829" s="16">
        <v>6000</v>
      </c>
    </row>
    <row r="830" spans="1:20" x14ac:dyDescent="0.55000000000000004">
      <c r="A830" t="s">
        <v>2248</v>
      </c>
      <c r="C830" t="s">
        <v>514</v>
      </c>
      <c r="D830" t="s">
        <v>515</v>
      </c>
      <c r="E830" t="s">
        <v>35</v>
      </c>
      <c r="F830" t="s">
        <v>30</v>
      </c>
      <c r="G830" t="s">
        <v>31</v>
      </c>
      <c r="H830" t="s">
        <v>36</v>
      </c>
      <c r="I830" t="s">
        <v>516</v>
      </c>
      <c r="J830" t="s">
        <v>517</v>
      </c>
      <c r="K830" t="s">
        <v>39</v>
      </c>
      <c r="L830" t="s">
        <v>30</v>
      </c>
      <c r="M830" t="s">
        <v>31</v>
      </c>
      <c r="N830" t="s">
        <v>4003</v>
      </c>
      <c r="Q830" s="4">
        <v>1</v>
      </c>
    </row>
    <row r="831" spans="1:20" x14ac:dyDescent="0.55000000000000004">
      <c r="A831" t="s">
        <v>2249</v>
      </c>
      <c r="C831" t="s">
        <v>516</v>
      </c>
      <c r="D831" t="s">
        <v>517</v>
      </c>
      <c r="E831" t="s">
        <v>39</v>
      </c>
      <c r="F831" t="s">
        <v>30</v>
      </c>
      <c r="G831" t="s">
        <v>31</v>
      </c>
      <c r="H831" s="11" t="s">
        <v>991</v>
      </c>
      <c r="I831" t="s">
        <v>1295</v>
      </c>
      <c r="J831" t="s">
        <v>1296</v>
      </c>
      <c r="K831" t="s">
        <v>362</v>
      </c>
      <c r="L831" t="s">
        <v>30</v>
      </c>
      <c r="M831" t="s">
        <v>31</v>
      </c>
      <c r="Q831" s="4">
        <v>1</v>
      </c>
    </row>
    <row r="832" spans="1:20" x14ac:dyDescent="0.55000000000000004">
      <c r="A832" t="s">
        <v>2250</v>
      </c>
      <c r="C832" t="s">
        <v>516</v>
      </c>
      <c r="D832" t="s">
        <v>517</v>
      </c>
      <c r="E832" t="s">
        <v>39</v>
      </c>
      <c r="F832" t="s">
        <v>30</v>
      </c>
      <c r="G832" t="s">
        <v>31</v>
      </c>
      <c r="H832" s="11" t="s">
        <v>991</v>
      </c>
      <c r="I832" t="s">
        <v>1322</v>
      </c>
      <c r="J832" t="s">
        <v>1323</v>
      </c>
      <c r="K832" t="s">
        <v>39</v>
      </c>
      <c r="L832" t="s">
        <v>30</v>
      </c>
      <c r="M832" t="s">
        <v>31</v>
      </c>
      <c r="N832" t="s">
        <v>991</v>
      </c>
      <c r="Q832" s="4">
        <v>1</v>
      </c>
    </row>
    <row r="833" spans="1:20" s="16" customFormat="1" ht="18.5" thickBot="1" x14ac:dyDescent="0.6">
      <c r="A833" s="16" t="s">
        <v>4564</v>
      </c>
      <c r="C833" s="16" t="s">
        <v>1322</v>
      </c>
      <c r="D833" s="16" t="s">
        <v>1323</v>
      </c>
      <c r="E833" s="16" t="s">
        <v>39</v>
      </c>
      <c r="F833" s="16" t="s">
        <v>30</v>
      </c>
      <c r="G833" s="16" t="s">
        <v>31</v>
      </c>
      <c r="H833" s="16" t="s">
        <v>991</v>
      </c>
      <c r="I833" s="16" t="s">
        <v>3779</v>
      </c>
      <c r="J833" s="16" t="s">
        <v>3780</v>
      </c>
      <c r="K833" s="16" t="s">
        <v>39</v>
      </c>
      <c r="L833" s="16" t="s">
        <v>30</v>
      </c>
      <c r="M833" s="16" t="s">
        <v>31</v>
      </c>
      <c r="N833" s="16" t="s">
        <v>991</v>
      </c>
      <c r="Q833" s="17">
        <f>S833/T833</f>
        <v>0.15</v>
      </c>
      <c r="S833" s="16">
        <f>MID(D833,FIND("x",D833)+6,3)*1</f>
        <v>900</v>
      </c>
      <c r="T833" s="16">
        <v>6000</v>
      </c>
    </row>
    <row r="834" spans="1:20" x14ac:dyDescent="0.55000000000000004">
      <c r="A834" t="s">
        <v>2253</v>
      </c>
      <c r="C834" t="s">
        <v>519</v>
      </c>
      <c r="D834" t="s">
        <v>520</v>
      </c>
      <c r="E834" t="s">
        <v>35</v>
      </c>
      <c r="F834" t="s">
        <v>30</v>
      </c>
      <c r="G834" t="s">
        <v>31</v>
      </c>
      <c r="H834" t="s">
        <v>36</v>
      </c>
      <c r="I834" t="s">
        <v>521</v>
      </c>
      <c r="J834" t="s">
        <v>522</v>
      </c>
      <c r="K834" t="s">
        <v>39</v>
      </c>
      <c r="L834" t="s">
        <v>30</v>
      </c>
      <c r="M834" t="s">
        <v>31</v>
      </c>
      <c r="N834" t="s">
        <v>4003</v>
      </c>
      <c r="Q834" s="4">
        <v>1</v>
      </c>
    </row>
    <row r="835" spans="1:20" x14ac:dyDescent="0.55000000000000004">
      <c r="A835" t="s">
        <v>4565</v>
      </c>
      <c r="C835" t="s">
        <v>521</v>
      </c>
      <c r="D835" t="s">
        <v>522</v>
      </c>
      <c r="E835" t="s">
        <v>39</v>
      </c>
      <c r="F835" t="s">
        <v>30</v>
      </c>
      <c r="G835" t="s">
        <v>31</v>
      </c>
      <c r="H835" s="11" t="s">
        <v>991</v>
      </c>
      <c r="I835" t="s">
        <v>1295</v>
      </c>
      <c r="J835" t="s">
        <v>1296</v>
      </c>
      <c r="K835" t="s">
        <v>362</v>
      </c>
      <c r="L835" t="s">
        <v>30</v>
      </c>
      <c r="M835" t="s">
        <v>31</v>
      </c>
      <c r="Q835" s="4">
        <v>1</v>
      </c>
    </row>
    <row r="836" spans="1:20" x14ac:dyDescent="0.55000000000000004">
      <c r="A836" t="s">
        <v>2256</v>
      </c>
      <c r="C836" t="s">
        <v>521</v>
      </c>
      <c r="D836" t="s">
        <v>522</v>
      </c>
      <c r="E836" t="s">
        <v>39</v>
      </c>
      <c r="F836" t="s">
        <v>30</v>
      </c>
      <c r="G836" t="s">
        <v>31</v>
      </c>
      <c r="H836" s="11" t="s">
        <v>991</v>
      </c>
      <c r="I836" t="s">
        <v>1328</v>
      </c>
      <c r="J836" t="s">
        <v>1329</v>
      </c>
      <c r="K836" t="s">
        <v>39</v>
      </c>
      <c r="L836" t="s">
        <v>30</v>
      </c>
      <c r="M836" t="s">
        <v>31</v>
      </c>
      <c r="N836" t="s">
        <v>991</v>
      </c>
      <c r="Q836" s="4">
        <v>1</v>
      </c>
    </row>
    <row r="837" spans="1:20" s="16" customFormat="1" ht="18.5" thickBot="1" x14ac:dyDescent="0.6">
      <c r="A837" s="16" t="s">
        <v>4566</v>
      </c>
      <c r="C837" s="16" t="s">
        <v>1328</v>
      </c>
      <c r="D837" s="16" t="s">
        <v>1329</v>
      </c>
      <c r="E837" s="16" t="s">
        <v>39</v>
      </c>
      <c r="F837" s="16" t="s">
        <v>30</v>
      </c>
      <c r="G837" s="16" t="s">
        <v>31</v>
      </c>
      <c r="H837" s="16" t="s">
        <v>991</v>
      </c>
      <c r="I837" s="16" t="s">
        <v>3779</v>
      </c>
      <c r="J837" s="16" t="s">
        <v>3780</v>
      </c>
      <c r="K837" s="16" t="s">
        <v>39</v>
      </c>
      <c r="L837" s="16" t="s">
        <v>30</v>
      </c>
      <c r="M837" s="16" t="s">
        <v>31</v>
      </c>
      <c r="N837" s="16" t="s">
        <v>991</v>
      </c>
      <c r="Q837" s="17">
        <f>S837/T837</f>
        <v>0.16666666666666666</v>
      </c>
      <c r="S837" s="16">
        <f>MID(D837,FIND("x",D837)+7,4)*1</f>
        <v>1000</v>
      </c>
      <c r="T837" s="16">
        <v>6000</v>
      </c>
    </row>
    <row r="838" spans="1:20" x14ac:dyDescent="0.55000000000000004">
      <c r="A838" t="s">
        <v>2257</v>
      </c>
      <c r="C838" t="s">
        <v>524</v>
      </c>
      <c r="D838" t="s">
        <v>525</v>
      </c>
      <c r="E838" t="s">
        <v>35</v>
      </c>
      <c r="F838" t="s">
        <v>30</v>
      </c>
      <c r="G838" t="s">
        <v>31</v>
      </c>
      <c r="H838" t="s">
        <v>36</v>
      </c>
      <c r="I838" t="s">
        <v>526</v>
      </c>
      <c r="J838" t="s">
        <v>527</v>
      </c>
      <c r="K838" t="s">
        <v>39</v>
      </c>
      <c r="L838" t="s">
        <v>30</v>
      </c>
      <c r="M838" t="s">
        <v>31</v>
      </c>
      <c r="N838" t="s">
        <v>4003</v>
      </c>
      <c r="Q838" s="4">
        <v>1</v>
      </c>
    </row>
    <row r="839" spans="1:20" x14ac:dyDescent="0.55000000000000004">
      <c r="A839" t="s">
        <v>4567</v>
      </c>
      <c r="C839" t="s">
        <v>526</v>
      </c>
      <c r="D839" t="s">
        <v>527</v>
      </c>
      <c r="E839" t="s">
        <v>39</v>
      </c>
      <c r="F839" t="s">
        <v>30</v>
      </c>
      <c r="G839" t="s">
        <v>31</v>
      </c>
      <c r="H839" s="11" t="s">
        <v>991</v>
      </c>
      <c r="I839" t="s">
        <v>1295</v>
      </c>
      <c r="J839" t="s">
        <v>1296</v>
      </c>
      <c r="K839" t="s">
        <v>362</v>
      </c>
      <c r="L839" t="s">
        <v>30</v>
      </c>
      <c r="M839" t="s">
        <v>31</v>
      </c>
      <c r="Q839" s="4">
        <v>1</v>
      </c>
    </row>
    <row r="840" spans="1:20" x14ac:dyDescent="0.55000000000000004">
      <c r="A840" t="s">
        <v>2258</v>
      </c>
      <c r="C840" t="s">
        <v>526</v>
      </c>
      <c r="D840" t="s">
        <v>527</v>
      </c>
      <c r="E840" t="s">
        <v>39</v>
      </c>
      <c r="F840" t="s">
        <v>30</v>
      </c>
      <c r="G840" t="s">
        <v>31</v>
      </c>
      <c r="H840" s="11" t="s">
        <v>991</v>
      </c>
      <c r="I840" t="s">
        <v>1334</v>
      </c>
      <c r="J840" t="s">
        <v>1335</v>
      </c>
      <c r="K840" t="s">
        <v>39</v>
      </c>
      <c r="L840" t="s">
        <v>30</v>
      </c>
      <c r="M840" t="s">
        <v>31</v>
      </c>
      <c r="N840" t="s">
        <v>991</v>
      </c>
      <c r="Q840" s="4">
        <v>1</v>
      </c>
    </row>
    <row r="841" spans="1:20" s="16" customFormat="1" ht="18.5" thickBot="1" x14ac:dyDescent="0.6">
      <c r="A841" s="16" t="s">
        <v>4568</v>
      </c>
      <c r="C841" s="16" t="s">
        <v>1334</v>
      </c>
      <c r="D841" s="16" t="s">
        <v>1335</v>
      </c>
      <c r="E841" s="16" t="s">
        <v>39</v>
      </c>
      <c r="F841" s="16" t="s">
        <v>30</v>
      </c>
      <c r="G841" s="16" t="s">
        <v>31</v>
      </c>
      <c r="H841" s="16" t="s">
        <v>991</v>
      </c>
      <c r="I841" s="16" t="s">
        <v>3779</v>
      </c>
      <c r="J841" s="16" t="s">
        <v>3780</v>
      </c>
      <c r="K841" s="16" t="s">
        <v>39</v>
      </c>
      <c r="L841" s="16" t="s">
        <v>30</v>
      </c>
      <c r="M841" s="16" t="s">
        <v>31</v>
      </c>
      <c r="N841" s="16" t="s">
        <v>991</v>
      </c>
      <c r="Q841" s="17">
        <f>S841/T841</f>
        <v>0.18333333333333332</v>
      </c>
      <c r="S841" s="16">
        <f>MID(D841,FIND("x",D841)+7,4)*1</f>
        <v>1100</v>
      </c>
      <c r="T841" s="16">
        <v>6000</v>
      </c>
    </row>
    <row r="842" spans="1:20" x14ac:dyDescent="0.55000000000000004">
      <c r="A842" t="s">
        <v>2259</v>
      </c>
      <c r="C842" t="s">
        <v>529</v>
      </c>
      <c r="D842" t="s">
        <v>530</v>
      </c>
      <c r="E842" t="s">
        <v>35</v>
      </c>
      <c r="F842" t="s">
        <v>30</v>
      </c>
      <c r="G842" t="s">
        <v>31</v>
      </c>
      <c r="H842" t="s">
        <v>36</v>
      </c>
      <c r="I842" t="s">
        <v>531</v>
      </c>
      <c r="J842" t="s">
        <v>532</v>
      </c>
      <c r="K842" t="s">
        <v>39</v>
      </c>
      <c r="L842" t="s">
        <v>30</v>
      </c>
      <c r="M842" t="s">
        <v>31</v>
      </c>
      <c r="N842" t="s">
        <v>4003</v>
      </c>
      <c r="Q842" s="4">
        <v>1</v>
      </c>
    </row>
    <row r="843" spans="1:20" x14ac:dyDescent="0.55000000000000004">
      <c r="A843" t="s">
        <v>4569</v>
      </c>
      <c r="C843" t="s">
        <v>531</v>
      </c>
      <c r="D843" t="s">
        <v>532</v>
      </c>
      <c r="E843" t="s">
        <v>39</v>
      </c>
      <c r="F843" t="s">
        <v>30</v>
      </c>
      <c r="G843" t="s">
        <v>31</v>
      </c>
      <c r="H843" s="11" t="s">
        <v>991</v>
      </c>
      <c r="I843" t="s">
        <v>1295</v>
      </c>
      <c r="J843" t="s">
        <v>1296</v>
      </c>
      <c r="K843" t="s">
        <v>362</v>
      </c>
      <c r="L843" t="s">
        <v>30</v>
      </c>
      <c r="M843" t="s">
        <v>31</v>
      </c>
      <c r="Q843" s="4">
        <v>1</v>
      </c>
    </row>
    <row r="844" spans="1:20" x14ac:dyDescent="0.55000000000000004">
      <c r="A844" t="s">
        <v>2260</v>
      </c>
      <c r="C844" t="s">
        <v>531</v>
      </c>
      <c r="D844" t="s">
        <v>532</v>
      </c>
      <c r="E844" t="s">
        <v>39</v>
      </c>
      <c r="F844" t="s">
        <v>30</v>
      </c>
      <c r="G844" t="s">
        <v>31</v>
      </c>
      <c r="H844" s="11" t="s">
        <v>991</v>
      </c>
      <c r="I844" t="s">
        <v>1340</v>
      </c>
      <c r="J844" t="s">
        <v>1341</v>
      </c>
      <c r="K844" t="s">
        <v>39</v>
      </c>
      <c r="L844" t="s">
        <v>30</v>
      </c>
      <c r="M844" t="s">
        <v>31</v>
      </c>
      <c r="N844" t="s">
        <v>991</v>
      </c>
      <c r="Q844" s="4">
        <v>1</v>
      </c>
    </row>
    <row r="845" spans="1:20" s="16" customFormat="1" ht="18.5" thickBot="1" x14ac:dyDescent="0.6">
      <c r="A845" s="16" t="s">
        <v>4570</v>
      </c>
      <c r="C845" s="16" t="s">
        <v>1340</v>
      </c>
      <c r="D845" s="16" t="s">
        <v>1341</v>
      </c>
      <c r="E845" s="16" t="s">
        <v>39</v>
      </c>
      <c r="F845" s="16" t="s">
        <v>30</v>
      </c>
      <c r="G845" s="16" t="s">
        <v>31</v>
      </c>
      <c r="H845" s="16" t="s">
        <v>991</v>
      </c>
      <c r="I845" s="16" t="s">
        <v>3779</v>
      </c>
      <c r="J845" s="16" t="s">
        <v>3780</v>
      </c>
      <c r="K845" s="16" t="s">
        <v>39</v>
      </c>
      <c r="L845" s="16" t="s">
        <v>30</v>
      </c>
      <c r="M845" s="16" t="s">
        <v>31</v>
      </c>
      <c r="N845" s="16" t="s">
        <v>991</v>
      </c>
      <c r="Q845" s="17">
        <f>S845/T845</f>
        <v>0.2</v>
      </c>
      <c r="S845" s="16">
        <f>MID(D845,FIND("x",D845)+7,4)*1</f>
        <v>1200</v>
      </c>
      <c r="T845" s="16">
        <v>6000</v>
      </c>
    </row>
    <row r="846" spans="1:20" x14ac:dyDescent="0.55000000000000004">
      <c r="A846" t="s">
        <v>2261</v>
      </c>
      <c r="C846" t="s">
        <v>534</v>
      </c>
      <c r="D846" t="s">
        <v>535</v>
      </c>
      <c r="E846" t="s">
        <v>35</v>
      </c>
      <c r="F846" t="s">
        <v>30</v>
      </c>
      <c r="G846" t="s">
        <v>31</v>
      </c>
      <c r="H846" t="s">
        <v>36</v>
      </c>
      <c r="I846" t="s">
        <v>536</v>
      </c>
      <c r="J846" t="s">
        <v>537</v>
      </c>
      <c r="K846" t="s">
        <v>39</v>
      </c>
      <c r="L846" t="s">
        <v>30</v>
      </c>
      <c r="M846" t="s">
        <v>31</v>
      </c>
      <c r="N846" t="s">
        <v>4003</v>
      </c>
      <c r="Q846" s="4">
        <v>1</v>
      </c>
    </row>
    <row r="847" spans="1:20" x14ac:dyDescent="0.55000000000000004">
      <c r="A847" t="s">
        <v>4571</v>
      </c>
      <c r="C847" t="s">
        <v>536</v>
      </c>
      <c r="D847" t="s">
        <v>537</v>
      </c>
      <c r="E847" t="s">
        <v>39</v>
      </c>
      <c r="F847" t="s">
        <v>30</v>
      </c>
      <c r="G847" t="s">
        <v>31</v>
      </c>
      <c r="H847" s="11" t="s">
        <v>991</v>
      </c>
      <c r="I847" t="s">
        <v>1295</v>
      </c>
      <c r="J847" t="s">
        <v>1296</v>
      </c>
      <c r="K847" t="s">
        <v>362</v>
      </c>
      <c r="L847" t="s">
        <v>30</v>
      </c>
      <c r="M847" t="s">
        <v>31</v>
      </c>
      <c r="Q847" s="4">
        <v>1</v>
      </c>
    </row>
    <row r="848" spans="1:20" x14ac:dyDescent="0.55000000000000004">
      <c r="A848" t="s">
        <v>2262</v>
      </c>
      <c r="C848" t="s">
        <v>536</v>
      </c>
      <c r="D848" t="s">
        <v>537</v>
      </c>
      <c r="E848" t="s">
        <v>39</v>
      </c>
      <c r="F848" t="s">
        <v>30</v>
      </c>
      <c r="G848" t="s">
        <v>31</v>
      </c>
      <c r="H848" s="11" t="s">
        <v>991</v>
      </c>
      <c r="I848" t="s">
        <v>1346</v>
      </c>
      <c r="J848" t="s">
        <v>1347</v>
      </c>
      <c r="K848" t="s">
        <v>39</v>
      </c>
      <c r="L848" t="s">
        <v>30</v>
      </c>
      <c r="M848" t="s">
        <v>31</v>
      </c>
      <c r="N848" t="s">
        <v>991</v>
      </c>
      <c r="Q848" s="4">
        <v>1</v>
      </c>
    </row>
    <row r="849" spans="1:20" s="16" customFormat="1" ht="18.5" thickBot="1" x14ac:dyDescent="0.6">
      <c r="A849" s="16" t="s">
        <v>4572</v>
      </c>
      <c r="C849" s="16" t="s">
        <v>1346</v>
      </c>
      <c r="D849" s="16" t="s">
        <v>1347</v>
      </c>
      <c r="E849" s="16" t="s">
        <v>39</v>
      </c>
      <c r="F849" s="16" t="s">
        <v>30</v>
      </c>
      <c r="G849" s="16" t="s">
        <v>31</v>
      </c>
      <c r="H849" s="16" t="s">
        <v>991</v>
      </c>
      <c r="I849" s="16" t="s">
        <v>3779</v>
      </c>
      <c r="J849" s="16" t="s">
        <v>3780</v>
      </c>
      <c r="K849" s="16" t="s">
        <v>39</v>
      </c>
      <c r="L849" s="16" t="s">
        <v>30</v>
      </c>
      <c r="M849" s="16" t="s">
        <v>31</v>
      </c>
      <c r="N849" s="16" t="s">
        <v>991</v>
      </c>
      <c r="Q849" s="17">
        <f>S849/T849</f>
        <v>0.21666666666666667</v>
      </c>
      <c r="S849" s="16">
        <f>MID(D849,FIND("x",D849)+7,4)*1</f>
        <v>1300</v>
      </c>
      <c r="T849" s="16">
        <v>6000</v>
      </c>
    </row>
    <row r="850" spans="1:20" x14ac:dyDescent="0.55000000000000004">
      <c r="A850" t="s">
        <v>2263</v>
      </c>
      <c r="C850" t="s">
        <v>539</v>
      </c>
      <c r="D850" t="s">
        <v>540</v>
      </c>
      <c r="E850" t="s">
        <v>35</v>
      </c>
      <c r="F850" t="s">
        <v>30</v>
      </c>
      <c r="G850" t="s">
        <v>31</v>
      </c>
      <c r="H850" t="s">
        <v>36</v>
      </c>
      <c r="I850" t="s">
        <v>541</v>
      </c>
      <c r="J850" t="s">
        <v>542</v>
      </c>
      <c r="K850" t="s">
        <v>39</v>
      </c>
      <c r="L850" t="s">
        <v>30</v>
      </c>
      <c r="M850" t="s">
        <v>31</v>
      </c>
      <c r="N850" t="s">
        <v>4003</v>
      </c>
      <c r="Q850" s="4">
        <v>1</v>
      </c>
    </row>
    <row r="851" spans="1:20" x14ac:dyDescent="0.55000000000000004">
      <c r="A851" t="s">
        <v>4573</v>
      </c>
      <c r="C851" t="s">
        <v>541</v>
      </c>
      <c r="D851" t="s">
        <v>542</v>
      </c>
      <c r="E851" t="s">
        <v>39</v>
      </c>
      <c r="F851" t="s">
        <v>30</v>
      </c>
      <c r="G851" t="s">
        <v>31</v>
      </c>
      <c r="H851" s="11" t="s">
        <v>991</v>
      </c>
      <c r="I851" t="s">
        <v>1295</v>
      </c>
      <c r="J851" t="s">
        <v>1296</v>
      </c>
      <c r="K851" t="s">
        <v>362</v>
      </c>
      <c r="L851" t="s">
        <v>30</v>
      </c>
      <c r="M851" t="s">
        <v>31</v>
      </c>
      <c r="Q851" s="4">
        <v>1</v>
      </c>
    </row>
    <row r="852" spans="1:20" x14ac:dyDescent="0.55000000000000004">
      <c r="A852" t="s">
        <v>2264</v>
      </c>
      <c r="C852" t="s">
        <v>541</v>
      </c>
      <c r="D852" t="s">
        <v>542</v>
      </c>
      <c r="E852" t="s">
        <v>39</v>
      </c>
      <c r="F852" t="s">
        <v>30</v>
      </c>
      <c r="G852" t="s">
        <v>31</v>
      </c>
      <c r="H852" s="11" t="s">
        <v>991</v>
      </c>
      <c r="I852" t="s">
        <v>1352</v>
      </c>
      <c r="J852" t="s">
        <v>1353</v>
      </c>
      <c r="K852" t="s">
        <v>39</v>
      </c>
      <c r="L852" t="s">
        <v>30</v>
      </c>
      <c r="M852" t="s">
        <v>31</v>
      </c>
      <c r="N852" t="s">
        <v>991</v>
      </c>
      <c r="Q852" s="4">
        <v>1</v>
      </c>
    </row>
    <row r="853" spans="1:20" s="16" customFormat="1" ht="18.5" thickBot="1" x14ac:dyDescent="0.6">
      <c r="A853" s="16" t="s">
        <v>4574</v>
      </c>
      <c r="C853" s="16" t="s">
        <v>1352</v>
      </c>
      <c r="D853" s="16" t="s">
        <v>1353</v>
      </c>
      <c r="E853" s="16" t="s">
        <v>39</v>
      </c>
      <c r="F853" s="16" t="s">
        <v>30</v>
      </c>
      <c r="G853" s="16" t="s">
        <v>31</v>
      </c>
      <c r="H853" s="16" t="s">
        <v>991</v>
      </c>
      <c r="I853" s="16" t="s">
        <v>3779</v>
      </c>
      <c r="J853" s="16" t="s">
        <v>3780</v>
      </c>
      <c r="K853" s="16" t="s">
        <v>39</v>
      </c>
      <c r="L853" s="16" t="s">
        <v>30</v>
      </c>
      <c r="M853" s="16" t="s">
        <v>31</v>
      </c>
      <c r="N853" s="16" t="s">
        <v>991</v>
      </c>
      <c r="Q853" s="17">
        <f>S853/T853</f>
        <v>0.23333333333333334</v>
      </c>
      <c r="S853" s="16">
        <f>MID(D853,FIND("x",D853)+7,4)*1</f>
        <v>1400</v>
      </c>
      <c r="T853" s="16">
        <v>6000</v>
      </c>
    </row>
    <row r="854" spans="1:20" x14ac:dyDescent="0.55000000000000004">
      <c r="A854" t="s">
        <v>2265</v>
      </c>
      <c r="C854" t="s">
        <v>544</v>
      </c>
      <c r="D854" t="s">
        <v>545</v>
      </c>
      <c r="E854" t="s">
        <v>35</v>
      </c>
      <c r="F854" t="s">
        <v>30</v>
      </c>
      <c r="G854" t="s">
        <v>31</v>
      </c>
      <c r="H854" t="s">
        <v>36</v>
      </c>
      <c r="I854" t="s">
        <v>546</v>
      </c>
      <c r="J854" t="s">
        <v>547</v>
      </c>
      <c r="K854" t="s">
        <v>39</v>
      </c>
      <c r="L854" t="s">
        <v>30</v>
      </c>
      <c r="M854" t="s">
        <v>31</v>
      </c>
      <c r="N854" t="s">
        <v>4003</v>
      </c>
      <c r="Q854" s="4">
        <v>1</v>
      </c>
    </row>
    <row r="855" spans="1:20" x14ac:dyDescent="0.55000000000000004">
      <c r="A855" t="s">
        <v>4575</v>
      </c>
      <c r="C855" t="s">
        <v>546</v>
      </c>
      <c r="D855" t="s">
        <v>547</v>
      </c>
      <c r="E855" t="s">
        <v>39</v>
      </c>
      <c r="F855" t="s">
        <v>30</v>
      </c>
      <c r="G855" t="s">
        <v>31</v>
      </c>
      <c r="H855" s="11" t="s">
        <v>991</v>
      </c>
      <c r="I855" t="s">
        <v>1295</v>
      </c>
      <c r="J855" t="s">
        <v>1296</v>
      </c>
      <c r="K855" t="s">
        <v>362</v>
      </c>
      <c r="L855" t="s">
        <v>30</v>
      </c>
      <c r="M855" t="s">
        <v>31</v>
      </c>
      <c r="Q855" s="4">
        <v>1</v>
      </c>
    </row>
    <row r="856" spans="1:20" x14ac:dyDescent="0.55000000000000004">
      <c r="A856" t="s">
        <v>2266</v>
      </c>
      <c r="C856" t="s">
        <v>546</v>
      </c>
      <c r="D856" t="s">
        <v>547</v>
      </c>
      <c r="E856" t="s">
        <v>39</v>
      </c>
      <c r="F856" t="s">
        <v>30</v>
      </c>
      <c r="G856" t="s">
        <v>31</v>
      </c>
      <c r="H856" s="11" t="s">
        <v>991</v>
      </c>
      <c r="I856" t="s">
        <v>1358</v>
      </c>
      <c r="J856" t="s">
        <v>1359</v>
      </c>
      <c r="K856" t="s">
        <v>39</v>
      </c>
      <c r="L856" t="s">
        <v>30</v>
      </c>
      <c r="M856" t="s">
        <v>31</v>
      </c>
      <c r="N856" t="s">
        <v>991</v>
      </c>
      <c r="Q856" s="4">
        <v>1</v>
      </c>
    </row>
    <row r="857" spans="1:20" s="16" customFormat="1" ht="18.5" thickBot="1" x14ac:dyDescent="0.6">
      <c r="A857" s="16" t="s">
        <v>4576</v>
      </c>
      <c r="C857" s="16" t="s">
        <v>1358</v>
      </c>
      <c r="D857" s="16" t="s">
        <v>1359</v>
      </c>
      <c r="E857" s="16" t="s">
        <v>39</v>
      </c>
      <c r="F857" s="16" t="s">
        <v>30</v>
      </c>
      <c r="G857" s="16" t="s">
        <v>31</v>
      </c>
      <c r="H857" s="16" t="s">
        <v>991</v>
      </c>
      <c r="I857" s="16" t="s">
        <v>3779</v>
      </c>
      <c r="J857" s="16" t="s">
        <v>3780</v>
      </c>
      <c r="K857" s="16" t="s">
        <v>39</v>
      </c>
      <c r="L857" s="16" t="s">
        <v>30</v>
      </c>
      <c r="M857" s="16" t="s">
        <v>31</v>
      </c>
      <c r="N857" s="16" t="s">
        <v>991</v>
      </c>
      <c r="Q857" s="17">
        <f>S857/T857</f>
        <v>0.25</v>
      </c>
      <c r="S857" s="16">
        <f>MID(D857,FIND("x",D857)+7,4)*1</f>
        <v>1500</v>
      </c>
      <c r="T857" s="16">
        <v>6000</v>
      </c>
    </row>
    <row r="858" spans="1:20" x14ac:dyDescent="0.55000000000000004">
      <c r="A858" t="s">
        <v>2267</v>
      </c>
      <c r="C858" t="s">
        <v>549</v>
      </c>
      <c r="D858" t="s">
        <v>550</v>
      </c>
      <c r="E858" t="s">
        <v>35</v>
      </c>
      <c r="F858" t="s">
        <v>30</v>
      </c>
      <c r="G858" t="s">
        <v>31</v>
      </c>
      <c r="H858" t="s">
        <v>36</v>
      </c>
      <c r="I858" t="s">
        <v>551</v>
      </c>
      <c r="J858" t="s">
        <v>552</v>
      </c>
      <c r="K858" t="s">
        <v>39</v>
      </c>
      <c r="L858" t="s">
        <v>30</v>
      </c>
      <c r="M858" t="s">
        <v>31</v>
      </c>
      <c r="N858" t="s">
        <v>4003</v>
      </c>
      <c r="Q858" s="4">
        <v>1</v>
      </c>
    </row>
    <row r="859" spans="1:20" x14ac:dyDescent="0.55000000000000004">
      <c r="A859" t="s">
        <v>4577</v>
      </c>
      <c r="C859" t="s">
        <v>551</v>
      </c>
      <c r="D859" t="s">
        <v>552</v>
      </c>
      <c r="E859" t="s">
        <v>39</v>
      </c>
      <c r="F859" t="s">
        <v>30</v>
      </c>
      <c r="G859" t="s">
        <v>31</v>
      </c>
      <c r="H859" s="11" t="s">
        <v>991</v>
      </c>
      <c r="I859" t="s">
        <v>1295</v>
      </c>
      <c r="J859" t="s">
        <v>1296</v>
      </c>
      <c r="K859" t="s">
        <v>362</v>
      </c>
      <c r="L859" t="s">
        <v>30</v>
      </c>
      <c r="M859" t="s">
        <v>31</v>
      </c>
      <c r="Q859" s="4">
        <v>1</v>
      </c>
    </row>
    <row r="860" spans="1:20" x14ac:dyDescent="0.55000000000000004">
      <c r="A860" t="s">
        <v>2268</v>
      </c>
      <c r="C860" t="s">
        <v>551</v>
      </c>
      <c r="D860" t="s">
        <v>552</v>
      </c>
      <c r="E860" t="s">
        <v>39</v>
      </c>
      <c r="F860" t="s">
        <v>30</v>
      </c>
      <c r="G860" t="s">
        <v>31</v>
      </c>
      <c r="H860" s="11" t="s">
        <v>991</v>
      </c>
      <c r="I860" t="s">
        <v>1364</v>
      </c>
      <c r="J860" t="s">
        <v>1365</v>
      </c>
      <c r="K860" t="s">
        <v>39</v>
      </c>
      <c r="L860" t="s">
        <v>30</v>
      </c>
      <c r="M860" t="s">
        <v>31</v>
      </c>
      <c r="N860" t="s">
        <v>991</v>
      </c>
      <c r="Q860" s="4">
        <v>1</v>
      </c>
    </row>
    <row r="861" spans="1:20" s="16" customFormat="1" ht="18.5" thickBot="1" x14ac:dyDescent="0.6">
      <c r="A861" s="16" t="s">
        <v>4578</v>
      </c>
      <c r="C861" s="16" t="s">
        <v>1364</v>
      </c>
      <c r="D861" s="16" t="s">
        <v>1365</v>
      </c>
      <c r="E861" s="16" t="s">
        <v>39</v>
      </c>
      <c r="F861" s="16" t="s">
        <v>30</v>
      </c>
      <c r="G861" s="16" t="s">
        <v>31</v>
      </c>
      <c r="H861" s="16" t="s">
        <v>991</v>
      </c>
      <c r="I861" s="16" t="s">
        <v>3779</v>
      </c>
      <c r="J861" s="16" t="s">
        <v>3780</v>
      </c>
      <c r="K861" s="16" t="s">
        <v>39</v>
      </c>
      <c r="L861" s="16" t="s">
        <v>30</v>
      </c>
      <c r="M861" s="16" t="s">
        <v>31</v>
      </c>
      <c r="N861" s="16" t="s">
        <v>991</v>
      </c>
      <c r="Q861" s="17">
        <f>S861/T861</f>
        <v>0.26666666666666666</v>
      </c>
      <c r="S861" s="16">
        <f>MID(D861,FIND("x",D861)+7,4)*1</f>
        <v>1600</v>
      </c>
      <c r="T861" s="16">
        <v>6000</v>
      </c>
    </row>
    <row r="862" spans="1:20" x14ac:dyDescent="0.55000000000000004">
      <c r="A862" t="s">
        <v>2269</v>
      </c>
      <c r="C862" t="s">
        <v>554</v>
      </c>
      <c r="D862" t="s">
        <v>555</v>
      </c>
      <c r="E862" t="s">
        <v>35</v>
      </c>
      <c r="F862" t="s">
        <v>30</v>
      </c>
      <c r="G862" t="s">
        <v>31</v>
      </c>
      <c r="H862" t="s">
        <v>36</v>
      </c>
      <c r="I862" t="s">
        <v>556</v>
      </c>
      <c r="J862" t="s">
        <v>557</v>
      </c>
      <c r="K862" t="s">
        <v>39</v>
      </c>
      <c r="L862" t="s">
        <v>30</v>
      </c>
      <c r="M862" t="s">
        <v>31</v>
      </c>
      <c r="N862" t="s">
        <v>4003</v>
      </c>
      <c r="Q862" s="4">
        <v>1</v>
      </c>
    </row>
    <row r="863" spans="1:20" x14ac:dyDescent="0.55000000000000004">
      <c r="A863" t="s">
        <v>4579</v>
      </c>
      <c r="C863" t="s">
        <v>556</v>
      </c>
      <c r="D863" t="s">
        <v>557</v>
      </c>
      <c r="E863" t="s">
        <v>39</v>
      </c>
      <c r="F863" t="s">
        <v>30</v>
      </c>
      <c r="G863" t="s">
        <v>31</v>
      </c>
      <c r="H863" s="11" t="s">
        <v>991</v>
      </c>
      <c r="I863" t="s">
        <v>1295</v>
      </c>
      <c r="J863" t="s">
        <v>1296</v>
      </c>
      <c r="K863" t="s">
        <v>362</v>
      </c>
      <c r="L863" t="s">
        <v>30</v>
      </c>
      <c r="M863" t="s">
        <v>31</v>
      </c>
      <c r="Q863" s="4">
        <v>1</v>
      </c>
    </row>
    <row r="864" spans="1:20" x14ac:dyDescent="0.55000000000000004">
      <c r="A864" t="s">
        <v>2270</v>
      </c>
      <c r="C864" t="s">
        <v>556</v>
      </c>
      <c r="D864" t="s">
        <v>557</v>
      </c>
      <c r="E864" t="s">
        <v>39</v>
      </c>
      <c r="F864" t="s">
        <v>30</v>
      </c>
      <c r="G864" t="s">
        <v>31</v>
      </c>
      <c r="H864" s="11" t="s">
        <v>991</v>
      </c>
      <c r="I864" t="s">
        <v>1370</v>
      </c>
      <c r="J864" t="s">
        <v>1371</v>
      </c>
      <c r="K864" t="s">
        <v>39</v>
      </c>
      <c r="L864" t="s">
        <v>30</v>
      </c>
      <c r="M864" t="s">
        <v>31</v>
      </c>
      <c r="N864" t="s">
        <v>991</v>
      </c>
      <c r="Q864" s="4">
        <v>1</v>
      </c>
    </row>
    <row r="865" spans="1:20" s="16" customFormat="1" ht="18.5" thickBot="1" x14ac:dyDescent="0.6">
      <c r="A865" s="16" t="s">
        <v>4580</v>
      </c>
      <c r="C865" s="16" t="s">
        <v>1370</v>
      </c>
      <c r="D865" s="16" t="s">
        <v>1371</v>
      </c>
      <c r="E865" s="16" t="s">
        <v>39</v>
      </c>
      <c r="F865" s="16" t="s">
        <v>30</v>
      </c>
      <c r="G865" s="16" t="s">
        <v>31</v>
      </c>
      <c r="H865" s="16" t="s">
        <v>991</v>
      </c>
      <c r="I865" s="16" t="s">
        <v>3779</v>
      </c>
      <c r="J865" s="16" t="s">
        <v>3780</v>
      </c>
      <c r="K865" s="16" t="s">
        <v>39</v>
      </c>
      <c r="L865" s="16" t="s">
        <v>30</v>
      </c>
      <c r="M865" s="16" t="s">
        <v>31</v>
      </c>
      <c r="N865" s="16" t="s">
        <v>991</v>
      </c>
      <c r="Q865" s="17">
        <f>S865/T865</f>
        <v>0.28333333333333333</v>
      </c>
      <c r="S865" s="16">
        <f>MID(D865,FIND("x",D865)+7,4)*1</f>
        <v>1700</v>
      </c>
      <c r="T865" s="16">
        <v>6000</v>
      </c>
    </row>
    <row r="866" spans="1:20" x14ac:dyDescent="0.55000000000000004">
      <c r="A866" t="s">
        <v>2271</v>
      </c>
      <c r="C866" t="s">
        <v>559</v>
      </c>
      <c r="D866" t="s">
        <v>560</v>
      </c>
      <c r="E866" t="s">
        <v>35</v>
      </c>
      <c r="F866" t="s">
        <v>30</v>
      </c>
      <c r="G866" t="s">
        <v>31</v>
      </c>
      <c r="H866" t="s">
        <v>36</v>
      </c>
      <c r="I866" t="s">
        <v>561</v>
      </c>
      <c r="J866" t="s">
        <v>562</v>
      </c>
      <c r="K866" t="s">
        <v>39</v>
      </c>
      <c r="L866" t="s">
        <v>30</v>
      </c>
      <c r="M866" t="s">
        <v>31</v>
      </c>
      <c r="N866" t="s">
        <v>4003</v>
      </c>
      <c r="Q866" s="4">
        <v>1</v>
      </c>
    </row>
    <row r="867" spans="1:20" x14ac:dyDescent="0.55000000000000004">
      <c r="A867" t="s">
        <v>4581</v>
      </c>
      <c r="C867" t="s">
        <v>561</v>
      </c>
      <c r="D867" t="s">
        <v>562</v>
      </c>
      <c r="E867" t="s">
        <v>39</v>
      </c>
      <c r="F867" t="s">
        <v>30</v>
      </c>
      <c r="G867" t="s">
        <v>31</v>
      </c>
      <c r="H867" s="11" t="s">
        <v>991</v>
      </c>
      <c r="I867" t="s">
        <v>1295</v>
      </c>
      <c r="J867" t="s">
        <v>1296</v>
      </c>
      <c r="K867" t="s">
        <v>362</v>
      </c>
      <c r="L867" t="s">
        <v>30</v>
      </c>
      <c r="M867" t="s">
        <v>31</v>
      </c>
      <c r="Q867" s="4">
        <v>1</v>
      </c>
    </row>
    <row r="868" spans="1:20" x14ac:dyDescent="0.55000000000000004">
      <c r="A868" t="s">
        <v>2272</v>
      </c>
      <c r="C868" t="s">
        <v>561</v>
      </c>
      <c r="D868" t="s">
        <v>562</v>
      </c>
      <c r="E868" t="s">
        <v>39</v>
      </c>
      <c r="F868" t="s">
        <v>30</v>
      </c>
      <c r="G868" t="s">
        <v>31</v>
      </c>
      <c r="H868" s="11" t="s">
        <v>991</v>
      </c>
      <c r="I868" t="s">
        <v>1376</v>
      </c>
      <c r="J868" t="s">
        <v>1377</v>
      </c>
      <c r="K868" t="s">
        <v>39</v>
      </c>
      <c r="L868" t="s">
        <v>30</v>
      </c>
      <c r="M868" t="s">
        <v>31</v>
      </c>
      <c r="N868" t="s">
        <v>991</v>
      </c>
      <c r="Q868" s="4">
        <v>1</v>
      </c>
    </row>
    <row r="869" spans="1:20" s="16" customFormat="1" ht="18.5" thickBot="1" x14ac:dyDescent="0.6">
      <c r="A869" s="16" t="s">
        <v>4582</v>
      </c>
      <c r="C869" s="16" t="s">
        <v>1376</v>
      </c>
      <c r="D869" s="16" t="s">
        <v>1377</v>
      </c>
      <c r="E869" s="16" t="s">
        <v>39</v>
      </c>
      <c r="F869" s="16" t="s">
        <v>30</v>
      </c>
      <c r="G869" s="16" t="s">
        <v>31</v>
      </c>
      <c r="H869" s="16" t="s">
        <v>991</v>
      </c>
      <c r="I869" s="16" t="s">
        <v>3779</v>
      </c>
      <c r="J869" s="16" t="s">
        <v>3780</v>
      </c>
      <c r="K869" s="16" t="s">
        <v>39</v>
      </c>
      <c r="L869" s="16" t="s">
        <v>30</v>
      </c>
      <c r="M869" s="16" t="s">
        <v>31</v>
      </c>
      <c r="N869" s="16" t="s">
        <v>991</v>
      </c>
      <c r="Q869" s="17">
        <f>S869/T869</f>
        <v>0.3</v>
      </c>
      <c r="S869" s="16">
        <f>MID(D869,FIND("x",D869)+7,4)*1</f>
        <v>1800</v>
      </c>
      <c r="T869" s="16">
        <v>6000</v>
      </c>
    </row>
    <row r="870" spans="1:20" x14ac:dyDescent="0.55000000000000004">
      <c r="A870" t="s">
        <v>2273</v>
      </c>
      <c r="C870" t="s">
        <v>564</v>
      </c>
      <c r="D870" t="s">
        <v>565</v>
      </c>
      <c r="E870" t="s">
        <v>35</v>
      </c>
      <c r="F870" t="s">
        <v>30</v>
      </c>
      <c r="G870" t="s">
        <v>31</v>
      </c>
      <c r="H870" t="s">
        <v>36</v>
      </c>
      <c r="I870" t="s">
        <v>566</v>
      </c>
      <c r="J870" t="s">
        <v>567</v>
      </c>
      <c r="K870" t="s">
        <v>39</v>
      </c>
      <c r="L870" t="s">
        <v>30</v>
      </c>
      <c r="M870" t="s">
        <v>31</v>
      </c>
      <c r="N870" t="s">
        <v>4003</v>
      </c>
      <c r="Q870" s="4">
        <v>1</v>
      </c>
    </row>
    <row r="871" spans="1:20" x14ac:dyDescent="0.55000000000000004">
      <c r="A871" t="s">
        <v>4583</v>
      </c>
      <c r="C871" t="s">
        <v>566</v>
      </c>
      <c r="D871" t="s">
        <v>567</v>
      </c>
      <c r="E871" t="s">
        <v>39</v>
      </c>
      <c r="F871" t="s">
        <v>30</v>
      </c>
      <c r="G871" t="s">
        <v>31</v>
      </c>
      <c r="H871" s="11" t="s">
        <v>991</v>
      </c>
      <c r="I871" t="s">
        <v>1295</v>
      </c>
      <c r="J871" t="s">
        <v>1296</v>
      </c>
      <c r="K871" t="s">
        <v>362</v>
      </c>
      <c r="L871" t="s">
        <v>30</v>
      </c>
      <c r="M871" t="s">
        <v>31</v>
      </c>
      <c r="Q871" s="4">
        <v>1</v>
      </c>
    </row>
    <row r="872" spans="1:20" x14ac:dyDescent="0.55000000000000004">
      <c r="A872" t="s">
        <v>2274</v>
      </c>
      <c r="C872" t="s">
        <v>566</v>
      </c>
      <c r="D872" t="s">
        <v>567</v>
      </c>
      <c r="E872" t="s">
        <v>39</v>
      </c>
      <c r="F872" t="s">
        <v>30</v>
      </c>
      <c r="G872" t="s">
        <v>31</v>
      </c>
      <c r="H872" s="11" t="s">
        <v>991</v>
      </c>
      <c r="I872" t="s">
        <v>1382</v>
      </c>
      <c r="J872" t="s">
        <v>1383</v>
      </c>
      <c r="K872" t="s">
        <v>39</v>
      </c>
      <c r="L872" t="s">
        <v>30</v>
      </c>
      <c r="M872" t="s">
        <v>31</v>
      </c>
      <c r="N872" t="s">
        <v>991</v>
      </c>
      <c r="Q872" s="4">
        <v>1</v>
      </c>
    </row>
    <row r="873" spans="1:20" s="16" customFormat="1" ht="18.5" thickBot="1" x14ac:dyDescent="0.6">
      <c r="A873" s="16" t="s">
        <v>4584</v>
      </c>
      <c r="C873" s="16" t="s">
        <v>1382</v>
      </c>
      <c r="D873" s="16" t="s">
        <v>1383</v>
      </c>
      <c r="E873" s="16" t="s">
        <v>39</v>
      </c>
      <c r="F873" s="16" t="s">
        <v>30</v>
      </c>
      <c r="G873" s="16" t="s">
        <v>31</v>
      </c>
      <c r="H873" s="16" t="s">
        <v>991</v>
      </c>
      <c r="I873" s="16" t="s">
        <v>3779</v>
      </c>
      <c r="J873" s="16" t="s">
        <v>3780</v>
      </c>
      <c r="K873" s="16" t="s">
        <v>39</v>
      </c>
      <c r="L873" s="16" t="s">
        <v>30</v>
      </c>
      <c r="M873" s="16" t="s">
        <v>31</v>
      </c>
      <c r="N873" s="16" t="s">
        <v>991</v>
      </c>
      <c r="Q873" s="17">
        <f>S873/T873</f>
        <v>0.31666666666666665</v>
      </c>
      <c r="S873" s="16">
        <f>MID(D873,FIND("x",D873)+7,4)*1</f>
        <v>1900</v>
      </c>
      <c r="T873" s="16">
        <v>6000</v>
      </c>
    </row>
    <row r="874" spans="1:20" x14ac:dyDescent="0.55000000000000004">
      <c r="A874" t="s">
        <v>2275</v>
      </c>
      <c r="C874" t="s">
        <v>569</v>
      </c>
      <c r="D874" t="s">
        <v>570</v>
      </c>
      <c r="E874" t="s">
        <v>35</v>
      </c>
      <c r="F874" t="s">
        <v>30</v>
      </c>
      <c r="G874" t="s">
        <v>31</v>
      </c>
      <c r="H874" t="s">
        <v>36</v>
      </c>
      <c r="I874" t="s">
        <v>571</v>
      </c>
      <c r="J874" t="s">
        <v>572</v>
      </c>
      <c r="K874" t="s">
        <v>39</v>
      </c>
      <c r="L874" t="s">
        <v>30</v>
      </c>
      <c r="M874" t="s">
        <v>31</v>
      </c>
      <c r="N874" t="s">
        <v>4003</v>
      </c>
      <c r="Q874" s="4">
        <v>1</v>
      </c>
    </row>
    <row r="875" spans="1:20" x14ac:dyDescent="0.55000000000000004">
      <c r="A875" t="s">
        <v>4585</v>
      </c>
      <c r="C875" t="s">
        <v>571</v>
      </c>
      <c r="D875" t="s">
        <v>572</v>
      </c>
      <c r="E875" t="s">
        <v>39</v>
      </c>
      <c r="F875" t="s">
        <v>30</v>
      </c>
      <c r="G875" t="s">
        <v>31</v>
      </c>
      <c r="H875" s="11" t="s">
        <v>991</v>
      </c>
      <c r="I875" t="s">
        <v>1295</v>
      </c>
      <c r="J875" t="s">
        <v>1296</v>
      </c>
      <c r="K875" t="s">
        <v>362</v>
      </c>
      <c r="L875" t="s">
        <v>30</v>
      </c>
      <c r="M875" t="s">
        <v>31</v>
      </c>
      <c r="Q875" s="4">
        <v>1</v>
      </c>
    </row>
    <row r="876" spans="1:20" x14ac:dyDescent="0.55000000000000004">
      <c r="A876" t="s">
        <v>2276</v>
      </c>
      <c r="C876" t="s">
        <v>571</v>
      </c>
      <c r="D876" t="s">
        <v>572</v>
      </c>
      <c r="E876" t="s">
        <v>39</v>
      </c>
      <c r="F876" t="s">
        <v>30</v>
      </c>
      <c r="G876" t="s">
        <v>31</v>
      </c>
      <c r="H876" s="11" t="s">
        <v>991</v>
      </c>
      <c r="I876" t="s">
        <v>1388</v>
      </c>
      <c r="J876" t="s">
        <v>1389</v>
      </c>
      <c r="K876" t="s">
        <v>39</v>
      </c>
      <c r="L876" t="s">
        <v>30</v>
      </c>
      <c r="M876" t="s">
        <v>31</v>
      </c>
      <c r="N876" t="s">
        <v>991</v>
      </c>
      <c r="Q876" s="4">
        <v>1</v>
      </c>
    </row>
    <row r="877" spans="1:20" s="16" customFormat="1" ht="18.5" thickBot="1" x14ac:dyDescent="0.6">
      <c r="A877" s="16" t="s">
        <v>4586</v>
      </c>
      <c r="C877" s="16" t="s">
        <v>1388</v>
      </c>
      <c r="D877" s="16" t="s">
        <v>1389</v>
      </c>
      <c r="E877" s="16" t="s">
        <v>39</v>
      </c>
      <c r="F877" s="16" t="s">
        <v>30</v>
      </c>
      <c r="G877" s="16" t="s">
        <v>31</v>
      </c>
      <c r="H877" s="16" t="s">
        <v>991</v>
      </c>
      <c r="I877" s="16" t="s">
        <v>3779</v>
      </c>
      <c r="J877" s="16" t="s">
        <v>3780</v>
      </c>
      <c r="K877" s="16" t="s">
        <v>39</v>
      </c>
      <c r="L877" s="16" t="s">
        <v>30</v>
      </c>
      <c r="M877" s="16" t="s">
        <v>31</v>
      </c>
      <c r="N877" s="16" t="s">
        <v>991</v>
      </c>
      <c r="Q877" s="17">
        <f>S877/T877</f>
        <v>0.33333333333333331</v>
      </c>
      <c r="S877" s="16">
        <f>MID(D877,FIND("x",D877)+7,4)*1</f>
        <v>2000</v>
      </c>
      <c r="T877" s="16">
        <v>6000</v>
      </c>
    </row>
    <row r="878" spans="1:20" x14ac:dyDescent="0.55000000000000004">
      <c r="A878" t="s">
        <v>2277</v>
      </c>
      <c r="C878" t="s">
        <v>574</v>
      </c>
      <c r="D878" t="s">
        <v>575</v>
      </c>
      <c r="E878" t="s">
        <v>35</v>
      </c>
      <c r="F878" t="s">
        <v>30</v>
      </c>
      <c r="G878" t="s">
        <v>31</v>
      </c>
      <c r="H878" t="s">
        <v>36</v>
      </c>
      <c r="I878" t="s">
        <v>576</v>
      </c>
      <c r="J878" t="s">
        <v>577</v>
      </c>
      <c r="K878" t="s">
        <v>39</v>
      </c>
      <c r="L878" t="s">
        <v>30</v>
      </c>
      <c r="M878" t="s">
        <v>31</v>
      </c>
      <c r="N878" t="s">
        <v>4003</v>
      </c>
      <c r="Q878" s="4">
        <v>1</v>
      </c>
    </row>
    <row r="879" spans="1:20" x14ac:dyDescent="0.55000000000000004">
      <c r="A879" t="s">
        <v>4587</v>
      </c>
      <c r="C879" t="s">
        <v>576</v>
      </c>
      <c r="D879" t="s">
        <v>577</v>
      </c>
      <c r="E879" t="s">
        <v>39</v>
      </c>
      <c r="F879" t="s">
        <v>30</v>
      </c>
      <c r="G879" t="s">
        <v>31</v>
      </c>
      <c r="H879" s="11" t="s">
        <v>991</v>
      </c>
      <c r="I879" t="s">
        <v>1295</v>
      </c>
      <c r="J879" t="s">
        <v>1296</v>
      </c>
      <c r="K879" t="s">
        <v>362</v>
      </c>
      <c r="L879" t="s">
        <v>30</v>
      </c>
      <c r="M879" t="s">
        <v>31</v>
      </c>
      <c r="Q879" s="4">
        <v>1</v>
      </c>
    </row>
    <row r="880" spans="1:20" x14ac:dyDescent="0.55000000000000004">
      <c r="A880" t="s">
        <v>2278</v>
      </c>
      <c r="C880" t="s">
        <v>576</v>
      </c>
      <c r="D880" t="s">
        <v>577</v>
      </c>
      <c r="E880" t="s">
        <v>39</v>
      </c>
      <c r="F880" t="s">
        <v>30</v>
      </c>
      <c r="G880" t="s">
        <v>31</v>
      </c>
      <c r="H880" s="11" t="s">
        <v>991</v>
      </c>
      <c r="I880" t="s">
        <v>1394</v>
      </c>
      <c r="J880" t="s">
        <v>1395</v>
      </c>
      <c r="K880" t="s">
        <v>39</v>
      </c>
      <c r="L880" t="s">
        <v>30</v>
      </c>
      <c r="M880" t="s">
        <v>31</v>
      </c>
      <c r="N880" t="s">
        <v>991</v>
      </c>
      <c r="Q880" s="4">
        <v>1</v>
      </c>
    </row>
    <row r="881" spans="1:20" s="16" customFormat="1" ht="18.5" thickBot="1" x14ac:dyDescent="0.6">
      <c r="A881" s="16" t="s">
        <v>4588</v>
      </c>
      <c r="C881" s="16" t="s">
        <v>1394</v>
      </c>
      <c r="D881" s="16" t="s">
        <v>1395</v>
      </c>
      <c r="E881" s="16" t="s">
        <v>39</v>
      </c>
      <c r="F881" s="16" t="s">
        <v>30</v>
      </c>
      <c r="G881" s="16" t="s">
        <v>31</v>
      </c>
      <c r="H881" s="16" t="s">
        <v>991</v>
      </c>
      <c r="I881" s="16" t="s">
        <v>3779</v>
      </c>
      <c r="J881" s="16" t="s">
        <v>3780</v>
      </c>
      <c r="K881" s="16" t="s">
        <v>39</v>
      </c>
      <c r="L881" s="16" t="s">
        <v>30</v>
      </c>
      <c r="M881" s="16" t="s">
        <v>31</v>
      </c>
      <c r="N881" s="16" t="s">
        <v>991</v>
      </c>
      <c r="Q881" s="17">
        <f>S881/T881</f>
        <v>0.35</v>
      </c>
      <c r="S881" s="16">
        <f>MID(D881,FIND("x",D881)+7,4)*1</f>
        <v>2100</v>
      </c>
      <c r="T881" s="16">
        <v>6000</v>
      </c>
    </row>
    <row r="882" spans="1:20" x14ac:dyDescent="0.55000000000000004">
      <c r="A882" t="s">
        <v>2279</v>
      </c>
      <c r="C882" t="s">
        <v>579</v>
      </c>
      <c r="D882" t="s">
        <v>580</v>
      </c>
      <c r="E882" t="s">
        <v>35</v>
      </c>
      <c r="F882" t="s">
        <v>30</v>
      </c>
      <c r="G882" t="s">
        <v>31</v>
      </c>
      <c r="H882" t="s">
        <v>36</v>
      </c>
      <c r="I882" t="s">
        <v>581</v>
      </c>
      <c r="J882" t="s">
        <v>582</v>
      </c>
      <c r="K882" t="s">
        <v>39</v>
      </c>
      <c r="L882" t="s">
        <v>30</v>
      </c>
      <c r="M882" t="s">
        <v>31</v>
      </c>
      <c r="N882" t="s">
        <v>4003</v>
      </c>
      <c r="Q882" s="4">
        <v>1</v>
      </c>
    </row>
    <row r="883" spans="1:20" x14ac:dyDescent="0.55000000000000004">
      <c r="A883" t="s">
        <v>4589</v>
      </c>
      <c r="C883" t="s">
        <v>581</v>
      </c>
      <c r="D883" t="s">
        <v>582</v>
      </c>
      <c r="E883" t="s">
        <v>39</v>
      </c>
      <c r="F883" t="s">
        <v>30</v>
      </c>
      <c r="G883" t="s">
        <v>31</v>
      </c>
      <c r="H883" s="11" t="s">
        <v>991</v>
      </c>
      <c r="I883" t="s">
        <v>1295</v>
      </c>
      <c r="J883" t="s">
        <v>1296</v>
      </c>
      <c r="K883" t="s">
        <v>362</v>
      </c>
      <c r="L883" t="s">
        <v>30</v>
      </c>
      <c r="M883" t="s">
        <v>31</v>
      </c>
      <c r="Q883" s="4">
        <v>1</v>
      </c>
    </row>
    <row r="884" spans="1:20" x14ac:dyDescent="0.55000000000000004">
      <c r="A884" t="s">
        <v>2280</v>
      </c>
      <c r="C884" t="s">
        <v>581</v>
      </c>
      <c r="D884" t="s">
        <v>582</v>
      </c>
      <c r="E884" t="s">
        <v>39</v>
      </c>
      <c r="F884" t="s">
        <v>30</v>
      </c>
      <c r="G884" t="s">
        <v>31</v>
      </c>
      <c r="H884" s="11" t="s">
        <v>991</v>
      </c>
      <c r="I884" t="s">
        <v>1400</v>
      </c>
      <c r="J884" t="s">
        <v>1401</v>
      </c>
      <c r="K884" t="s">
        <v>39</v>
      </c>
      <c r="L884" t="s">
        <v>30</v>
      </c>
      <c r="M884" t="s">
        <v>31</v>
      </c>
      <c r="N884" t="s">
        <v>991</v>
      </c>
      <c r="Q884" s="4">
        <v>1</v>
      </c>
    </row>
    <row r="885" spans="1:20" s="16" customFormat="1" ht="18.5" thickBot="1" x14ac:dyDescent="0.6">
      <c r="A885" s="16" t="s">
        <v>4590</v>
      </c>
      <c r="C885" s="16" t="s">
        <v>1400</v>
      </c>
      <c r="D885" s="16" t="s">
        <v>1401</v>
      </c>
      <c r="E885" s="16" t="s">
        <v>39</v>
      </c>
      <c r="F885" s="16" t="s">
        <v>30</v>
      </c>
      <c r="G885" s="16" t="s">
        <v>31</v>
      </c>
      <c r="H885" s="16" t="s">
        <v>991</v>
      </c>
      <c r="I885" s="16" t="s">
        <v>3779</v>
      </c>
      <c r="J885" s="16" t="s">
        <v>3780</v>
      </c>
      <c r="K885" s="16" t="s">
        <v>39</v>
      </c>
      <c r="L885" s="16" t="s">
        <v>30</v>
      </c>
      <c r="M885" s="16" t="s">
        <v>31</v>
      </c>
      <c r="N885" s="16" t="s">
        <v>991</v>
      </c>
      <c r="Q885" s="17">
        <f>S885/T885</f>
        <v>0.36666666666666664</v>
      </c>
      <c r="S885" s="16">
        <f>MID(D885,FIND("x",D885)+7,4)*1</f>
        <v>2200</v>
      </c>
      <c r="T885" s="16">
        <v>6000</v>
      </c>
    </row>
    <row r="886" spans="1:20" x14ac:dyDescent="0.55000000000000004">
      <c r="A886" t="s">
        <v>2281</v>
      </c>
      <c r="C886" t="s">
        <v>584</v>
      </c>
      <c r="D886" t="s">
        <v>585</v>
      </c>
      <c r="E886" t="s">
        <v>35</v>
      </c>
      <c r="F886" t="s">
        <v>30</v>
      </c>
      <c r="G886" t="s">
        <v>31</v>
      </c>
      <c r="H886" t="s">
        <v>36</v>
      </c>
      <c r="I886" t="s">
        <v>586</v>
      </c>
      <c r="J886" t="s">
        <v>587</v>
      </c>
      <c r="K886" t="s">
        <v>39</v>
      </c>
      <c r="L886" t="s">
        <v>30</v>
      </c>
      <c r="M886" t="s">
        <v>31</v>
      </c>
      <c r="N886" t="s">
        <v>4003</v>
      </c>
      <c r="Q886" s="4">
        <v>1</v>
      </c>
    </row>
    <row r="887" spans="1:20" x14ac:dyDescent="0.55000000000000004">
      <c r="A887" t="s">
        <v>4591</v>
      </c>
      <c r="C887" t="s">
        <v>586</v>
      </c>
      <c r="D887" t="s">
        <v>587</v>
      </c>
      <c r="E887" t="s">
        <v>39</v>
      </c>
      <c r="F887" t="s">
        <v>30</v>
      </c>
      <c r="G887" t="s">
        <v>31</v>
      </c>
      <c r="H887" s="11" t="s">
        <v>991</v>
      </c>
      <c r="I887" t="s">
        <v>1295</v>
      </c>
      <c r="J887" t="s">
        <v>1296</v>
      </c>
      <c r="K887" t="s">
        <v>362</v>
      </c>
      <c r="L887" t="s">
        <v>30</v>
      </c>
      <c r="M887" t="s">
        <v>31</v>
      </c>
      <c r="Q887" s="4">
        <v>1</v>
      </c>
    </row>
    <row r="888" spans="1:20" x14ac:dyDescent="0.55000000000000004">
      <c r="A888" t="s">
        <v>2282</v>
      </c>
      <c r="C888" t="s">
        <v>586</v>
      </c>
      <c r="D888" t="s">
        <v>587</v>
      </c>
      <c r="E888" t="s">
        <v>39</v>
      </c>
      <c r="F888" t="s">
        <v>30</v>
      </c>
      <c r="G888" t="s">
        <v>31</v>
      </c>
      <c r="H888" s="11" t="s">
        <v>991</v>
      </c>
      <c r="I888" t="s">
        <v>1406</v>
      </c>
      <c r="J888" t="s">
        <v>1407</v>
      </c>
      <c r="K888" t="s">
        <v>39</v>
      </c>
      <c r="L888" t="s">
        <v>30</v>
      </c>
      <c r="M888" t="s">
        <v>31</v>
      </c>
      <c r="N888" t="s">
        <v>991</v>
      </c>
      <c r="Q888" s="4">
        <v>1</v>
      </c>
    </row>
    <row r="889" spans="1:20" s="16" customFormat="1" ht="18.5" thickBot="1" x14ac:dyDescent="0.6">
      <c r="A889" s="16" t="s">
        <v>4592</v>
      </c>
      <c r="C889" s="16" t="s">
        <v>1406</v>
      </c>
      <c r="D889" s="16" t="s">
        <v>1407</v>
      </c>
      <c r="E889" s="16" t="s">
        <v>39</v>
      </c>
      <c r="F889" s="16" t="s">
        <v>30</v>
      </c>
      <c r="G889" s="16" t="s">
        <v>31</v>
      </c>
      <c r="H889" s="16" t="s">
        <v>991</v>
      </c>
      <c r="I889" s="16" t="s">
        <v>3779</v>
      </c>
      <c r="J889" s="16" t="s">
        <v>3780</v>
      </c>
      <c r="K889" s="16" t="s">
        <v>39</v>
      </c>
      <c r="L889" s="16" t="s">
        <v>30</v>
      </c>
      <c r="M889" s="16" t="s">
        <v>31</v>
      </c>
      <c r="N889" s="16" t="s">
        <v>991</v>
      </c>
      <c r="Q889" s="17">
        <f>S889/T889</f>
        <v>0.38333333333333336</v>
      </c>
      <c r="S889" s="16">
        <f>MID(D889,FIND("x",D889)+7,4)*1</f>
        <v>2300</v>
      </c>
      <c r="T889" s="16">
        <v>6000</v>
      </c>
    </row>
    <row r="890" spans="1:20" x14ac:dyDescent="0.55000000000000004">
      <c r="A890" t="s">
        <v>2283</v>
      </c>
      <c r="C890" t="s">
        <v>589</v>
      </c>
      <c r="D890" t="s">
        <v>590</v>
      </c>
      <c r="E890" t="s">
        <v>35</v>
      </c>
      <c r="F890" t="s">
        <v>30</v>
      </c>
      <c r="G890" t="s">
        <v>31</v>
      </c>
      <c r="H890" t="s">
        <v>36</v>
      </c>
      <c r="I890" t="s">
        <v>591</v>
      </c>
      <c r="J890" t="s">
        <v>592</v>
      </c>
      <c r="K890" t="s">
        <v>39</v>
      </c>
      <c r="L890" t="s">
        <v>30</v>
      </c>
      <c r="M890" t="s">
        <v>31</v>
      </c>
      <c r="N890" t="s">
        <v>4003</v>
      </c>
      <c r="Q890" s="4">
        <v>1</v>
      </c>
    </row>
    <row r="891" spans="1:20" x14ac:dyDescent="0.55000000000000004">
      <c r="A891" t="s">
        <v>4593</v>
      </c>
      <c r="C891" t="s">
        <v>591</v>
      </c>
      <c r="D891" t="s">
        <v>592</v>
      </c>
      <c r="E891" t="s">
        <v>39</v>
      </c>
      <c r="F891" t="s">
        <v>30</v>
      </c>
      <c r="G891" t="s">
        <v>31</v>
      </c>
      <c r="H891" s="11" t="s">
        <v>991</v>
      </c>
      <c r="I891" t="s">
        <v>1295</v>
      </c>
      <c r="J891" t="s">
        <v>1296</v>
      </c>
      <c r="K891" t="s">
        <v>362</v>
      </c>
      <c r="L891" t="s">
        <v>30</v>
      </c>
      <c r="M891" t="s">
        <v>31</v>
      </c>
      <c r="Q891" s="4">
        <v>1</v>
      </c>
    </row>
    <row r="892" spans="1:20" x14ac:dyDescent="0.55000000000000004">
      <c r="A892" t="s">
        <v>2284</v>
      </c>
      <c r="C892" t="s">
        <v>591</v>
      </c>
      <c r="D892" t="s">
        <v>592</v>
      </c>
      <c r="E892" t="s">
        <v>39</v>
      </c>
      <c r="F892" t="s">
        <v>30</v>
      </c>
      <c r="G892" t="s">
        <v>31</v>
      </c>
      <c r="H892" s="11" t="s">
        <v>991</v>
      </c>
      <c r="I892" t="s">
        <v>1412</v>
      </c>
      <c r="J892" t="s">
        <v>1413</v>
      </c>
      <c r="K892" t="s">
        <v>39</v>
      </c>
      <c r="L892" t="s">
        <v>30</v>
      </c>
      <c r="M892" t="s">
        <v>31</v>
      </c>
      <c r="N892" t="s">
        <v>991</v>
      </c>
      <c r="Q892" s="4">
        <v>1</v>
      </c>
    </row>
    <row r="893" spans="1:20" s="16" customFormat="1" ht="18.5" thickBot="1" x14ac:dyDescent="0.6">
      <c r="A893" s="16" t="s">
        <v>4594</v>
      </c>
      <c r="C893" s="16" t="s">
        <v>1412</v>
      </c>
      <c r="D893" s="16" t="s">
        <v>1413</v>
      </c>
      <c r="E893" s="16" t="s">
        <v>39</v>
      </c>
      <c r="F893" s="16" t="s">
        <v>30</v>
      </c>
      <c r="G893" s="16" t="s">
        <v>31</v>
      </c>
      <c r="H893" s="16" t="s">
        <v>991</v>
      </c>
      <c r="I893" s="16" t="s">
        <v>3779</v>
      </c>
      <c r="J893" s="16" t="s">
        <v>3780</v>
      </c>
      <c r="K893" s="16" t="s">
        <v>39</v>
      </c>
      <c r="L893" s="16" t="s">
        <v>30</v>
      </c>
      <c r="M893" s="16" t="s">
        <v>31</v>
      </c>
      <c r="N893" s="16" t="s">
        <v>991</v>
      </c>
      <c r="Q893" s="17">
        <f>S893/T893</f>
        <v>0.4</v>
      </c>
      <c r="S893" s="16">
        <f>MID(D893,FIND("x",D893)+7,4)*1</f>
        <v>2400</v>
      </c>
      <c r="T893" s="16">
        <v>6000</v>
      </c>
    </row>
    <row r="894" spans="1:20" x14ac:dyDescent="0.55000000000000004">
      <c r="A894" t="s">
        <v>2285</v>
      </c>
      <c r="C894" t="s">
        <v>594</v>
      </c>
      <c r="D894" t="s">
        <v>595</v>
      </c>
      <c r="E894" t="s">
        <v>35</v>
      </c>
      <c r="F894" t="s">
        <v>30</v>
      </c>
      <c r="G894" t="s">
        <v>31</v>
      </c>
      <c r="H894" t="s">
        <v>36</v>
      </c>
      <c r="I894" t="s">
        <v>596</v>
      </c>
      <c r="J894" t="s">
        <v>597</v>
      </c>
      <c r="K894" t="s">
        <v>39</v>
      </c>
      <c r="L894" t="s">
        <v>30</v>
      </c>
      <c r="M894" t="s">
        <v>31</v>
      </c>
      <c r="N894" t="s">
        <v>4003</v>
      </c>
      <c r="Q894" s="4">
        <v>1</v>
      </c>
    </row>
    <row r="895" spans="1:20" x14ac:dyDescent="0.55000000000000004">
      <c r="A895" t="s">
        <v>4595</v>
      </c>
      <c r="C895" t="s">
        <v>596</v>
      </c>
      <c r="D895" t="s">
        <v>597</v>
      </c>
      <c r="E895" t="s">
        <v>39</v>
      </c>
      <c r="F895" t="s">
        <v>30</v>
      </c>
      <c r="G895" t="s">
        <v>31</v>
      </c>
      <c r="H895" s="11" t="s">
        <v>991</v>
      </c>
      <c r="I895" t="s">
        <v>1295</v>
      </c>
      <c r="J895" t="s">
        <v>1296</v>
      </c>
      <c r="K895" t="s">
        <v>362</v>
      </c>
      <c r="L895" t="s">
        <v>30</v>
      </c>
      <c r="M895" t="s">
        <v>31</v>
      </c>
      <c r="Q895" s="4">
        <v>1</v>
      </c>
    </row>
    <row r="896" spans="1:20" x14ac:dyDescent="0.55000000000000004">
      <c r="A896" t="s">
        <v>2286</v>
      </c>
      <c r="C896" t="s">
        <v>596</v>
      </c>
      <c r="D896" t="s">
        <v>597</v>
      </c>
      <c r="E896" t="s">
        <v>39</v>
      </c>
      <c r="F896" t="s">
        <v>30</v>
      </c>
      <c r="G896" t="s">
        <v>31</v>
      </c>
      <c r="H896" s="11" t="s">
        <v>991</v>
      </c>
      <c r="I896" t="s">
        <v>1418</v>
      </c>
      <c r="J896" t="s">
        <v>1419</v>
      </c>
      <c r="K896" t="s">
        <v>39</v>
      </c>
      <c r="L896" t="s">
        <v>30</v>
      </c>
      <c r="M896" t="s">
        <v>31</v>
      </c>
      <c r="N896" t="s">
        <v>991</v>
      </c>
      <c r="Q896" s="4">
        <v>1</v>
      </c>
    </row>
    <row r="897" spans="1:20" s="16" customFormat="1" ht="18.5" thickBot="1" x14ac:dyDescent="0.6">
      <c r="A897" s="16" t="s">
        <v>4596</v>
      </c>
      <c r="C897" s="16" t="s">
        <v>1418</v>
      </c>
      <c r="D897" s="16" t="s">
        <v>1419</v>
      </c>
      <c r="E897" s="16" t="s">
        <v>39</v>
      </c>
      <c r="F897" s="16" t="s">
        <v>30</v>
      </c>
      <c r="G897" s="16" t="s">
        <v>31</v>
      </c>
      <c r="H897" s="16" t="s">
        <v>991</v>
      </c>
      <c r="I897" s="16" t="s">
        <v>3779</v>
      </c>
      <c r="J897" s="16" t="s">
        <v>3780</v>
      </c>
      <c r="K897" s="16" t="s">
        <v>39</v>
      </c>
      <c r="L897" s="16" t="s">
        <v>30</v>
      </c>
      <c r="M897" s="16" t="s">
        <v>31</v>
      </c>
      <c r="N897" s="16" t="s">
        <v>991</v>
      </c>
      <c r="Q897" s="17">
        <f>S897/T897</f>
        <v>0.41666666666666669</v>
      </c>
      <c r="S897" s="16">
        <f>MID(D897,FIND("x",D897)+7,4)*1</f>
        <v>2500</v>
      </c>
      <c r="T897" s="16">
        <v>6000</v>
      </c>
    </row>
    <row r="898" spans="1:20" x14ac:dyDescent="0.55000000000000004">
      <c r="A898" t="s">
        <v>2287</v>
      </c>
      <c r="C898" t="s">
        <v>599</v>
      </c>
      <c r="D898" t="s">
        <v>600</v>
      </c>
      <c r="E898" t="s">
        <v>35</v>
      </c>
      <c r="F898" t="s">
        <v>30</v>
      </c>
      <c r="G898" t="s">
        <v>31</v>
      </c>
      <c r="H898" t="s">
        <v>36</v>
      </c>
      <c r="I898" t="s">
        <v>601</v>
      </c>
      <c r="J898" t="s">
        <v>602</v>
      </c>
      <c r="K898" t="s">
        <v>39</v>
      </c>
      <c r="L898" t="s">
        <v>30</v>
      </c>
      <c r="M898" t="s">
        <v>31</v>
      </c>
      <c r="N898" t="s">
        <v>4003</v>
      </c>
      <c r="Q898" s="4">
        <v>1</v>
      </c>
    </row>
    <row r="899" spans="1:20" x14ac:dyDescent="0.55000000000000004">
      <c r="A899" t="s">
        <v>4597</v>
      </c>
      <c r="C899" t="s">
        <v>601</v>
      </c>
      <c r="D899" t="s">
        <v>602</v>
      </c>
      <c r="E899" t="s">
        <v>39</v>
      </c>
      <c r="F899" t="s">
        <v>30</v>
      </c>
      <c r="G899" t="s">
        <v>31</v>
      </c>
      <c r="H899" s="11" t="s">
        <v>991</v>
      </c>
      <c r="I899" t="s">
        <v>1295</v>
      </c>
      <c r="J899" t="s">
        <v>1296</v>
      </c>
      <c r="K899" t="s">
        <v>362</v>
      </c>
      <c r="L899" t="s">
        <v>30</v>
      </c>
      <c r="M899" t="s">
        <v>31</v>
      </c>
      <c r="Q899" s="4">
        <v>1</v>
      </c>
    </row>
    <row r="900" spans="1:20" x14ac:dyDescent="0.55000000000000004">
      <c r="A900" t="s">
        <v>2290</v>
      </c>
      <c r="C900" t="s">
        <v>601</v>
      </c>
      <c r="D900" t="s">
        <v>602</v>
      </c>
      <c r="E900" t="s">
        <v>39</v>
      </c>
      <c r="F900" t="s">
        <v>30</v>
      </c>
      <c r="G900" t="s">
        <v>31</v>
      </c>
      <c r="H900" s="11" t="s">
        <v>991</v>
      </c>
      <c r="I900" t="s">
        <v>1424</v>
      </c>
      <c r="J900" t="s">
        <v>1425</v>
      </c>
      <c r="K900" t="s">
        <v>39</v>
      </c>
      <c r="L900" t="s">
        <v>30</v>
      </c>
      <c r="M900" t="s">
        <v>31</v>
      </c>
      <c r="N900" t="s">
        <v>991</v>
      </c>
      <c r="Q900" s="4">
        <v>1</v>
      </c>
    </row>
    <row r="901" spans="1:20" s="16" customFormat="1" ht="18.5" thickBot="1" x14ac:dyDescent="0.6">
      <c r="A901" s="16" t="s">
        <v>4598</v>
      </c>
      <c r="C901" s="16" t="s">
        <v>1424</v>
      </c>
      <c r="D901" s="16" t="s">
        <v>1425</v>
      </c>
      <c r="E901" s="16" t="s">
        <v>39</v>
      </c>
      <c r="F901" s="16" t="s">
        <v>30</v>
      </c>
      <c r="G901" s="16" t="s">
        <v>31</v>
      </c>
      <c r="H901" s="16" t="s">
        <v>991</v>
      </c>
      <c r="I901" s="16" t="s">
        <v>3779</v>
      </c>
      <c r="J901" s="16" t="s">
        <v>3780</v>
      </c>
      <c r="K901" s="16" t="s">
        <v>39</v>
      </c>
      <c r="L901" s="16" t="s">
        <v>30</v>
      </c>
      <c r="M901" s="16" t="s">
        <v>31</v>
      </c>
      <c r="N901" s="16" t="s">
        <v>991</v>
      </c>
      <c r="Q901" s="17">
        <f>S901/T901</f>
        <v>0.43333333333333335</v>
      </c>
      <c r="S901" s="16">
        <f>MID(D901,FIND("x",D901)+7,4)*1</f>
        <v>2600</v>
      </c>
      <c r="T901" s="16">
        <v>6000</v>
      </c>
    </row>
    <row r="902" spans="1:20" x14ac:dyDescent="0.55000000000000004">
      <c r="A902" t="s">
        <v>2293</v>
      </c>
      <c r="C902" t="s">
        <v>604</v>
      </c>
      <c r="D902" t="s">
        <v>605</v>
      </c>
      <c r="E902" t="s">
        <v>35</v>
      </c>
      <c r="F902" t="s">
        <v>30</v>
      </c>
      <c r="G902" t="s">
        <v>31</v>
      </c>
      <c r="H902" t="s">
        <v>36</v>
      </c>
      <c r="I902" t="s">
        <v>606</v>
      </c>
      <c r="J902" t="s">
        <v>607</v>
      </c>
      <c r="K902" t="s">
        <v>39</v>
      </c>
      <c r="L902" t="s">
        <v>30</v>
      </c>
      <c r="M902" t="s">
        <v>31</v>
      </c>
      <c r="N902" t="s">
        <v>4003</v>
      </c>
      <c r="Q902" s="4">
        <v>1</v>
      </c>
    </row>
    <row r="903" spans="1:20" x14ac:dyDescent="0.55000000000000004">
      <c r="A903" t="s">
        <v>4599</v>
      </c>
      <c r="C903" t="s">
        <v>606</v>
      </c>
      <c r="D903" t="s">
        <v>607</v>
      </c>
      <c r="E903" t="s">
        <v>39</v>
      </c>
      <c r="F903" t="s">
        <v>30</v>
      </c>
      <c r="G903" t="s">
        <v>31</v>
      </c>
      <c r="H903" s="11" t="s">
        <v>991</v>
      </c>
      <c r="I903" t="s">
        <v>1295</v>
      </c>
      <c r="J903" t="s">
        <v>1296</v>
      </c>
      <c r="K903" t="s">
        <v>362</v>
      </c>
      <c r="L903" t="s">
        <v>30</v>
      </c>
      <c r="M903" t="s">
        <v>31</v>
      </c>
      <c r="Q903" s="4">
        <v>1</v>
      </c>
    </row>
    <row r="904" spans="1:20" x14ac:dyDescent="0.55000000000000004">
      <c r="A904" t="s">
        <v>2294</v>
      </c>
      <c r="C904" t="s">
        <v>606</v>
      </c>
      <c r="D904" t="s">
        <v>607</v>
      </c>
      <c r="E904" t="s">
        <v>39</v>
      </c>
      <c r="F904" t="s">
        <v>30</v>
      </c>
      <c r="G904" t="s">
        <v>31</v>
      </c>
      <c r="H904" s="11" t="s">
        <v>991</v>
      </c>
      <c r="I904" t="s">
        <v>1430</v>
      </c>
      <c r="J904" t="s">
        <v>1431</v>
      </c>
      <c r="K904" t="s">
        <v>39</v>
      </c>
      <c r="L904" t="s">
        <v>30</v>
      </c>
      <c r="M904" t="s">
        <v>31</v>
      </c>
      <c r="N904" t="s">
        <v>991</v>
      </c>
      <c r="Q904" s="4">
        <v>1</v>
      </c>
    </row>
    <row r="905" spans="1:20" s="16" customFormat="1" ht="18.5" thickBot="1" x14ac:dyDescent="0.6">
      <c r="A905" s="16" t="s">
        <v>4600</v>
      </c>
      <c r="C905" s="16" t="s">
        <v>1430</v>
      </c>
      <c r="D905" s="16" t="s">
        <v>1431</v>
      </c>
      <c r="E905" s="16" t="s">
        <v>39</v>
      </c>
      <c r="F905" s="16" t="s">
        <v>30</v>
      </c>
      <c r="G905" s="16" t="s">
        <v>31</v>
      </c>
      <c r="H905" s="16" t="s">
        <v>991</v>
      </c>
      <c r="I905" s="16" t="s">
        <v>3779</v>
      </c>
      <c r="J905" s="16" t="s">
        <v>3780</v>
      </c>
      <c r="K905" s="16" t="s">
        <v>39</v>
      </c>
      <c r="L905" s="16" t="s">
        <v>30</v>
      </c>
      <c r="M905" s="16" t="s">
        <v>31</v>
      </c>
      <c r="N905" s="16" t="s">
        <v>991</v>
      </c>
      <c r="Q905" s="17">
        <f>S905/T905</f>
        <v>0.45</v>
      </c>
      <c r="S905" s="16">
        <f>MID(D905,FIND("x",D905)+7,4)*1</f>
        <v>2700</v>
      </c>
      <c r="T905" s="16">
        <v>6000</v>
      </c>
    </row>
    <row r="906" spans="1:20" x14ac:dyDescent="0.55000000000000004">
      <c r="A906" t="s">
        <v>2295</v>
      </c>
      <c r="C906" t="s">
        <v>609</v>
      </c>
      <c r="D906" t="s">
        <v>610</v>
      </c>
      <c r="E906" t="s">
        <v>35</v>
      </c>
      <c r="F906" t="s">
        <v>30</v>
      </c>
      <c r="G906" t="s">
        <v>31</v>
      </c>
      <c r="H906" t="s">
        <v>36</v>
      </c>
      <c r="I906" t="s">
        <v>611</v>
      </c>
      <c r="J906" t="s">
        <v>612</v>
      </c>
      <c r="K906" t="s">
        <v>39</v>
      </c>
      <c r="L906" t="s">
        <v>30</v>
      </c>
      <c r="M906" t="s">
        <v>31</v>
      </c>
      <c r="N906" t="s">
        <v>4003</v>
      </c>
      <c r="Q906" s="4">
        <v>1</v>
      </c>
    </row>
    <row r="907" spans="1:20" x14ac:dyDescent="0.55000000000000004">
      <c r="A907" t="s">
        <v>4601</v>
      </c>
      <c r="C907" t="s">
        <v>611</v>
      </c>
      <c r="D907" t="s">
        <v>612</v>
      </c>
      <c r="E907" t="s">
        <v>39</v>
      </c>
      <c r="F907" t="s">
        <v>30</v>
      </c>
      <c r="G907" t="s">
        <v>31</v>
      </c>
      <c r="H907" s="11" t="s">
        <v>991</v>
      </c>
      <c r="I907" t="s">
        <v>1295</v>
      </c>
      <c r="J907" t="s">
        <v>1296</v>
      </c>
      <c r="K907" t="s">
        <v>362</v>
      </c>
      <c r="L907" t="s">
        <v>30</v>
      </c>
      <c r="M907" t="s">
        <v>31</v>
      </c>
      <c r="Q907" s="4">
        <v>1</v>
      </c>
    </row>
    <row r="908" spans="1:20" x14ac:dyDescent="0.55000000000000004">
      <c r="A908" t="s">
        <v>2296</v>
      </c>
      <c r="C908" t="s">
        <v>611</v>
      </c>
      <c r="D908" t="s">
        <v>612</v>
      </c>
      <c r="E908" t="s">
        <v>39</v>
      </c>
      <c r="F908" t="s">
        <v>30</v>
      </c>
      <c r="G908" t="s">
        <v>31</v>
      </c>
      <c r="H908" s="11" t="s">
        <v>991</v>
      </c>
      <c r="I908" t="s">
        <v>1436</v>
      </c>
      <c r="J908" t="s">
        <v>1437</v>
      </c>
      <c r="K908" t="s">
        <v>39</v>
      </c>
      <c r="L908" t="s">
        <v>30</v>
      </c>
      <c r="M908" t="s">
        <v>31</v>
      </c>
      <c r="N908" t="s">
        <v>991</v>
      </c>
      <c r="Q908" s="4">
        <v>1</v>
      </c>
    </row>
    <row r="909" spans="1:20" s="16" customFormat="1" ht="18.5" thickBot="1" x14ac:dyDescent="0.6">
      <c r="A909" s="16" t="s">
        <v>4602</v>
      </c>
      <c r="C909" s="16" t="s">
        <v>1436</v>
      </c>
      <c r="D909" s="16" t="s">
        <v>1437</v>
      </c>
      <c r="E909" s="16" t="s">
        <v>39</v>
      </c>
      <c r="F909" s="16" t="s">
        <v>30</v>
      </c>
      <c r="G909" s="16" t="s">
        <v>31</v>
      </c>
      <c r="H909" s="16" t="s">
        <v>991</v>
      </c>
      <c r="I909" s="16" t="s">
        <v>3779</v>
      </c>
      <c r="J909" s="16" t="s">
        <v>3780</v>
      </c>
      <c r="K909" s="16" t="s">
        <v>39</v>
      </c>
      <c r="L909" s="16" t="s">
        <v>30</v>
      </c>
      <c r="M909" s="16" t="s">
        <v>31</v>
      </c>
      <c r="N909" s="16" t="s">
        <v>991</v>
      </c>
      <c r="Q909" s="17">
        <f>S909/T909</f>
        <v>0.46666666666666667</v>
      </c>
      <c r="S909" s="16">
        <f>MID(D909,FIND("x",D909)+7,4)*1</f>
        <v>2800</v>
      </c>
      <c r="T909" s="16">
        <v>6000</v>
      </c>
    </row>
    <row r="910" spans="1:20" x14ac:dyDescent="0.55000000000000004">
      <c r="A910" t="s">
        <v>2297</v>
      </c>
      <c r="C910" t="s">
        <v>614</v>
      </c>
      <c r="D910" t="s">
        <v>615</v>
      </c>
      <c r="E910" t="s">
        <v>35</v>
      </c>
      <c r="F910" t="s">
        <v>30</v>
      </c>
      <c r="G910" t="s">
        <v>31</v>
      </c>
      <c r="H910" t="s">
        <v>36</v>
      </c>
      <c r="I910" t="s">
        <v>616</v>
      </c>
      <c r="J910" t="s">
        <v>617</v>
      </c>
      <c r="K910" t="s">
        <v>39</v>
      </c>
      <c r="L910" t="s">
        <v>30</v>
      </c>
      <c r="M910" t="s">
        <v>31</v>
      </c>
      <c r="N910" t="s">
        <v>4003</v>
      </c>
      <c r="Q910" s="4">
        <v>1</v>
      </c>
    </row>
    <row r="911" spans="1:20" x14ac:dyDescent="0.55000000000000004">
      <c r="A911" t="s">
        <v>4603</v>
      </c>
      <c r="C911" t="s">
        <v>616</v>
      </c>
      <c r="D911" t="s">
        <v>617</v>
      </c>
      <c r="E911" t="s">
        <v>39</v>
      </c>
      <c r="F911" t="s">
        <v>30</v>
      </c>
      <c r="G911" t="s">
        <v>31</v>
      </c>
      <c r="H911" s="11" t="s">
        <v>991</v>
      </c>
      <c r="I911" t="s">
        <v>1295</v>
      </c>
      <c r="J911" t="s">
        <v>1296</v>
      </c>
      <c r="K911" t="s">
        <v>362</v>
      </c>
      <c r="L911" t="s">
        <v>30</v>
      </c>
      <c r="M911" t="s">
        <v>31</v>
      </c>
      <c r="Q911" s="4">
        <v>1</v>
      </c>
    </row>
    <row r="912" spans="1:20" x14ac:dyDescent="0.55000000000000004">
      <c r="A912" t="s">
        <v>2298</v>
      </c>
      <c r="C912" t="s">
        <v>616</v>
      </c>
      <c r="D912" t="s">
        <v>617</v>
      </c>
      <c r="E912" t="s">
        <v>39</v>
      </c>
      <c r="F912" t="s">
        <v>30</v>
      </c>
      <c r="G912" t="s">
        <v>31</v>
      </c>
      <c r="H912" s="11" t="s">
        <v>991</v>
      </c>
      <c r="I912" t="s">
        <v>1442</v>
      </c>
      <c r="J912" t="s">
        <v>1443</v>
      </c>
      <c r="K912" t="s">
        <v>39</v>
      </c>
      <c r="L912" t="s">
        <v>30</v>
      </c>
      <c r="M912" t="s">
        <v>31</v>
      </c>
      <c r="N912" t="s">
        <v>991</v>
      </c>
      <c r="Q912" s="4">
        <v>1</v>
      </c>
    </row>
    <row r="913" spans="1:20" s="16" customFormat="1" ht="18.5" thickBot="1" x14ac:dyDescent="0.6">
      <c r="A913" s="16" t="s">
        <v>4604</v>
      </c>
      <c r="C913" s="16" t="s">
        <v>1442</v>
      </c>
      <c r="D913" s="16" t="s">
        <v>1443</v>
      </c>
      <c r="E913" s="16" t="s">
        <v>39</v>
      </c>
      <c r="F913" s="16" t="s">
        <v>30</v>
      </c>
      <c r="G913" s="16" t="s">
        <v>31</v>
      </c>
      <c r="H913" s="16" t="s">
        <v>991</v>
      </c>
      <c r="I913" s="16" t="s">
        <v>3779</v>
      </c>
      <c r="J913" s="16" t="s">
        <v>3780</v>
      </c>
      <c r="K913" s="16" t="s">
        <v>39</v>
      </c>
      <c r="L913" s="16" t="s">
        <v>30</v>
      </c>
      <c r="M913" s="16" t="s">
        <v>31</v>
      </c>
      <c r="N913" s="16" t="s">
        <v>991</v>
      </c>
      <c r="Q913" s="17">
        <f>S913/T913</f>
        <v>0.48333333333333334</v>
      </c>
      <c r="S913" s="16">
        <f>MID(D913,FIND("x",D913)+7,4)*1</f>
        <v>2900</v>
      </c>
      <c r="T913" s="16">
        <v>6000</v>
      </c>
    </row>
    <row r="914" spans="1:20" x14ac:dyDescent="0.55000000000000004">
      <c r="A914" t="s">
        <v>2299</v>
      </c>
      <c r="C914" t="s">
        <v>619</v>
      </c>
      <c r="D914" t="s">
        <v>620</v>
      </c>
      <c r="E914" t="s">
        <v>35</v>
      </c>
      <c r="F914" t="s">
        <v>30</v>
      </c>
      <c r="G914" t="s">
        <v>31</v>
      </c>
      <c r="H914" t="s">
        <v>36</v>
      </c>
      <c r="I914" t="s">
        <v>621</v>
      </c>
      <c r="J914" t="s">
        <v>622</v>
      </c>
      <c r="K914" t="s">
        <v>39</v>
      </c>
      <c r="L914" t="s">
        <v>30</v>
      </c>
      <c r="M914" t="s">
        <v>31</v>
      </c>
      <c r="N914" t="s">
        <v>4003</v>
      </c>
      <c r="Q914" s="4">
        <v>1</v>
      </c>
    </row>
    <row r="915" spans="1:20" x14ac:dyDescent="0.55000000000000004">
      <c r="A915" t="s">
        <v>4605</v>
      </c>
      <c r="C915" t="s">
        <v>621</v>
      </c>
      <c r="D915" t="s">
        <v>622</v>
      </c>
      <c r="E915" t="s">
        <v>39</v>
      </c>
      <c r="F915" t="s">
        <v>30</v>
      </c>
      <c r="G915" t="s">
        <v>31</v>
      </c>
      <c r="H915" s="11" t="s">
        <v>991</v>
      </c>
      <c r="I915" t="s">
        <v>1295</v>
      </c>
      <c r="J915" t="s">
        <v>1296</v>
      </c>
      <c r="K915" t="s">
        <v>362</v>
      </c>
      <c r="L915" t="s">
        <v>30</v>
      </c>
      <c r="M915" t="s">
        <v>31</v>
      </c>
      <c r="Q915" s="4">
        <v>1</v>
      </c>
    </row>
    <row r="916" spans="1:20" x14ac:dyDescent="0.55000000000000004">
      <c r="A916" t="s">
        <v>2300</v>
      </c>
      <c r="C916" t="s">
        <v>621</v>
      </c>
      <c r="D916" t="s">
        <v>622</v>
      </c>
      <c r="E916" t="s">
        <v>39</v>
      </c>
      <c r="F916" t="s">
        <v>30</v>
      </c>
      <c r="G916" t="s">
        <v>31</v>
      </c>
      <c r="H916" s="11" t="s">
        <v>991</v>
      </c>
      <c r="I916" t="s">
        <v>1448</v>
      </c>
      <c r="J916" t="s">
        <v>1449</v>
      </c>
      <c r="K916" t="s">
        <v>39</v>
      </c>
      <c r="L916" t="s">
        <v>30</v>
      </c>
      <c r="M916" t="s">
        <v>31</v>
      </c>
      <c r="N916" t="s">
        <v>991</v>
      </c>
      <c r="Q916" s="4">
        <v>1</v>
      </c>
    </row>
    <row r="917" spans="1:20" s="16" customFormat="1" ht="18.5" thickBot="1" x14ac:dyDescent="0.6">
      <c r="A917" s="16" t="s">
        <v>4606</v>
      </c>
      <c r="C917" s="16" t="s">
        <v>1448</v>
      </c>
      <c r="D917" s="16" t="s">
        <v>1449</v>
      </c>
      <c r="E917" s="16" t="s">
        <v>39</v>
      </c>
      <c r="F917" s="16" t="s">
        <v>30</v>
      </c>
      <c r="G917" s="16" t="s">
        <v>31</v>
      </c>
      <c r="H917" s="16" t="s">
        <v>991</v>
      </c>
      <c r="I917" s="16" t="s">
        <v>3779</v>
      </c>
      <c r="J917" s="16" t="s">
        <v>3780</v>
      </c>
      <c r="K917" s="16" t="s">
        <v>39</v>
      </c>
      <c r="L917" s="16" t="s">
        <v>30</v>
      </c>
      <c r="M917" s="16" t="s">
        <v>31</v>
      </c>
      <c r="N917" s="16" t="s">
        <v>991</v>
      </c>
      <c r="Q917" s="17">
        <f>S917/T917</f>
        <v>0.5</v>
      </c>
      <c r="S917" s="16">
        <f>MID(D917,FIND("x",D917)+7,4)*1</f>
        <v>3000</v>
      </c>
      <c r="T917" s="16">
        <v>6000</v>
      </c>
    </row>
    <row r="918" spans="1:20" x14ac:dyDescent="0.55000000000000004">
      <c r="A918" t="s">
        <v>2301</v>
      </c>
      <c r="C918" t="s">
        <v>624</v>
      </c>
      <c r="D918" t="s">
        <v>625</v>
      </c>
      <c r="E918" t="s">
        <v>35</v>
      </c>
      <c r="F918" t="s">
        <v>30</v>
      </c>
      <c r="G918" t="s">
        <v>31</v>
      </c>
      <c r="H918" t="s">
        <v>36</v>
      </c>
      <c r="I918" t="s">
        <v>626</v>
      </c>
      <c r="J918" t="s">
        <v>627</v>
      </c>
      <c r="K918" t="s">
        <v>39</v>
      </c>
      <c r="L918" t="s">
        <v>30</v>
      </c>
      <c r="M918" t="s">
        <v>31</v>
      </c>
      <c r="N918" t="s">
        <v>4003</v>
      </c>
      <c r="Q918" s="4">
        <v>1</v>
      </c>
    </row>
    <row r="919" spans="1:20" x14ac:dyDescent="0.55000000000000004">
      <c r="A919" t="s">
        <v>4607</v>
      </c>
      <c r="C919" t="s">
        <v>626</v>
      </c>
      <c r="D919" t="s">
        <v>627</v>
      </c>
      <c r="E919" t="s">
        <v>39</v>
      </c>
      <c r="F919" t="s">
        <v>30</v>
      </c>
      <c r="G919" t="s">
        <v>31</v>
      </c>
      <c r="H919" s="11" t="s">
        <v>991</v>
      </c>
      <c r="I919" t="s">
        <v>1295</v>
      </c>
      <c r="J919" t="s">
        <v>1296</v>
      </c>
      <c r="K919" t="s">
        <v>362</v>
      </c>
      <c r="L919" t="s">
        <v>30</v>
      </c>
      <c r="M919" t="s">
        <v>31</v>
      </c>
      <c r="Q919" s="4">
        <v>1</v>
      </c>
    </row>
    <row r="920" spans="1:20" x14ac:dyDescent="0.55000000000000004">
      <c r="A920" t="s">
        <v>2302</v>
      </c>
      <c r="C920" t="s">
        <v>626</v>
      </c>
      <c r="D920" t="s">
        <v>627</v>
      </c>
      <c r="E920" t="s">
        <v>39</v>
      </c>
      <c r="F920" t="s">
        <v>30</v>
      </c>
      <c r="G920" t="s">
        <v>31</v>
      </c>
      <c r="H920" s="11" t="s">
        <v>991</v>
      </c>
      <c r="I920" t="s">
        <v>1454</v>
      </c>
      <c r="J920" t="s">
        <v>1455</v>
      </c>
      <c r="K920" t="s">
        <v>39</v>
      </c>
      <c r="L920" t="s">
        <v>30</v>
      </c>
      <c r="M920" t="s">
        <v>31</v>
      </c>
      <c r="N920" t="s">
        <v>991</v>
      </c>
      <c r="Q920" s="4">
        <v>1</v>
      </c>
    </row>
    <row r="921" spans="1:20" s="16" customFormat="1" ht="18.5" thickBot="1" x14ac:dyDescent="0.6">
      <c r="A921" s="16" t="s">
        <v>2303</v>
      </c>
      <c r="C921" s="16" t="s">
        <v>1454</v>
      </c>
      <c r="D921" s="16" t="s">
        <v>1455</v>
      </c>
      <c r="E921" s="16" t="s">
        <v>39</v>
      </c>
      <c r="F921" s="16" t="s">
        <v>30</v>
      </c>
      <c r="G921" s="16" t="s">
        <v>31</v>
      </c>
      <c r="H921" s="16" t="s">
        <v>991</v>
      </c>
      <c r="I921" s="16" t="s">
        <v>3779</v>
      </c>
      <c r="J921" s="16" t="s">
        <v>3780</v>
      </c>
      <c r="K921" s="16" t="s">
        <v>39</v>
      </c>
      <c r="L921" s="16" t="s">
        <v>30</v>
      </c>
      <c r="M921" s="16" t="s">
        <v>31</v>
      </c>
      <c r="N921" s="16" t="s">
        <v>991</v>
      </c>
      <c r="Q921" s="17">
        <f>S921/T921</f>
        <v>0.51666666666666672</v>
      </c>
      <c r="S921" s="16">
        <f>MID(D921,FIND("x",D921)+7,4)*1</f>
        <v>3100</v>
      </c>
      <c r="T921" s="16">
        <v>6000</v>
      </c>
    </row>
    <row r="922" spans="1:20" x14ac:dyDescent="0.55000000000000004">
      <c r="A922" t="s">
        <v>4608</v>
      </c>
      <c r="C922" t="s">
        <v>629</v>
      </c>
      <c r="D922" t="s">
        <v>630</v>
      </c>
      <c r="E922" t="s">
        <v>35</v>
      </c>
      <c r="F922" t="s">
        <v>30</v>
      </c>
      <c r="G922" t="s">
        <v>31</v>
      </c>
      <c r="H922" t="s">
        <v>36</v>
      </c>
      <c r="I922" t="s">
        <v>631</v>
      </c>
      <c r="J922" t="s">
        <v>632</v>
      </c>
      <c r="K922" t="s">
        <v>39</v>
      </c>
      <c r="L922" t="s">
        <v>30</v>
      </c>
      <c r="M922" t="s">
        <v>31</v>
      </c>
      <c r="N922" t="s">
        <v>4003</v>
      </c>
      <c r="Q922" s="4">
        <v>1</v>
      </c>
    </row>
    <row r="923" spans="1:20" x14ac:dyDescent="0.55000000000000004">
      <c r="A923" t="s">
        <v>2304</v>
      </c>
      <c r="C923" t="s">
        <v>631</v>
      </c>
      <c r="D923" t="s">
        <v>632</v>
      </c>
      <c r="E923" t="s">
        <v>39</v>
      </c>
      <c r="F923" t="s">
        <v>30</v>
      </c>
      <c r="G923" t="s">
        <v>31</v>
      </c>
      <c r="H923" s="11" t="s">
        <v>991</v>
      </c>
      <c r="I923" t="s">
        <v>1295</v>
      </c>
      <c r="J923" t="s">
        <v>1296</v>
      </c>
      <c r="K923" t="s">
        <v>362</v>
      </c>
      <c r="L923" t="s">
        <v>30</v>
      </c>
      <c r="M923" t="s">
        <v>31</v>
      </c>
      <c r="Q923" s="4">
        <v>1</v>
      </c>
    </row>
    <row r="924" spans="1:20" x14ac:dyDescent="0.55000000000000004">
      <c r="A924" t="s">
        <v>4609</v>
      </c>
      <c r="C924" t="s">
        <v>631</v>
      </c>
      <c r="D924" t="s">
        <v>632</v>
      </c>
      <c r="E924" t="s">
        <v>39</v>
      </c>
      <c r="F924" t="s">
        <v>30</v>
      </c>
      <c r="G924" t="s">
        <v>31</v>
      </c>
      <c r="H924" s="11" t="s">
        <v>991</v>
      </c>
      <c r="I924" t="s">
        <v>1460</v>
      </c>
      <c r="J924" t="s">
        <v>1461</v>
      </c>
      <c r="K924" t="s">
        <v>39</v>
      </c>
      <c r="L924" t="s">
        <v>30</v>
      </c>
      <c r="M924" t="s">
        <v>31</v>
      </c>
      <c r="N924" t="s">
        <v>991</v>
      </c>
      <c r="Q924" s="4">
        <v>1</v>
      </c>
    </row>
    <row r="925" spans="1:20" s="16" customFormat="1" ht="18.5" thickBot="1" x14ac:dyDescent="0.6">
      <c r="A925" s="16" t="s">
        <v>2305</v>
      </c>
      <c r="C925" s="16" t="s">
        <v>1460</v>
      </c>
      <c r="D925" s="16" t="s">
        <v>1461</v>
      </c>
      <c r="E925" s="16" t="s">
        <v>39</v>
      </c>
      <c r="F925" s="16" t="s">
        <v>30</v>
      </c>
      <c r="G925" s="16" t="s">
        <v>31</v>
      </c>
      <c r="H925" s="16" t="s">
        <v>991</v>
      </c>
      <c r="I925" s="16" t="s">
        <v>3779</v>
      </c>
      <c r="J925" s="16" t="s">
        <v>3780</v>
      </c>
      <c r="K925" s="16" t="s">
        <v>39</v>
      </c>
      <c r="L925" s="16" t="s">
        <v>30</v>
      </c>
      <c r="M925" s="16" t="s">
        <v>31</v>
      </c>
      <c r="N925" s="16" t="s">
        <v>991</v>
      </c>
      <c r="Q925" s="17">
        <f>S925/T925</f>
        <v>0.53333333333333333</v>
      </c>
      <c r="S925" s="16">
        <f>MID(D925,FIND("x",D925)+7,4)*1</f>
        <v>3200</v>
      </c>
      <c r="T925" s="16">
        <v>6000</v>
      </c>
    </row>
    <row r="926" spans="1:20" x14ac:dyDescent="0.55000000000000004">
      <c r="A926" t="s">
        <v>4610</v>
      </c>
      <c r="C926" t="s">
        <v>634</v>
      </c>
      <c r="D926" t="s">
        <v>635</v>
      </c>
      <c r="E926" t="s">
        <v>35</v>
      </c>
      <c r="F926" t="s">
        <v>30</v>
      </c>
      <c r="G926" t="s">
        <v>31</v>
      </c>
      <c r="H926" t="s">
        <v>36</v>
      </c>
      <c r="I926" t="s">
        <v>636</v>
      </c>
      <c r="J926" t="s">
        <v>637</v>
      </c>
      <c r="K926" t="s">
        <v>39</v>
      </c>
      <c r="L926" t="s">
        <v>30</v>
      </c>
      <c r="M926" t="s">
        <v>31</v>
      </c>
      <c r="N926" t="s">
        <v>4003</v>
      </c>
      <c r="Q926" s="4">
        <v>1</v>
      </c>
    </row>
    <row r="927" spans="1:20" x14ac:dyDescent="0.55000000000000004">
      <c r="A927" t="s">
        <v>2306</v>
      </c>
      <c r="C927" t="s">
        <v>636</v>
      </c>
      <c r="D927" t="s">
        <v>637</v>
      </c>
      <c r="E927" t="s">
        <v>39</v>
      </c>
      <c r="F927" t="s">
        <v>30</v>
      </c>
      <c r="G927" t="s">
        <v>31</v>
      </c>
      <c r="H927" s="11" t="s">
        <v>991</v>
      </c>
      <c r="I927" t="s">
        <v>1295</v>
      </c>
      <c r="J927" t="s">
        <v>1296</v>
      </c>
      <c r="K927" t="s">
        <v>362</v>
      </c>
      <c r="L927" t="s">
        <v>30</v>
      </c>
      <c r="M927" t="s">
        <v>31</v>
      </c>
      <c r="Q927" s="4">
        <v>1</v>
      </c>
    </row>
    <row r="928" spans="1:20" x14ac:dyDescent="0.55000000000000004">
      <c r="A928" t="s">
        <v>4611</v>
      </c>
      <c r="C928" t="s">
        <v>636</v>
      </c>
      <c r="D928" t="s">
        <v>637</v>
      </c>
      <c r="E928" t="s">
        <v>39</v>
      </c>
      <c r="F928" t="s">
        <v>30</v>
      </c>
      <c r="G928" t="s">
        <v>31</v>
      </c>
      <c r="H928" s="11" t="s">
        <v>991</v>
      </c>
      <c r="I928" t="s">
        <v>1466</v>
      </c>
      <c r="J928" t="s">
        <v>1467</v>
      </c>
      <c r="K928" t="s">
        <v>39</v>
      </c>
      <c r="L928" t="s">
        <v>30</v>
      </c>
      <c r="M928" t="s">
        <v>31</v>
      </c>
      <c r="N928" t="s">
        <v>991</v>
      </c>
      <c r="Q928" s="4">
        <v>1</v>
      </c>
    </row>
    <row r="929" spans="1:20" s="16" customFormat="1" ht="18.5" thickBot="1" x14ac:dyDescent="0.6">
      <c r="A929" s="16" t="s">
        <v>2307</v>
      </c>
      <c r="C929" s="16" t="s">
        <v>1466</v>
      </c>
      <c r="D929" s="16" t="s">
        <v>1467</v>
      </c>
      <c r="E929" s="16" t="s">
        <v>39</v>
      </c>
      <c r="F929" s="16" t="s">
        <v>30</v>
      </c>
      <c r="G929" s="16" t="s">
        <v>31</v>
      </c>
      <c r="H929" s="16" t="s">
        <v>991</v>
      </c>
      <c r="I929" s="16" t="s">
        <v>3779</v>
      </c>
      <c r="J929" s="16" t="s">
        <v>3780</v>
      </c>
      <c r="K929" s="16" t="s">
        <v>39</v>
      </c>
      <c r="L929" s="16" t="s">
        <v>30</v>
      </c>
      <c r="M929" s="16" t="s">
        <v>31</v>
      </c>
      <c r="N929" s="16" t="s">
        <v>991</v>
      </c>
      <c r="Q929" s="17">
        <f>S929/T929</f>
        <v>0.55000000000000004</v>
      </c>
      <c r="S929" s="16">
        <f>MID(D929,FIND("x",D929)+7,4)*1</f>
        <v>3300</v>
      </c>
      <c r="T929" s="16">
        <v>6000</v>
      </c>
    </row>
    <row r="930" spans="1:20" x14ac:dyDescent="0.55000000000000004">
      <c r="A930" t="s">
        <v>4612</v>
      </c>
      <c r="C930" t="s">
        <v>639</v>
      </c>
      <c r="D930" t="s">
        <v>640</v>
      </c>
      <c r="E930" t="s">
        <v>35</v>
      </c>
      <c r="F930" t="s">
        <v>30</v>
      </c>
      <c r="G930" t="s">
        <v>31</v>
      </c>
      <c r="H930" t="s">
        <v>36</v>
      </c>
      <c r="I930" t="s">
        <v>641</v>
      </c>
      <c r="J930" t="s">
        <v>642</v>
      </c>
      <c r="K930" t="s">
        <v>39</v>
      </c>
      <c r="L930" t="s">
        <v>30</v>
      </c>
      <c r="M930" t="s">
        <v>31</v>
      </c>
      <c r="N930" t="s">
        <v>4003</v>
      </c>
      <c r="Q930" s="4">
        <v>1</v>
      </c>
    </row>
    <row r="931" spans="1:20" x14ac:dyDescent="0.55000000000000004">
      <c r="A931" t="s">
        <v>2308</v>
      </c>
      <c r="C931" t="s">
        <v>641</v>
      </c>
      <c r="D931" t="s">
        <v>642</v>
      </c>
      <c r="E931" t="s">
        <v>39</v>
      </c>
      <c r="F931" t="s">
        <v>30</v>
      </c>
      <c r="G931" t="s">
        <v>31</v>
      </c>
      <c r="H931" s="11" t="s">
        <v>991</v>
      </c>
      <c r="I931" t="s">
        <v>1295</v>
      </c>
      <c r="J931" t="s">
        <v>1296</v>
      </c>
      <c r="K931" t="s">
        <v>362</v>
      </c>
      <c r="L931" t="s">
        <v>30</v>
      </c>
      <c r="M931" t="s">
        <v>31</v>
      </c>
      <c r="Q931" s="4">
        <v>1</v>
      </c>
    </row>
    <row r="932" spans="1:20" x14ac:dyDescent="0.55000000000000004">
      <c r="A932" t="s">
        <v>4613</v>
      </c>
      <c r="C932" t="s">
        <v>641</v>
      </c>
      <c r="D932" t="s">
        <v>642</v>
      </c>
      <c r="E932" t="s">
        <v>39</v>
      </c>
      <c r="F932" t="s">
        <v>30</v>
      </c>
      <c r="G932" t="s">
        <v>31</v>
      </c>
      <c r="H932" s="11" t="s">
        <v>991</v>
      </c>
      <c r="I932" t="s">
        <v>1472</v>
      </c>
      <c r="J932" t="s">
        <v>1473</v>
      </c>
      <c r="K932" t="s">
        <v>39</v>
      </c>
      <c r="L932" t="s">
        <v>30</v>
      </c>
      <c r="M932" t="s">
        <v>31</v>
      </c>
      <c r="N932" t="s">
        <v>991</v>
      </c>
      <c r="Q932" s="4">
        <v>1</v>
      </c>
    </row>
    <row r="933" spans="1:20" s="16" customFormat="1" ht="18.5" thickBot="1" x14ac:dyDescent="0.6">
      <c r="A933" s="16" t="s">
        <v>2309</v>
      </c>
      <c r="C933" s="16" t="s">
        <v>1472</v>
      </c>
      <c r="D933" s="16" t="s">
        <v>1473</v>
      </c>
      <c r="E933" s="16" t="s">
        <v>39</v>
      </c>
      <c r="F933" s="16" t="s">
        <v>30</v>
      </c>
      <c r="G933" s="16" t="s">
        <v>31</v>
      </c>
      <c r="H933" s="16" t="s">
        <v>991</v>
      </c>
      <c r="I933" s="16" t="s">
        <v>3779</v>
      </c>
      <c r="J933" s="16" t="s">
        <v>3780</v>
      </c>
      <c r="K933" s="16" t="s">
        <v>39</v>
      </c>
      <c r="L933" s="16" t="s">
        <v>30</v>
      </c>
      <c r="M933" s="16" t="s">
        <v>31</v>
      </c>
      <c r="N933" s="16" t="s">
        <v>991</v>
      </c>
      <c r="Q933" s="17">
        <f>S933/T933</f>
        <v>0.56666666666666665</v>
      </c>
      <c r="S933" s="16">
        <f>MID(D933,FIND("x",D933)+7,4)*1</f>
        <v>3400</v>
      </c>
      <c r="T933" s="16">
        <v>6000</v>
      </c>
    </row>
    <row r="934" spans="1:20" x14ac:dyDescent="0.55000000000000004">
      <c r="A934" t="s">
        <v>4614</v>
      </c>
      <c r="C934" t="s">
        <v>644</v>
      </c>
      <c r="D934" t="s">
        <v>645</v>
      </c>
      <c r="E934" t="s">
        <v>35</v>
      </c>
      <c r="F934" t="s">
        <v>30</v>
      </c>
      <c r="G934" t="s">
        <v>31</v>
      </c>
      <c r="H934" t="s">
        <v>36</v>
      </c>
      <c r="I934" t="s">
        <v>646</v>
      </c>
      <c r="J934" t="s">
        <v>647</v>
      </c>
      <c r="K934" t="s">
        <v>39</v>
      </c>
      <c r="L934" t="s">
        <v>30</v>
      </c>
      <c r="M934" t="s">
        <v>31</v>
      </c>
      <c r="N934" t="s">
        <v>4003</v>
      </c>
      <c r="Q934" s="4">
        <v>1</v>
      </c>
    </row>
    <row r="935" spans="1:20" x14ac:dyDescent="0.55000000000000004">
      <c r="A935" t="s">
        <v>2310</v>
      </c>
      <c r="C935" t="s">
        <v>646</v>
      </c>
      <c r="D935" t="s">
        <v>647</v>
      </c>
      <c r="E935" t="s">
        <v>39</v>
      </c>
      <c r="F935" t="s">
        <v>30</v>
      </c>
      <c r="G935" t="s">
        <v>31</v>
      </c>
      <c r="H935" s="11" t="s">
        <v>991</v>
      </c>
      <c r="I935" t="s">
        <v>1295</v>
      </c>
      <c r="J935" t="s">
        <v>1296</v>
      </c>
      <c r="K935" t="s">
        <v>362</v>
      </c>
      <c r="L935" t="s">
        <v>30</v>
      </c>
      <c r="M935" t="s">
        <v>31</v>
      </c>
      <c r="Q935" s="4">
        <v>1</v>
      </c>
    </row>
    <row r="936" spans="1:20" x14ac:dyDescent="0.55000000000000004">
      <c r="A936" t="s">
        <v>4615</v>
      </c>
      <c r="C936" t="s">
        <v>646</v>
      </c>
      <c r="D936" t="s">
        <v>647</v>
      </c>
      <c r="E936" t="s">
        <v>39</v>
      </c>
      <c r="F936" t="s">
        <v>30</v>
      </c>
      <c r="G936" t="s">
        <v>31</v>
      </c>
      <c r="H936" s="11" t="s">
        <v>991</v>
      </c>
      <c r="I936" t="s">
        <v>1478</v>
      </c>
      <c r="J936" t="s">
        <v>1479</v>
      </c>
      <c r="K936" t="s">
        <v>39</v>
      </c>
      <c r="L936" t="s">
        <v>30</v>
      </c>
      <c r="M936" t="s">
        <v>31</v>
      </c>
      <c r="N936" t="s">
        <v>991</v>
      </c>
      <c r="Q936" s="4">
        <v>1</v>
      </c>
    </row>
    <row r="937" spans="1:20" s="16" customFormat="1" ht="18.5" thickBot="1" x14ac:dyDescent="0.6">
      <c r="A937" s="16" t="s">
        <v>2311</v>
      </c>
      <c r="C937" s="16" t="s">
        <v>1478</v>
      </c>
      <c r="D937" s="16" t="s">
        <v>1479</v>
      </c>
      <c r="E937" s="16" t="s">
        <v>39</v>
      </c>
      <c r="F937" s="16" t="s">
        <v>30</v>
      </c>
      <c r="G937" s="16" t="s">
        <v>31</v>
      </c>
      <c r="H937" s="16" t="s">
        <v>991</v>
      </c>
      <c r="I937" s="16" t="s">
        <v>3779</v>
      </c>
      <c r="J937" s="16" t="s">
        <v>3780</v>
      </c>
      <c r="K937" s="16" t="s">
        <v>39</v>
      </c>
      <c r="L937" s="16" t="s">
        <v>30</v>
      </c>
      <c r="M937" s="16" t="s">
        <v>31</v>
      </c>
      <c r="N937" s="16" t="s">
        <v>991</v>
      </c>
      <c r="Q937" s="17">
        <f>S937/T937</f>
        <v>0.58333333333333337</v>
      </c>
      <c r="S937" s="16">
        <f>MID(D937,FIND("x",D937)+7,4)*1</f>
        <v>3500</v>
      </c>
      <c r="T937" s="16">
        <v>6000</v>
      </c>
    </row>
    <row r="938" spans="1:20" x14ac:dyDescent="0.55000000000000004">
      <c r="A938" t="s">
        <v>4616</v>
      </c>
      <c r="C938" t="s">
        <v>649</v>
      </c>
      <c r="D938" t="s">
        <v>650</v>
      </c>
      <c r="E938" t="s">
        <v>35</v>
      </c>
      <c r="F938" t="s">
        <v>30</v>
      </c>
      <c r="G938" t="s">
        <v>31</v>
      </c>
      <c r="H938" t="s">
        <v>36</v>
      </c>
      <c r="I938" t="s">
        <v>651</v>
      </c>
      <c r="J938" t="s">
        <v>652</v>
      </c>
      <c r="K938" t="s">
        <v>39</v>
      </c>
      <c r="L938" t="s">
        <v>30</v>
      </c>
      <c r="M938" t="s">
        <v>31</v>
      </c>
      <c r="N938" t="s">
        <v>4003</v>
      </c>
      <c r="Q938" s="4">
        <v>1</v>
      </c>
    </row>
    <row r="939" spans="1:20" x14ac:dyDescent="0.55000000000000004">
      <c r="A939" t="s">
        <v>2312</v>
      </c>
      <c r="C939" t="s">
        <v>651</v>
      </c>
      <c r="D939" t="s">
        <v>652</v>
      </c>
      <c r="E939" t="s">
        <v>39</v>
      </c>
      <c r="F939" t="s">
        <v>30</v>
      </c>
      <c r="G939" t="s">
        <v>31</v>
      </c>
      <c r="H939" s="11" t="s">
        <v>991</v>
      </c>
      <c r="I939" t="s">
        <v>1295</v>
      </c>
      <c r="J939" t="s">
        <v>1296</v>
      </c>
      <c r="K939" t="s">
        <v>362</v>
      </c>
      <c r="L939" t="s">
        <v>30</v>
      </c>
      <c r="M939" t="s">
        <v>31</v>
      </c>
      <c r="Q939" s="4">
        <v>1</v>
      </c>
    </row>
    <row r="940" spans="1:20" x14ac:dyDescent="0.55000000000000004">
      <c r="A940" t="s">
        <v>4617</v>
      </c>
      <c r="C940" t="s">
        <v>651</v>
      </c>
      <c r="D940" t="s">
        <v>652</v>
      </c>
      <c r="E940" t="s">
        <v>39</v>
      </c>
      <c r="F940" t="s">
        <v>30</v>
      </c>
      <c r="G940" t="s">
        <v>31</v>
      </c>
      <c r="H940" s="11" t="s">
        <v>991</v>
      </c>
      <c r="I940" t="s">
        <v>1484</v>
      </c>
      <c r="J940" t="s">
        <v>1485</v>
      </c>
      <c r="K940" t="s">
        <v>39</v>
      </c>
      <c r="L940" t="s">
        <v>30</v>
      </c>
      <c r="M940" t="s">
        <v>31</v>
      </c>
      <c r="N940" t="s">
        <v>991</v>
      </c>
      <c r="Q940" s="4">
        <v>1</v>
      </c>
    </row>
    <row r="941" spans="1:20" s="16" customFormat="1" ht="18.5" thickBot="1" x14ac:dyDescent="0.6">
      <c r="A941" s="16" t="s">
        <v>2313</v>
      </c>
      <c r="C941" s="16" t="s">
        <v>1484</v>
      </c>
      <c r="D941" s="16" t="s">
        <v>1485</v>
      </c>
      <c r="E941" s="16" t="s">
        <v>39</v>
      </c>
      <c r="F941" s="16" t="s">
        <v>30</v>
      </c>
      <c r="G941" s="16" t="s">
        <v>31</v>
      </c>
      <c r="H941" s="16" t="s">
        <v>991</v>
      </c>
      <c r="I941" s="16" t="s">
        <v>3779</v>
      </c>
      <c r="J941" s="16" t="s">
        <v>3780</v>
      </c>
      <c r="K941" s="16" t="s">
        <v>39</v>
      </c>
      <c r="L941" s="16" t="s">
        <v>30</v>
      </c>
      <c r="M941" s="16" t="s">
        <v>31</v>
      </c>
      <c r="N941" s="16" t="s">
        <v>991</v>
      </c>
      <c r="Q941" s="17">
        <f>S941/T941</f>
        <v>0.6</v>
      </c>
      <c r="S941" s="16">
        <f>MID(D941,FIND("x",D941)+7,4)*1</f>
        <v>3600</v>
      </c>
      <c r="T941" s="16">
        <v>6000</v>
      </c>
    </row>
    <row r="942" spans="1:20" x14ac:dyDescent="0.55000000000000004">
      <c r="A942" t="s">
        <v>4618</v>
      </c>
      <c r="C942" t="s">
        <v>654</v>
      </c>
      <c r="D942" t="s">
        <v>655</v>
      </c>
      <c r="E942" t="s">
        <v>35</v>
      </c>
      <c r="F942" t="s">
        <v>30</v>
      </c>
      <c r="G942" t="s">
        <v>31</v>
      </c>
      <c r="H942" t="s">
        <v>36</v>
      </c>
      <c r="I942" t="s">
        <v>656</v>
      </c>
      <c r="J942" t="s">
        <v>657</v>
      </c>
      <c r="K942" t="s">
        <v>39</v>
      </c>
      <c r="L942" t="s">
        <v>30</v>
      </c>
      <c r="M942" t="s">
        <v>31</v>
      </c>
      <c r="N942" t="s">
        <v>4003</v>
      </c>
      <c r="Q942" s="4">
        <v>1</v>
      </c>
    </row>
    <row r="943" spans="1:20" x14ac:dyDescent="0.55000000000000004">
      <c r="A943" t="s">
        <v>2314</v>
      </c>
      <c r="C943" t="s">
        <v>656</v>
      </c>
      <c r="D943" t="s">
        <v>657</v>
      </c>
      <c r="E943" t="s">
        <v>39</v>
      </c>
      <c r="F943" t="s">
        <v>30</v>
      </c>
      <c r="G943" t="s">
        <v>31</v>
      </c>
      <c r="H943" s="11" t="s">
        <v>991</v>
      </c>
      <c r="I943" t="s">
        <v>1295</v>
      </c>
      <c r="J943" t="s">
        <v>1296</v>
      </c>
      <c r="K943" t="s">
        <v>362</v>
      </c>
      <c r="L943" t="s">
        <v>30</v>
      </c>
      <c r="M943" t="s">
        <v>31</v>
      </c>
      <c r="Q943" s="4">
        <v>1</v>
      </c>
    </row>
    <row r="944" spans="1:20" x14ac:dyDescent="0.55000000000000004">
      <c r="A944" t="s">
        <v>2315</v>
      </c>
      <c r="C944" t="s">
        <v>656</v>
      </c>
      <c r="D944" t="s">
        <v>657</v>
      </c>
      <c r="E944" t="s">
        <v>39</v>
      </c>
      <c r="F944" t="s">
        <v>30</v>
      </c>
      <c r="G944" t="s">
        <v>31</v>
      </c>
      <c r="H944" s="11" t="s">
        <v>991</v>
      </c>
      <c r="I944" t="s">
        <v>1490</v>
      </c>
      <c r="J944" t="s">
        <v>1491</v>
      </c>
      <c r="K944" t="s">
        <v>39</v>
      </c>
      <c r="L944" t="s">
        <v>30</v>
      </c>
      <c r="M944" t="s">
        <v>31</v>
      </c>
      <c r="N944" t="s">
        <v>991</v>
      </c>
      <c r="Q944" s="4">
        <v>1</v>
      </c>
    </row>
    <row r="945" spans="1:20" s="16" customFormat="1" ht="18.5" thickBot="1" x14ac:dyDescent="0.6">
      <c r="A945" s="16" t="s">
        <v>2316</v>
      </c>
      <c r="C945" s="16" t="s">
        <v>1490</v>
      </c>
      <c r="D945" s="16" t="s">
        <v>1491</v>
      </c>
      <c r="E945" s="16" t="s">
        <v>39</v>
      </c>
      <c r="F945" s="16" t="s">
        <v>30</v>
      </c>
      <c r="G945" s="16" t="s">
        <v>31</v>
      </c>
      <c r="H945" s="16" t="s">
        <v>991</v>
      </c>
      <c r="I945" s="16" t="s">
        <v>3779</v>
      </c>
      <c r="J945" s="16" t="s">
        <v>3780</v>
      </c>
      <c r="K945" s="16" t="s">
        <v>39</v>
      </c>
      <c r="L945" s="16" t="s">
        <v>30</v>
      </c>
      <c r="M945" s="16" t="s">
        <v>31</v>
      </c>
      <c r="N945" s="16" t="s">
        <v>991</v>
      </c>
      <c r="Q945" s="17">
        <f>S945/T945</f>
        <v>0.6166666666666667</v>
      </c>
      <c r="S945" s="16">
        <f>MID(D945,FIND("x",D945)+7,4)*1</f>
        <v>3700</v>
      </c>
      <c r="T945" s="16">
        <v>6000</v>
      </c>
    </row>
    <row r="946" spans="1:20" x14ac:dyDescent="0.55000000000000004">
      <c r="A946" t="s">
        <v>2317</v>
      </c>
      <c r="C946" t="s">
        <v>659</v>
      </c>
      <c r="D946" t="s">
        <v>660</v>
      </c>
      <c r="E946" t="s">
        <v>35</v>
      </c>
      <c r="F946" t="s">
        <v>30</v>
      </c>
      <c r="G946" t="s">
        <v>31</v>
      </c>
      <c r="H946" t="s">
        <v>36</v>
      </c>
      <c r="I946" t="s">
        <v>661</v>
      </c>
      <c r="J946" t="s">
        <v>662</v>
      </c>
      <c r="K946" t="s">
        <v>39</v>
      </c>
      <c r="L946" t="s">
        <v>30</v>
      </c>
      <c r="M946" t="s">
        <v>31</v>
      </c>
      <c r="N946" t="s">
        <v>4003</v>
      </c>
      <c r="Q946" s="4">
        <v>1</v>
      </c>
    </row>
    <row r="947" spans="1:20" x14ac:dyDescent="0.55000000000000004">
      <c r="A947" t="s">
        <v>2318</v>
      </c>
      <c r="C947" t="s">
        <v>661</v>
      </c>
      <c r="D947" t="s">
        <v>662</v>
      </c>
      <c r="E947" t="s">
        <v>39</v>
      </c>
      <c r="F947" t="s">
        <v>30</v>
      </c>
      <c r="G947" t="s">
        <v>31</v>
      </c>
      <c r="H947" s="11" t="s">
        <v>991</v>
      </c>
      <c r="I947" t="s">
        <v>1295</v>
      </c>
      <c r="J947" t="s">
        <v>1296</v>
      </c>
      <c r="K947" t="s">
        <v>362</v>
      </c>
      <c r="L947" t="s">
        <v>30</v>
      </c>
      <c r="M947" t="s">
        <v>31</v>
      </c>
      <c r="Q947" s="4">
        <v>1</v>
      </c>
    </row>
    <row r="948" spans="1:20" x14ac:dyDescent="0.55000000000000004">
      <c r="A948" t="s">
        <v>2319</v>
      </c>
      <c r="C948" t="s">
        <v>661</v>
      </c>
      <c r="D948" t="s">
        <v>662</v>
      </c>
      <c r="E948" t="s">
        <v>39</v>
      </c>
      <c r="F948" t="s">
        <v>30</v>
      </c>
      <c r="G948" t="s">
        <v>31</v>
      </c>
      <c r="H948" s="11" t="s">
        <v>991</v>
      </c>
      <c r="I948" t="s">
        <v>1496</v>
      </c>
      <c r="J948" t="s">
        <v>1497</v>
      </c>
      <c r="K948" t="s">
        <v>39</v>
      </c>
      <c r="L948" t="s">
        <v>30</v>
      </c>
      <c r="M948" t="s">
        <v>31</v>
      </c>
      <c r="N948" t="s">
        <v>991</v>
      </c>
      <c r="Q948" s="4">
        <v>1</v>
      </c>
    </row>
    <row r="949" spans="1:20" s="16" customFormat="1" ht="18.5" thickBot="1" x14ac:dyDescent="0.6">
      <c r="A949" s="16" t="s">
        <v>2320</v>
      </c>
      <c r="C949" s="16" t="s">
        <v>1496</v>
      </c>
      <c r="D949" s="16" t="s">
        <v>1497</v>
      </c>
      <c r="E949" s="16" t="s">
        <v>39</v>
      </c>
      <c r="F949" s="16" t="s">
        <v>30</v>
      </c>
      <c r="G949" s="16" t="s">
        <v>31</v>
      </c>
      <c r="H949" s="16" t="s">
        <v>991</v>
      </c>
      <c r="I949" s="16" t="s">
        <v>3779</v>
      </c>
      <c r="J949" s="16" t="s">
        <v>3780</v>
      </c>
      <c r="K949" s="16" t="s">
        <v>39</v>
      </c>
      <c r="L949" s="16" t="s">
        <v>30</v>
      </c>
      <c r="M949" s="16" t="s">
        <v>31</v>
      </c>
      <c r="N949" s="16" t="s">
        <v>991</v>
      </c>
      <c r="Q949" s="17">
        <f>S949/T949</f>
        <v>0.6333333333333333</v>
      </c>
      <c r="S949" s="16">
        <f>MID(D949,FIND("x",D949)+7,4)*1</f>
        <v>3800</v>
      </c>
      <c r="T949" s="16">
        <v>6000</v>
      </c>
    </row>
    <row r="950" spans="1:20" x14ac:dyDescent="0.55000000000000004">
      <c r="A950" t="s">
        <v>2321</v>
      </c>
      <c r="C950" t="s">
        <v>664</v>
      </c>
      <c r="D950" t="s">
        <v>665</v>
      </c>
      <c r="E950" t="s">
        <v>35</v>
      </c>
      <c r="F950" t="s">
        <v>30</v>
      </c>
      <c r="G950" t="s">
        <v>31</v>
      </c>
      <c r="H950" t="s">
        <v>36</v>
      </c>
      <c r="I950" t="s">
        <v>666</v>
      </c>
      <c r="J950" t="s">
        <v>667</v>
      </c>
      <c r="K950" t="s">
        <v>39</v>
      </c>
      <c r="L950" t="s">
        <v>30</v>
      </c>
      <c r="M950" t="s">
        <v>31</v>
      </c>
      <c r="N950" t="s">
        <v>4003</v>
      </c>
      <c r="Q950" s="4">
        <v>1</v>
      </c>
    </row>
    <row r="951" spans="1:20" x14ac:dyDescent="0.55000000000000004">
      <c r="A951" t="s">
        <v>2322</v>
      </c>
      <c r="C951" t="s">
        <v>666</v>
      </c>
      <c r="D951" t="s">
        <v>667</v>
      </c>
      <c r="E951" t="s">
        <v>39</v>
      </c>
      <c r="F951" t="s">
        <v>30</v>
      </c>
      <c r="G951" t="s">
        <v>31</v>
      </c>
      <c r="H951" s="11" t="s">
        <v>991</v>
      </c>
      <c r="I951" t="s">
        <v>1295</v>
      </c>
      <c r="J951" t="s">
        <v>1296</v>
      </c>
      <c r="K951" t="s">
        <v>362</v>
      </c>
      <c r="L951" t="s">
        <v>30</v>
      </c>
      <c r="M951" t="s">
        <v>31</v>
      </c>
      <c r="Q951" s="4">
        <v>1</v>
      </c>
    </row>
    <row r="952" spans="1:20" x14ac:dyDescent="0.55000000000000004">
      <c r="A952" t="s">
        <v>2323</v>
      </c>
      <c r="C952" t="s">
        <v>666</v>
      </c>
      <c r="D952" t="s">
        <v>667</v>
      </c>
      <c r="E952" t="s">
        <v>39</v>
      </c>
      <c r="F952" t="s">
        <v>30</v>
      </c>
      <c r="G952" t="s">
        <v>31</v>
      </c>
      <c r="H952" s="11" t="s">
        <v>991</v>
      </c>
      <c r="I952" t="s">
        <v>1502</v>
      </c>
      <c r="J952" t="s">
        <v>1503</v>
      </c>
      <c r="K952" t="s">
        <v>39</v>
      </c>
      <c r="L952" t="s">
        <v>30</v>
      </c>
      <c r="M952" t="s">
        <v>31</v>
      </c>
      <c r="N952" t="s">
        <v>991</v>
      </c>
      <c r="Q952" s="4">
        <v>1</v>
      </c>
    </row>
    <row r="953" spans="1:20" s="16" customFormat="1" ht="18.5" thickBot="1" x14ac:dyDescent="0.6">
      <c r="A953" s="16" t="s">
        <v>4619</v>
      </c>
      <c r="C953" s="16" t="s">
        <v>1502</v>
      </c>
      <c r="D953" s="16" t="s">
        <v>1503</v>
      </c>
      <c r="E953" s="16" t="s">
        <v>39</v>
      </c>
      <c r="F953" s="16" t="s">
        <v>30</v>
      </c>
      <c r="G953" s="16" t="s">
        <v>31</v>
      </c>
      <c r="H953" s="16" t="s">
        <v>991</v>
      </c>
      <c r="I953" s="16" t="s">
        <v>3779</v>
      </c>
      <c r="J953" s="16" t="s">
        <v>3780</v>
      </c>
      <c r="K953" s="16" t="s">
        <v>39</v>
      </c>
      <c r="L953" s="16" t="s">
        <v>30</v>
      </c>
      <c r="M953" s="16" t="s">
        <v>31</v>
      </c>
      <c r="N953" s="16" t="s">
        <v>991</v>
      </c>
      <c r="Q953" s="17">
        <f>S953/T953</f>
        <v>0.65</v>
      </c>
      <c r="S953" s="16">
        <f>MID(D953,FIND("x",D953)+7,4)*1</f>
        <v>3900</v>
      </c>
      <c r="T953" s="16">
        <v>6000</v>
      </c>
    </row>
    <row r="954" spans="1:20" x14ac:dyDescent="0.55000000000000004">
      <c r="A954" t="s">
        <v>4620</v>
      </c>
      <c r="C954" t="s">
        <v>669</v>
      </c>
      <c r="D954" t="s">
        <v>670</v>
      </c>
      <c r="E954" t="s">
        <v>35</v>
      </c>
      <c r="F954" t="s">
        <v>30</v>
      </c>
      <c r="G954" t="s">
        <v>31</v>
      </c>
      <c r="H954" t="s">
        <v>36</v>
      </c>
      <c r="I954" t="s">
        <v>671</v>
      </c>
      <c r="J954" t="s">
        <v>672</v>
      </c>
      <c r="K954" t="s">
        <v>39</v>
      </c>
      <c r="L954" t="s">
        <v>30</v>
      </c>
      <c r="M954" t="s">
        <v>31</v>
      </c>
      <c r="N954" t="s">
        <v>4003</v>
      </c>
      <c r="Q954" s="4">
        <v>1</v>
      </c>
    </row>
    <row r="955" spans="1:20" x14ac:dyDescent="0.55000000000000004">
      <c r="A955" t="s">
        <v>2328</v>
      </c>
      <c r="C955" t="s">
        <v>671</v>
      </c>
      <c r="D955" t="s">
        <v>672</v>
      </c>
      <c r="E955" t="s">
        <v>39</v>
      </c>
      <c r="F955" t="s">
        <v>30</v>
      </c>
      <c r="G955" t="s">
        <v>31</v>
      </c>
      <c r="H955" s="11" t="s">
        <v>991</v>
      </c>
      <c r="I955" t="s">
        <v>1295</v>
      </c>
      <c r="J955" t="s">
        <v>1296</v>
      </c>
      <c r="K955" t="s">
        <v>362</v>
      </c>
      <c r="L955" t="s">
        <v>30</v>
      </c>
      <c r="M955" t="s">
        <v>31</v>
      </c>
      <c r="Q955" s="4">
        <v>1</v>
      </c>
    </row>
    <row r="956" spans="1:20" x14ac:dyDescent="0.55000000000000004">
      <c r="A956" t="s">
        <v>2329</v>
      </c>
      <c r="C956" t="s">
        <v>671</v>
      </c>
      <c r="D956" t="s">
        <v>672</v>
      </c>
      <c r="E956" t="s">
        <v>39</v>
      </c>
      <c r="F956" t="s">
        <v>30</v>
      </c>
      <c r="G956" t="s">
        <v>31</v>
      </c>
      <c r="H956" s="11" t="s">
        <v>991</v>
      </c>
      <c r="I956" t="s">
        <v>1508</v>
      </c>
      <c r="J956" t="s">
        <v>1509</v>
      </c>
      <c r="K956" t="s">
        <v>39</v>
      </c>
      <c r="L956" t="s">
        <v>30</v>
      </c>
      <c r="M956" t="s">
        <v>31</v>
      </c>
      <c r="N956" t="s">
        <v>991</v>
      </c>
      <c r="Q956" s="4">
        <v>1</v>
      </c>
    </row>
    <row r="957" spans="1:20" s="16" customFormat="1" ht="18.5" thickBot="1" x14ac:dyDescent="0.6">
      <c r="A957" s="16" t="s">
        <v>4621</v>
      </c>
      <c r="C957" s="16" t="s">
        <v>1508</v>
      </c>
      <c r="D957" s="16" t="s">
        <v>1509</v>
      </c>
      <c r="E957" s="16" t="s">
        <v>39</v>
      </c>
      <c r="F957" s="16" t="s">
        <v>30</v>
      </c>
      <c r="G957" s="16" t="s">
        <v>31</v>
      </c>
      <c r="H957" s="16" t="s">
        <v>991</v>
      </c>
      <c r="I957" s="16" t="s">
        <v>3779</v>
      </c>
      <c r="J957" s="16" t="s">
        <v>3780</v>
      </c>
      <c r="K957" s="16" t="s">
        <v>39</v>
      </c>
      <c r="L957" s="16" t="s">
        <v>30</v>
      </c>
      <c r="M957" s="16" t="s">
        <v>31</v>
      </c>
      <c r="N957" s="16" t="s">
        <v>991</v>
      </c>
      <c r="Q957" s="17">
        <f>S957/T957</f>
        <v>0.66666666666666663</v>
      </c>
      <c r="S957" s="16">
        <f>MID(D957,FIND("x",D957)+7,4)*1</f>
        <v>4000</v>
      </c>
      <c r="T957" s="16">
        <v>6000</v>
      </c>
    </row>
    <row r="958" spans="1:20" x14ac:dyDescent="0.55000000000000004">
      <c r="A958" t="s">
        <v>4622</v>
      </c>
      <c r="C958" t="s">
        <v>674</v>
      </c>
      <c r="D958" t="s">
        <v>675</v>
      </c>
      <c r="E958" t="s">
        <v>35</v>
      </c>
      <c r="F958" t="s">
        <v>30</v>
      </c>
      <c r="G958" t="s">
        <v>31</v>
      </c>
      <c r="H958" t="s">
        <v>36</v>
      </c>
      <c r="I958" t="s">
        <v>676</v>
      </c>
      <c r="J958" t="s">
        <v>677</v>
      </c>
      <c r="K958" t="s">
        <v>39</v>
      </c>
      <c r="L958" t="s">
        <v>30</v>
      </c>
      <c r="M958" t="s">
        <v>31</v>
      </c>
      <c r="N958" t="s">
        <v>4003</v>
      </c>
      <c r="Q958" s="4">
        <v>1</v>
      </c>
    </row>
    <row r="959" spans="1:20" x14ac:dyDescent="0.55000000000000004">
      <c r="A959" t="s">
        <v>4623</v>
      </c>
      <c r="C959" t="s">
        <v>676</v>
      </c>
      <c r="D959" t="s">
        <v>677</v>
      </c>
      <c r="E959" t="s">
        <v>39</v>
      </c>
      <c r="F959" t="s">
        <v>30</v>
      </c>
      <c r="G959" t="s">
        <v>31</v>
      </c>
      <c r="H959" s="11" t="s">
        <v>991</v>
      </c>
      <c r="I959" t="s">
        <v>1295</v>
      </c>
      <c r="J959" t="s">
        <v>1296</v>
      </c>
      <c r="K959" t="s">
        <v>362</v>
      </c>
      <c r="L959" t="s">
        <v>30</v>
      </c>
      <c r="M959" t="s">
        <v>31</v>
      </c>
      <c r="Q959" s="4">
        <v>1</v>
      </c>
    </row>
    <row r="960" spans="1:20" x14ac:dyDescent="0.55000000000000004">
      <c r="A960" t="s">
        <v>2333</v>
      </c>
      <c r="C960" t="s">
        <v>676</v>
      </c>
      <c r="D960" t="s">
        <v>677</v>
      </c>
      <c r="E960" t="s">
        <v>39</v>
      </c>
      <c r="F960" t="s">
        <v>30</v>
      </c>
      <c r="G960" t="s">
        <v>31</v>
      </c>
      <c r="H960" s="11" t="s">
        <v>991</v>
      </c>
      <c r="I960" t="s">
        <v>1514</v>
      </c>
      <c r="J960" t="s">
        <v>1515</v>
      </c>
      <c r="K960" t="s">
        <v>39</v>
      </c>
      <c r="L960" t="s">
        <v>30</v>
      </c>
      <c r="M960" t="s">
        <v>31</v>
      </c>
      <c r="N960" t="s">
        <v>991</v>
      </c>
      <c r="Q960" s="4">
        <v>1</v>
      </c>
    </row>
    <row r="961" spans="1:20" s="16" customFormat="1" ht="18.5" thickBot="1" x14ac:dyDescent="0.6">
      <c r="A961" s="16" t="s">
        <v>2334</v>
      </c>
      <c r="C961" s="16" t="s">
        <v>1514</v>
      </c>
      <c r="D961" s="16" t="s">
        <v>1515</v>
      </c>
      <c r="E961" s="16" t="s">
        <v>39</v>
      </c>
      <c r="F961" s="16" t="s">
        <v>30</v>
      </c>
      <c r="G961" s="16" t="s">
        <v>31</v>
      </c>
      <c r="H961" s="16" t="s">
        <v>991</v>
      </c>
      <c r="I961" s="16" t="s">
        <v>3779</v>
      </c>
      <c r="J961" s="16" t="s">
        <v>3780</v>
      </c>
      <c r="K961" s="16" t="s">
        <v>39</v>
      </c>
      <c r="L961" s="16" t="s">
        <v>30</v>
      </c>
      <c r="M961" s="16" t="s">
        <v>31</v>
      </c>
      <c r="N961" s="16" t="s">
        <v>991</v>
      </c>
      <c r="Q961" s="17">
        <f>S961/T961</f>
        <v>0.68333333333333335</v>
      </c>
      <c r="S961" s="16">
        <f>MID(D961,FIND("x",D961)+7,4)*1</f>
        <v>4100</v>
      </c>
      <c r="T961" s="16">
        <v>6000</v>
      </c>
    </row>
    <row r="962" spans="1:20" x14ac:dyDescent="0.55000000000000004">
      <c r="A962" t="s">
        <v>2335</v>
      </c>
      <c r="C962" t="s">
        <v>679</v>
      </c>
      <c r="D962" t="s">
        <v>680</v>
      </c>
      <c r="E962" t="s">
        <v>35</v>
      </c>
      <c r="F962" t="s">
        <v>30</v>
      </c>
      <c r="G962" t="s">
        <v>31</v>
      </c>
      <c r="H962" t="s">
        <v>36</v>
      </c>
      <c r="I962" t="s">
        <v>681</v>
      </c>
      <c r="J962" t="s">
        <v>682</v>
      </c>
      <c r="K962" t="s">
        <v>39</v>
      </c>
      <c r="L962" t="s">
        <v>30</v>
      </c>
      <c r="M962" t="s">
        <v>31</v>
      </c>
      <c r="N962" t="s">
        <v>4003</v>
      </c>
      <c r="Q962" s="4">
        <v>1</v>
      </c>
    </row>
    <row r="963" spans="1:20" x14ac:dyDescent="0.55000000000000004">
      <c r="A963" t="s">
        <v>2336</v>
      </c>
      <c r="C963" t="s">
        <v>681</v>
      </c>
      <c r="D963" t="s">
        <v>682</v>
      </c>
      <c r="E963" t="s">
        <v>39</v>
      </c>
      <c r="F963" t="s">
        <v>30</v>
      </c>
      <c r="G963" t="s">
        <v>31</v>
      </c>
      <c r="H963" s="11" t="s">
        <v>991</v>
      </c>
      <c r="I963" t="s">
        <v>1295</v>
      </c>
      <c r="J963" t="s">
        <v>1296</v>
      </c>
      <c r="K963" t="s">
        <v>362</v>
      </c>
      <c r="L963" t="s">
        <v>30</v>
      </c>
      <c r="M963" t="s">
        <v>31</v>
      </c>
      <c r="Q963" s="4">
        <v>1</v>
      </c>
    </row>
    <row r="964" spans="1:20" x14ac:dyDescent="0.55000000000000004">
      <c r="A964" t="s">
        <v>2337</v>
      </c>
      <c r="C964" t="s">
        <v>681</v>
      </c>
      <c r="D964" t="s">
        <v>682</v>
      </c>
      <c r="E964" t="s">
        <v>39</v>
      </c>
      <c r="F964" t="s">
        <v>30</v>
      </c>
      <c r="G964" t="s">
        <v>31</v>
      </c>
      <c r="H964" s="11" t="s">
        <v>991</v>
      </c>
      <c r="I964" t="s">
        <v>1520</v>
      </c>
      <c r="J964" t="s">
        <v>1521</v>
      </c>
      <c r="K964" t="s">
        <v>39</v>
      </c>
      <c r="L964" t="s">
        <v>30</v>
      </c>
      <c r="M964" t="s">
        <v>31</v>
      </c>
      <c r="N964" t="s">
        <v>991</v>
      </c>
      <c r="Q964" s="4">
        <v>1</v>
      </c>
    </row>
    <row r="965" spans="1:20" s="16" customFormat="1" ht="18.5" thickBot="1" x14ac:dyDescent="0.6">
      <c r="A965" s="16" t="s">
        <v>2338</v>
      </c>
      <c r="C965" s="16" t="s">
        <v>1520</v>
      </c>
      <c r="D965" s="16" t="s">
        <v>1521</v>
      </c>
      <c r="E965" s="16" t="s">
        <v>39</v>
      </c>
      <c r="F965" s="16" t="s">
        <v>30</v>
      </c>
      <c r="G965" s="16" t="s">
        <v>31</v>
      </c>
      <c r="H965" s="16" t="s">
        <v>991</v>
      </c>
      <c r="I965" s="16" t="s">
        <v>3779</v>
      </c>
      <c r="J965" s="16" t="s">
        <v>3780</v>
      </c>
      <c r="K965" s="16" t="s">
        <v>39</v>
      </c>
      <c r="L965" s="16" t="s">
        <v>30</v>
      </c>
      <c r="M965" s="16" t="s">
        <v>31</v>
      </c>
      <c r="N965" s="16" t="s">
        <v>991</v>
      </c>
      <c r="Q965" s="17">
        <f>S965/T965</f>
        <v>0.7</v>
      </c>
      <c r="S965" s="16">
        <f>MID(D965,FIND("x",D965)+7,4)*1</f>
        <v>4200</v>
      </c>
      <c r="T965" s="16">
        <v>6000</v>
      </c>
    </row>
    <row r="966" spans="1:20" x14ac:dyDescent="0.55000000000000004">
      <c r="A966" t="s">
        <v>2339</v>
      </c>
      <c r="C966" t="s">
        <v>684</v>
      </c>
      <c r="D966" t="s">
        <v>685</v>
      </c>
      <c r="E966" t="s">
        <v>35</v>
      </c>
      <c r="F966" t="s">
        <v>30</v>
      </c>
      <c r="G966" t="s">
        <v>31</v>
      </c>
      <c r="H966" t="s">
        <v>36</v>
      </c>
      <c r="I966" t="s">
        <v>686</v>
      </c>
      <c r="J966" t="s">
        <v>687</v>
      </c>
      <c r="K966" t="s">
        <v>39</v>
      </c>
      <c r="L966" t="s">
        <v>30</v>
      </c>
      <c r="M966" t="s">
        <v>31</v>
      </c>
      <c r="N966" t="s">
        <v>4003</v>
      </c>
      <c r="Q966" s="4">
        <v>1</v>
      </c>
    </row>
    <row r="967" spans="1:20" x14ac:dyDescent="0.55000000000000004">
      <c r="A967" t="s">
        <v>2340</v>
      </c>
      <c r="C967" t="s">
        <v>686</v>
      </c>
      <c r="D967" t="s">
        <v>687</v>
      </c>
      <c r="E967" t="s">
        <v>39</v>
      </c>
      <c r="F967" t="s">
        <v>30</v>
      </c>
      <c r="G967" t="s">
        <v>31</v>
      </c>
      <c r="H967" s="11" t="s">
        <v>991</v>
      </c>
      <c r="I967" t="s">
        <v>1295</v>
      </c>
      <c r="J967" t="s">
        <v>1296</v>
      </c>
      <c r="K967" t="s">
        <v>362</v>
      </c>
      <c r="L967" t="s">
        <v>30</v>
      </c>
      <c r="M967" t="s">
        <v>31</v>
      </c>
      <c r="Q967" s="4">
        <v>1</v>
      </c>
    </row>
    <row r="968" spans="1:20" x14ac:dyDescent="0.55000000000000004">
      <c r="A968" t="s">
        <v>2341</v>
      </c>
      <c r="C968" t="s">
        <v>686</v>
      </c>
      <c r="D968" t="s">
        <v>687</v>
      </c>
      <c r="E968" t="s">
        <v>39</v>
      </c>
      <c r="F968" t="s">
        <v>30</v>
      </c>
      <c r="G968" t="s">
        <v>31</v>
      </c>
      <c r="H968" s="11" t="s">
        <v>991</v>
      </c>
      <c r="I968" t="s">
        <v>1526</v>
      </c>
      <c r="J968" t="s">
        <v>1527</v>
      </c>
      <c r="K968" t="s">
        <v>39</v>
      </c>
      <c r="L968" t="s">
        <v>30</v>
      </c>
      <c r="M968" t="s">
        <v>31</v>
      </c>
      <c r="N968" t="s">
        <v>991</v>
      </c>
      <c r="Q968" s="4">
        <v>1</v>
      </c>
    </row>
    <row r="969" spans="1:20" s="16" customFormat="1" ht="18.5" thickBot="1" x14ac:dyDescent="0.6">
      <c r="A969" s="16" t="s">
        <v>2342</v>
      </c>
      <c r="C969" s="16" t="s">
        <v>1526</v>
      </c>
      <c r="D969" s="16" t="s">
        <v>1527</v>
      </c>
      <c r="E969" s="16" t="s">
        <v>39</v>
      </c>
      <c r="F969" s="16" t="s">
        <v>30</v>
      </c>
      <c r="G969" s="16" t="s">
        <v>31</v>
      </c>
      <c r="H969" s="16" t="s">
        <v>991</v>
      </c>
      <c r="I969" s="16" t="s">
        <v>3779</v>
      </c>
      <c r="J969" s="16" t="s">
        <v>3780</v>
      </c>
      <c r="K969" s="16" t="s">
        <v>39</v>
      </c>
      <c r="L969" s="16" t="s">
        <v>30</v>
      </c>
      <c r="M969" s="16" t="s">
        <v>31</v>
      </c>
      <c r="N969" s="16" t="s">
        <v>991</v>
      </c>
      <c r="Q969" s="17">
        <f>S969/T969</f>
        <v>0.71666666666666667</v>
      </c>
      <c r="S969" s="16">
        <f>MID(D969,FIND("x",D969)+7,4)*1</f>
        <v>4300</v>
      </c>
      <c r="T969" s="16">
        <v>6000</v>
      </c>
    </row>
    <row r="970" spans="1:20" x14ac:dyDescent="0.55000000000000004">
      <c r="A970" t="s">
        <v>2343</v>
      </c>
      <c r="C970" t="s">
        <v>689</v>
      </c>
      <c r="D970" t="s">
        <v>690</v>
      </c>
      <c r="E970" t="s">
        <v>35</v>
      </c>
      <c r="F970" t="s">
        <v>30</v>
      </c>
      <c r="G970" t="s">
        <v>31</v>
      </c>
      <c r="H970" t="s">
        <v>36</v>
      </c>
      <c r="I970" t="s">
        <v>691</v>
      </c>
      <c r="J970" t="s">
        <v>692</v>
      </c>
      <c r="K970" t="s">
        <v>39</v>
      </c>
      <c r="L970" t="s">
        <v>30</v>
      </c>
      <c r="M970" t="s">
        <v>31</v>
      </c>
      <c r="N970" t="s">
        <v>4003</v>
      </c>
      <c r="Q970" s="4">
        <v>1</v>
      </c>
    </row>
    <row r="971" spans="1:20" x14ac:dyDescent="0.55000000000000004">
      <c r="A971" t="s">
        <v>2344</v>
      </c>
      <c r="C971" t="s">
        <v>691</v>
      </c>
      <c r="D971" t="s">
        <v>692</v>
      </c>
      <c r="E971" t="s">
        <v>39</v>
      </c>
      <c r="F971" t="s">
        <v>30</v>
      </c>
      <c r="G971" t="s">
        <v>31</v>
      </c>
      <c r="H971" s="11" t="s">
        <v>991</v>
      </c>
      <c r="I971" t="s">
        <v>1295</v>
      </c>
      <c r="J971" t="s">
        <v>1296</v>
      </c>
      <c r="K971" t="s">
        <v>362</v>
      </c>
      <c r="L971" t="s">
        <v>30</v>
      </c>
      <c r="M971" t="s">
        <v>31</v>
      </c>
      <c r="Q971" s="4">
        <v>1</v>
      </c>
    </row>
    <row r="972" spans="1:20" x14ac:dyDescent="0.55000000000000004">
      <c r="A972" t="s">
        <v>2345</v>
      </c>
      <c r="C972" t="s">
        <v>691</v>
      </c>
      <c r="D972" t="s">
        <v>692</v>
      </c>
      <c r="E972" t="s">
        <v>39</v>
      </c>
      <c r="F972" t="s">
        <v>30</v>
      </c>
      <c r="G972" t="s">
        <v>31</v>
      </c>
      <c r="H972" s="11" t="s">
        <v>991</v>
      </c>
      <c r="I972" t="s">
        <v>1532</v>
      </c>
      <c r="J972" t="s">
        <v>1533</v>
      </c>
      <c r="K972" t="s">
        <v>39</v>
      </c>
      <c r="L972" t="s">
        <v>30</v>
      </c>
      <c r="M972" t="s">
        <v>31</v>
      </c>
      <c r="N972" t="s">
        <v>991</v>
      </c>
      <c r="Q972" s="4">
        <v>1</v>
      </c>
    </row>
    <row r="973" spans="1:20" s="16" customFormat="1" ht="18.5" thickBot="1" x14ac:dyDescent="0.6">
      <c r="A973" s="16" t="s">
        <v>2346</v>
      </c>
      <c r="C973" s="16" t="s">
        <v>1532</v>
      </c>
      <c r="D973" s="16" t="s">
        <v>1533</v>
      </c>
      <c r="E973" s="16" t="s">
        <v>39</v>
      </c>
      <c r="F973" s="16" t="s">
        <v>30</v>
      </c>
      <c r="G973" s="16" t="s">
        <v>31</v>
      </c>
      <c r="H973" s="16" t="s">
        <v>991</v>
      </c>
      <c r="I973" s="16" t="s">
        <v>3779</v>
      </c>
      <c r="J973" s="16" t="s">
        <v>3780</v>
      </c>
      <c r="K973" s="16" t="s">
        <v>39</v>
      </c>
      <c r="L973" s="16" t="s">
        <v>30</v>
      </c>
      <c r="M973" s="16" t="s">
        <v>31</v>
      </c>
      <c r="N973" s="16" t="s">
        <v>991</v>
      </c>
      <c r="Q973" s="17">
        <f>S973/T973</f>
        <v>0.73333333333333328</v>
      </c>
      <c r="S973" s="16">
        <f>MID(D973,FIND("x",D973)+7,4)*1</f>
        <v>4400</v>
      </c>
      <c r="T973" s="16">
        <v>6000</v>
      </c>
    </row>
    <row r="974" spans="1:20" x14ac:dyDescent="0.55000000000000004">
      <c r="A974" t="s">
        <v>2347</v>
      </c>
      <c r="C974" t="s">
        <v>694</v>
      </c>
      <c r="D974" t="s">
        <v>695</v>
      </c>
      <c r="E974" t="s">
        <v>35</v>
      </c>
      <c r="F974" t="s">
        <v>30</v>
      </c>
      <c r="G974" t="s">
        <v>31</v>
      </c>
      <c r="H974" t="s">
        <v>36</v>
      </c>
      <c r="I974" t="s">
        <v>696</v>
      </c>
      <c r="J974" t="s">
        <v>697</v>
      </c>
      <c r="K974" t="s">
        <v>39</v>
      </c>
      <c r="L974" t="s">
        <v>30</v>
      </c>
      <c r="M974" t="s">
        <v>31</v>
      </c>
      <c r="N974" t="s">
        <v>4003</v>
      </c>
      <c r="Q974" s="4">
        <v>1</v>
      </c>
    </row>
    <row r="975" spans="1:20" x14ac:dyDescent="0.55000000000000004">
      <c r="A975" t="s">
        <v>2348</v>
      </c>
      <c r="C975" t="s">
        <v>696</v>
      </c>
      <c r="D975" t="s">
        <v>697</v>
      </c>
      <c r="E975" t="s">
        <v>39</v>
      </c>
      <c r="F975" t="s">
        <v>30</v>
      </c>
      <c r="G975" t="s">
        <v>31</v>
      </c>
      <c r="H975" s="11" t="s">
        <v>991</v>
      </c>
      <c r="I975" t="s">
        <v>1295</v>
      </c>
      <c r="J975" t="s">
        <v>1296</v>
      </c>
      <c r="K975" t="s">
        <v>362</v>
      </c>
      <c r="L975" t="s">
        <v>30</v>
      </c>
      <c r="M975" t="s">
        <v>31</v>
      </c>
      <c r="Q975" s="4">
        <v>1</v>
      </c>
    </row>
    <row r="976" spans="1:20" x14ac:dyDescent="0.55000000000000004">
      <c r="A976" t="s">
        <v>2349</v>
      </c>
      <c r="C976" t="s">
        <v>696</v>
      </c>
      <c r="D976" t="s">
        <v>697</v>
      </c>
      <c r="E976" t="s">
        <v>39</v>
      </c>
      <c r="F976" t="s">
        <v>30</v>
      </c>
      <c r="G976" t="s">
        <v>31</v>
      </c>
      <c r="H976" s="11" t="s">
        <v>991</v>
      </c>
      <c r="I976" t="s">
        <v>1538</v>
      </c>
      <c r="J976" t="s">
        <v>1539</v>
      </c>
      <c r="K976" t="s">
        <v>39</v>
      </c>
      <c r="L976" t="s">
        <v>30</v>
      </c>
      <c r="M976" t="s">
        <v>31</v>
      </c>
      <c r="N976" t="s">
        <v>991</v>
      </c>
      <c r="Q976" s="4">
        <v>1</v>
      </c>
    </row>
    <row r="977" spans="1:20" s="16" customFormat="1" ht="18.5" thickBot="1" x14ac:dyDescent="0.6">
      <c r="A977" s="16" t="s">
        <v>2350</v>
      </c>
      <c r="C977" s="16" t="s">
        <v>1538</v>
      </c>
      <c r="D977" s="16" t="s">
        <v>1539</v>
      </c>
      <c r="E977" s="16" t="s">
        <v>39</v>
      </c>
      <c r="F977" s="16" t="s">
        <v>30</v>
      </c>
      <c r="G977" s="16" t="s">
        <v>31</v>
      </c>
      <c r="H977" s="16" t="s">
        <v>991</v>
      </c>
      <c r="I977" s="16" t="s">
        <v>3779</v>
      </c>
      <c r="J977" s="16" t="s">
        <v>3780</v>
      </c>
      <c r="K977" s="16" t="s">
        <v>39</v>
      </c>
      <c r="L977" s="16" t="s">
        <v>30</v>
      </c>
      <c r="M977" s="16" t="s">
        <v>31</v>
      </c>
      <c r="N977" s="16" t="s">
        <v>991</v>
      </c>
      <c r="Q977" s="17">
        <f>S977/T977</f>
        <v>0.75</v>
      </c>
      <c r="S977" s="16">
        <f>MID(D977,FIND("x",D977)+7,4)*1</f>
        <v>4500</v>
      </c>
      <c r="T977" s="16">
        <v>6000</v>
      </c>
    </row>
    <row r="978" spans="1:20" x14ac:dyDescent="0.55000000000000004">
      <c r="A978" t="s">
        <v>2351</v>
      </c>
      <c r="C978" t="s">
        <v>699</v>
      </c>
      <c r="D978" t="s">
        <v>700</v>
      </c>
      <c r="E978" t="s">
        <v>35</v>
      </c>
      <c r="F978" t="s">
        <v>30</v>
      </c>
      <c r="G978" t="s">
        <v>31</v>
      </c>
      <c r="H978" t="s">
        <v>36</v>
      </c>
      <c r="I978" t="s">
        <v>701</v>
      </c>
      <c r="J978" t="s">
        <v>702</v>
      </c>
      <c r="K978" t="s">
        <v>39</v>
      </c>
      <c r="L978" t="s">
        <v>30</v>
      </c>
      <c r="M978" t="s">
        <v>31</v>
      </c>
      <c r="N978" t="s">
        <v>4003</v>
      </c>
      <c r="Q978" s="4">
        <v>1</v>
      </c>
    </row>
    <row r="979" spans="1:20" x14ac:dyDescent="0.55000000000000004">
      <c r="A979" t="s">
        <v>2352</v>
      </c>
      <c r="C979" t="s">
        <v>701</v>
      </c>
      <c r="D979" t="s">
        <v>702</v>
      </c>
      <c r="E979" t="s">
        <v>39</v>
      </c>
      <c r="F979" t="s">
        <v>30</v>
      </c>
      <c r="G979" t="s">
        <v>31</v>
      </c>
      <c r="H979" s="11" t="s">
        <v>991</v>
      </c>
      <c r="I979" t="s">
        <v>1295</v>
      </c>
      <c r="J979" t="s">
        <v>1296</v>
      </c>
      <c r="K979" t="s">
        <v>362</v>
      </c>
      <c r="L979" t="s">
        <v>30</v>
      </c>
      <c r="M979" t="s">
        <v>31</v>
      </c>
      <c r="Q979" s="4">
        <v>1</v>
      </c>
    </row>
    <row r="980" spans="1:20" x14ac:dyDescent="0.55000000000000004">
      <c r="A980" t="s">
        <v>2353</v>
      </c>
      <c r="C980" t="s">
        <v>701</v>
      </c>
      <c r="D980" t="s">
        <v>702</v>
      </c>
      <c r="E980" t="s">
        <v>39</v>
      </c>
      <c r="F980" t="s">
        <v>30</v>
      </c>
      <c r="G980" t="s">
        <v>31</v>
      </c>
      <c r="H980" s="11" t="s">
        <v>991</v>
      </c>
      <c r="I980" t="s">
        <v>1544</v>
      </c>
      <c r="J980" t="s">
        <v>1545</v>
      </c>
      <c r="K980" t="s">
        <v>39</v>
      </c>
      <c r="L980" t="s">
        <v>30</v>
      </c>
      <c r="M980" t="s">
        <v>31</v>
      </c>
      <c r="N980" t="s">
        <v>991</v>
      </c>
      <c r="Q980" s="4">
        <v>1</v>
      </c>
    </row>
    <row r="981" spans="1:20" s="16" customFormat="1" ht="18.5" thickBot="1" x14ac:dyDescent="0.6">
      <c r="A981" s="16" t="s">
        <v>2354</v>
      </c>
      <c r="C981" s="16" t="s">
        <v>1544</v>
      </c>
      <c r="D981" s="16" t="s">
        <v>1545</v>
      </c>
      <c r="E981" s="16" t="s">
        <v>39</v>
      </c>
      <c r="F981" s="16" t="s">
        <v>30</v>
      </c>
      <c r="G981" s="16" t="s">
        <v>31</v>
      </c>
      <c r="H981" s="16" t="s">
        <v>991</v>
      </c>
      <c r="I981" s="16" t="s">
        <v>3779</v>
      </c>
      <c r="J981" s="16" t="s">
        <v>3780</v>
      </c>
      <c r="K981" s="16" t="s">
        <v>39</v>
      </c>
      <c r="L981" s="16" t="s">
        <v>30</v>
      </c>
      <c r="M981" s="16" t="s">
        <v>31</v>
      </c>
      <c r="N981" s="16" t="s">
        <v>991</v>
      </c>
      <c r="Q981" s="17">
        <f>S981/T981</f>
        <v>0.76666666666666672</v>
      </c>
      <c r="S981" s="16">
        <f>MID(D981,FIND("x",D981)+7,4)*1</f>
        <v>4600</v>
      </c>
      <c r="T981" s="16">
        <v>6000</v>
      </c>
    </row>
    <row r="982" spans="1:20" x14ac:dyDescent="0.55000000000000004">
      <c r="A982" t="s">
        <v>2355</v>
      </c>
      <c r="C982" t="s">
        <v>704</v>
      </c>
      <c r="D982" t="s">
        <v>705</v>
      </c>
      <c r="E982" t="s">
        <v>35</v>
      </c>
      <c r="F982" t="s">
        <v>30</v>
      </c>
      <c r="G982" t="s">
        <v>31</v>
      </c>
      <c r="H982" t="s">
        <v>36</v>
      </c>
      <c r="I982" t="s">
        <v>706</v>
      </c>
      <c r="J982" t="s">
        <v>707</v>
      </c>
      <c r="K982" t="s">
        <v>39</v>
      </c>
      <c r="L982" t="s">
        <v>30</v>
      </c>
      <c r="M982" t="s">
        <v>31</v>
      </c>
      <c r="N982" t="s">
        <v>4003</v>
      </c>
      <c r="Q982" s="4">
        <v>1</v>
      </c>
    </row>
    <row r="983" spans="1:20" x14ac:dyDescent="0.55000000000000004">
      <c r="A983" t="s">
        <v>2356</v>
      </c>
      <c r="C983" t="s">
        <v>706</v>
      </c>
      <c r="D983" t="s">
        <v>707</v>
      </c>
      <c r="E983" t="s">
        <v>39</v>
      </c>
      <c r="F983" t="s">
        <v>30</v>
      </c>
      <c r="G983" t="s">
        <v>31</v>
      </c>
      <c r="H983" s="11" t="s">
        <v>991</v>
      </c>
      <c r="I983" t="s">
        <v>1295</v>
      </c>
      <c r="J983" t="s">
        <v>1296</v>
      </c>
      <c r="K983" t="s">
        <v>362</v>
      </c>
      <c r="L983" t="s">
        <v>30</v>
      </c>
      <c r="M983" t="s">
        <v>31</v>
      </c>
      <c r="Q983" s="4">
        <v>1</v>
      </c>
    </row>
    <row r="984" spans="1:20" x14ac:dyDescent="0.55000000000000004">
      <c r="A984" t="s">
        <v>2357</v>
      </c>
      <c r="C984" t="s">
        <v>706</v>
      </c>
      <c r="D984" t="s">
        <v>707</v>
      </c>
      <c r="E984" t="s">
        <v>39</v>
      </c>
      <c r="F984" t="s">
        <v>30</v>
      </c>
      <c r="G984" t="s">
        <v>31</v>
      </c>
      <c r="H984" s="11" t="s">
        <v>991</v>
      </c>
      <c r="I984" t="s">
        <v>1549</v>
      </c>
      <c r="J984" t="s">
        <v>1550</v>
      </c>
      <c r="K984" t="s">
        <v>39</v>
      </c>
      <c r="L984" t="s">
        <v>30</v>
      </c>
      <c r="M984" t="s">
        <v>31</v>
      </c>
      <c r="N984" t="s">
        <v>991</v>
      </c>
      <c r="Q984" s="4">
        <v>1</v>
      </c>
    </row>
    <row r="985" spans="1:20" s="16" customFormat="1" ht="18.5" thickBot="1" x14ac:dyDescent="0.6">
      <c r="A985" s="16" t="s">
        <v>2358</v>
      </c>
      <c r="C985" s="16" t="s">
        <v>1549</v>
      </c>
      <c r="D985" s="16" t="s">
        <v>1550</v>
      </c>
      <c r="E985" s="16" t="s">
        <v>39</v>
      </c>
      <c r="F985" s="16" t="s">
        <v>30</v>
      </c>
      <c r="G985" s="16" t="s">
        <v>31</v>
      </c>
      <c r="H985" s="16" t="s">
        <v>991</v>
      </c>
      <c r="I985" s="16" t="s">
        <v>3779</v>
      </c>
      <c r="J985" s="16" t="s">
        <v>3780</v>
      </c>
      <c r="K985" s="16" t="s">
        <v>39</v>
      </c>
      <c r="L985" s="16" t="s">
        <v>30</v>
      </c>
      <c r="M985" s="16" t="s">
        <v>31</v>
      </c>
      <c r="N985" s="16" t="s">
        <v>991</v>
      </c>
      <c r="Q985" s="17">
        <f>S985/T985</f>
        <v>0.78333333333333333</v>
      </c>
      <c r="S985" s="16">
        <f>MID(D985,FIND("x",D985)+7,4)*1</f>
        <v>4700</v>
      </c>
      <c r="T985" s="16">
        <v>6000</v>
      </c>
    </row>
    <row r="986" spans="1:20" x14ac:dyDescent="0.55000000000000004">
      <c r="A986" t="s">
        <v>2359</v>
      </c>
      <c r="C986" t="s">
        <v>709</v>
      </c>
      <c r="D986" t="s">
        <v>710</v>
      </c>
      <c r="E986" t="s">
        <v>35</v>
      </c>
      <c r="F986" t="s">
        <v>30</v>
      </c>
      <c r="G986" t="s">
        <v>31</v>
      </c>
      <c r="H986" t="s">
        <v>36</v>
      </c>
      <c r="I986" t="s">
        <v>711</v>
      </c>
      <c r="J986" t="s">
        <v>712</v>
      </c>
      <c r="K986" t="s">
        <v>39</v>
      </c>
      <c r="L986" t="s">
        <v>30</v>
      </c>
      <c r="M986" t="s">
        <v>31</v>
      </c>
      <c r="N986" t="s">
        <v>4003</v>
      </c>
      <c r="Q986" s="4">
        <v>1</v>
      </c>
    </row>
    <row r="987" spans="1:20" x14ac:dyDescent="0.55000000000000004">
      <c r="A987" t="s">
        <v>2360</v>
      </c>
      <c r="C987" t="s">
        <v>711</v>
      </c>
      <c r="D987" t="s">
        <v>712</v>
      </c>
      <c r="E987" t="s">
        <v>39</v>
      </c>
      <c r="F987" t="s">
        <v>30</v>
      </c>
      <c r="G987" t="s">
        <v>31</v>
      </c>
      <c r="H987" s="11" t="s">
        <v>991</v>
      </c>
      <c r="I987" t="s">
        <v>1295</v>
      </c>
      <c r="J987" t="s">
        <v>1296</v>
      </c>
      <c r="K987" t="s">
        <v>362</v>
      </c>
      <c r="L987" t="s">
        <v>30</v>
      </c>
      <c r="M987" t="s">
        <v>31</v>
      </c>
      <c r="Q987" s="4">
        <v>1</v>
      </c>
    </row>
    <row r="988" spans="1:20" x14ac:dyDescent="0.55000000000000004">
      <c r="A988" t="s">
        <v>2361</v>
      </c>
      <c r="C988" t="s">
        <v>711</v>
      </c>
      <c r="D988" t="s">
        <v>712</v>
      </c>
      <c r="E988" t="s">
        <v>39</v>
      </c>
      <c r="F988" t="s">
        <v>30</v>
      </c>
      <c r="G988" t="s">
        <v>31</v>
      </c>
      <c r="H988" s="11" t="s">
        <v>991</v>
      </c>
      <c r="I988" t="s">
        <v>1554</v>
      </c>
      <c r="J988" t="s">
        <v>1555</v>
      </c>
      <c r="K988" t="s">
        <v>39</v>
      </c>
      <c r="L988" t="s">
        <v>30</v>
      </c>
      <c r="M988" t="s">
        <v>31</v>
      </c>
      <c r="N988" t="s">
        <v>991</v>
      </c>
      <c r="Q988" s="4">
        <v>1</v>
      </c>
    </row>
    <row r="989" spans="1:20" s="16" customFormat="1" ht="18.5" thickBot="1" x14ac:dyDescent="0.6">
      <c r="A989" s="16" t="s">
        <v>2362</v>
      </c>
      <c r="C989" s="16" t="s">
        <v>1554</v>
      </c>
      <c r="D989" s="16" t="s">
        <v>1555</v>
      </c>
      <c r="E989" s="16" t="s">
        <v>39</v>
      </c>
      <c r="F989" s="16" t="s">
        <v>30</v>
      </c>
      <c r="G989" s="16" t="s">
        <v>31</v>
      </c>
      <c r="H989" s="16" t="s">
        <v>991</v>
      </c>
      <c r="I989" s="16" t="s">
        <v>3779</v>
      </c>
      <c r="J989" s="16" t="s">
        <v>3780</v>
      </c>
      <c r="K989" s="16" t="s">
        <v>39</v>
      </c>
      <c r="L989" s="16" t="s">
        <v>30</v>
      </c>
      <c r="M989" s="16" t="s">
        <v>31</v>
      </c>
      <c r="N989" s="16" t="s">
        <v>991</v>
      </c>
      <c r="Q989" s="17">
        <f>S989/T989</f>
        <v>0.8</v>
      </c>
      <c r="S989" s="16">
        <f>MID(D989,FIND("x",D989)+7,4)*1</f>
        <v>4800</v>
      </c>
      <c r="T989" s="16">
        <v>6000</v>
      </c>
    </row>
    <row r="990" spans="1:20" x14ac:dyDescent="0.55000000000000004">
      <c r="A990" t="s">
        <v>2363</v>
      </c>
      <c r="C990" t="s">
        <v>714</v>
      </c>
      <c r="D990" t="s">
        <v>715</v>
      </c>
      <c r="E990" t="s">
        <v>35</v>
      </c>
      <c r="F990" t="s">
        <v>30</v>
      </c>
      <c r="G990" t="s">
        <v>31</v>
      </c>
      <c r="H990" t="s">
        <v>36</v>
      </c>
      <c r="I990" t="s">
        <v>716</v>
      </c>
      <c r="J990" t="s">
        <v>717</v>
      </c>
      <c r="K990" t="s">
        <v>39</v>
      </c>
      <c r="L990" t="s">
        <v>30</v>
      </c>
      <c r="M990" t="s">
        <v>31</v>
      </c>
      <c r="N990" t="s">
        <v>4003</v>
      </c>
      <c r="Q990" s="4">
        <v>1</v>
      </c>
    </row>
    <row r="991" spans="1:20" x14ac:dyDescent="0.55000000000000004">
      <c r="A991" t="s">
        <v>2364</v>
      </c>
      <c r="C991" t="s">
        <v>716</v>
      </c>
      <c r="D991" t="s">
        <v>717</v>
      </c>
      <c r="E991" t="s">
        <v>39</v>
      </c>
      <c r="F991" t="s">
        <v>30</v>
      </c>
      <c r="G991" t="s">
        <v>31</v>
      </c>
      <c r="H991" s="11" t="s">
        <v>991</v>
      </c>
      <c r="I991" t="s">
        <v>1295</v>
      </c>
      <c r="J991" t="s">
        <v>1296</v>
      </c>
      <c r="K991" t="s">
        <v>362</v>
      </c>
      <c r="L991" t="s">
        <v>30</v>
      </c>
      <c r="M991" t="s">
        <v>31</v>
      </c>
      <c r="Q991" s="4">
        <v>1</v>
      </c>
    </row>
    <row r="992" spans="1:20" x14ac:dyDescent="0.55000000000000004">
      <c r="A992" t="s">
        <v>2365</v>
      </c>
      <c r="C992" t="s">
        <v>716</v>
      </c>
      <c r="D992" t="s">
        <v>717</v>
      </c>
      <c r="E992" t="s">
        <v>39</v>
      </c>
      <c r="F992" t="s">
        <v>30</v>
      </c>
      <c r="G992" t="s">
        <v>31</v>
      </c>
      <c r="H992" s="11" t="s">
        <v>991</v>
      </c>
      <c r="I992" t="s">
        <v>1559</v>
      </c>
      <c r="J992" t="s">
        <v>1560</v>
      </c>
      <c r="K992" t="s">
        <v>39</v>
      </c>
      <c r="L992" t="s">
        <v>30</v>
      </c>
      <c r="M992" t="s">
        <v>31</v>
      </c>
      <c r="N992" t="s">
        <v>991</v>
      </c>
      <c r="Q992" s="4">
        <v>1</v>
      </c>
    </row>
    <row r="993" spans="1:20" s="16" customFormat="1" ht="18.5" thickBot="1" x14ac:dyDescent="0.6">
      <c r="A993" s="16" t="s">
        <v>2366</v>
      </c>
      <c r="C993" s="16" t="s">
        <v>1559</v>
      </c>
      <c r="D993" s="16" t="s">
        <v>1560</v>
      </c>
      <c r="E993" s="16" t="s">
        <v>39</v>
      </c>
      <c r="F993" s="16" t="s">
        <v>30</v>
      </c>
      <c r="G993" s="16" t="s">
        <v>31</v>
      </c>
      <c r="H993" s="16" t="s">
        <v>991</v>
      </c>
      <c r="I993" s="16" t="s">
        <v>3779</v>
      </c>
      <c r="J993" s="16" t="s">
        <v>3780</v>
      </c>
      <c r="K993" s="16" t="s">
        <v>39</v>
      </c>
      <c r="L993" s="16" t="s">
        <v>30</v>
      </c>
      <c r="M993" s="16" t="s">
        <v>31</v>
      </c>
      <c r="N993" s="16" t="s">
        <v>991</v>
      </c>
      <c r="Q993" s="17">
        <f>S993/T993</f>
        <v>0.81666666666666665</v>
      </c>
      <c r="S993" s="16">
        <f>MID(D993,FIND("x",D993)+7,4)*1</f>
        <v>4900</v>
      </c>
      <c r="T993" s="16">
        <v>6000</v>
      </c>
    </row>
    <row r="994" spans="1:20" x14ac:dyDescent="0.55000000000000004">
      <c r="A994" t="s">
        <v>2367</v>
      </c>
      <c r="C994" t="s">
        <v>719</v>
      </c>
      <c r="D994" t="s">
        <v>720</v>
      </c>
      <c r="E994" t="s">
        <v>35</v>
      </c>
      <c r="F994" t="s">
        <v>30</v>
      </c>
      <c r="G994" t="s">
        <v>31</v>
      </c>
      <c r="H994" t="s">
        <v>36</v>
      </c>
      <c r="I994" t="s">
        <v>721</v>
      </c>
      <c r="J994" t="s">
        <v>722</v>
      </c>
      <c r="K994" t="s">
        <v>39</v>
      </c>
      <c r="L994" t="s">
        <v>30</v>
      </c>
      <c r="M994" t="s">
        <v>31</v>
      </c>
      <c r="N994" t="s">
        <v>4003</v>
      </c>
      <c r="Q994" s="4">
        <v>1</v>
      </c>
    </row>
    <row r="995" spans="1:20" x14ac:dyDescent="0.55000000000000004">
      <c r="A995" t="s">
        <v>2368</v>
      </c>
      <c r="C995" t="s">
        <v>721</v>
      </c>
      <c r="D995" t="s">
        <v>722</v>
      </c>
      <c r="E995" t="s">
        <v>39</v>
      </c>
      <c r="F995" t="s">
        <v>30</v>
      </c>
      <c r="G995" t="s">
        <v>31</v>
      </c>
      <c r="H995" s="11" t="s">
        <v>991</v>
      </c>
      <c r="I995" t="s">
        <v>1295</v>
      </c>
      <c r="J995" t="s">
        <v>1296</v>
      </c>
      <c r="K995" t="s">
        <v>362</v>
      </c>
      <c r="L995" t="s">
        <v>30</v>
      </c>
      <c r="M995" t="s">
        <v>31</v>
      </c>
      <c r="Q995" s="4">
        <v>1</v>
      </c>
    </row>
    <row r="996" spans="1:20" x14ac:dyDescent="0.55000000000000004">
      <c r="A996" t="s">
        <v>2369</v>
      </c>
      <c r="C996" t="s">
        <v>721</v>
      </c>
      <c r="D996" t="s">
        <v>722</v>
      </c>
      <c r="E996" t="s">
        <v>39</v>
      </c>
      <c r="F996" t="s">
        <v>30</v>
      </c>
      <c r="G996" t="s">
        <v>31</v>
      </c>
      <c r="H996" s="11" t="s">
        <v>991</v>
      </c>
      <c r="I996" t="s">
        <v>1564</v>
      </c>
      <c r="J996" t="s">
        <v>1565</v>
      </c>
      <c r="K996" t="s">
        <v>39</v>
      </c>
      <c r="L996" t="s">
        <v>30</v>
      </c>
      <c r="M996" t="s">
        <v>31</v>
      </c>
      <c r="N996" t="s">
        <v>991</v>
      </c>
      <c r="Q996" s="4">
        <v>1</v>
      </c>
    </row>
    <row r="997" spans="1:20" s="16" customFormat="1" ht="18.5" thickBot="1" x14ac:dyDescent="0.6">
      <c r="A997" s="16" t="s">
        <v>2370</v>
      </c>
      <c r="C997" s="16" t="s">
        <v>1564</v>
      </c>
      <c r="D997" s="16" t="s">
        <v>1565</v>
      </c>
      <c r="E997" s="16" t="s">
        <v>39</v>
      </c>
      <c r="F997" s="16" t="s">
        <v>30</v>
      </c>
      <c r="G997" s="16" t="s">
        <v>31</v>
      </c>
      <c r="H997" s="16" t="s">
        <v>991</v>
      </c>
      <c r="I997" s="16" t="s">
        <v>3779</v>
      </c>
      <c r="J997" s="16" t="s">
        <v>3780</v>
      </c>
      <c r="K997" s="16" t="s">
        <v>39</v>
      </c>
      <c r="L997" s="16" t="s">
        <v>30</v>
      </c>
      <c r="M997" s="16" t="s">
        <v>31</v>
      </c>
      <c r="N997" s="16" t="s">
        <v>991</v>
      </c>
      <c r="Q997" s="17">
        <f>S997/T997</f>
        <v>0.83333333333333337</v>
      </c>
      <c r="S997" s="16">
        <f>MID(D997,FIND("x",D997)+7,4)*1</f>
        <v>5000</v>
      </c>
      <c r="T997" s="16">
        <v>6000</v>
      </c>
    </row>
    <row r="998" spans="1:20" x14ac:dyDescent="0.55000000000000004">
      <c r="A998" t="s">
        <v>2371</v>
      </c>
      <c r="C998" t="s">
        <v>724</v>
      </c>
      <c r="D998" t="s">
        <v>725</v>
      </c>
      <c r="E998" t="s">
        <v>35</v>
      </c>
      <c r="F998" t="s">
        <v>30</v>
      </c>
      <c r="G998" t="s">
        <v>31</v>
      </c>
      <c r="H998" t="s">
        <v>36</v>
      </c>
      <c r="I998" t="s">
        <v>726</v>
      </c>
      <c r="J998" t="s">
        <v>727</v>
      </c>
      <c r="K998" t="s">
        <v>39</v>
      </c>
      <c r="L998" t="s">
        <v>30</v>
      </c>
      <c r="M998" t="s">
        <v>31</v>
      </c>
      <c r="N998" t="s">
        <v>4003</v>
      </c>
      <c r="Q998" s="4">
        <v>1</v>
      </c>
    </row>
    <row r="999" spans="1:20" x14ac:dyDescent="0.55000000000000004">
      <c r="A999" t="s">
        <v>2372</v>
      </c>
      <c r="C999" t="s">
        <v>726</v>
      </c>
      <c r="D999" t="s">
        <v>727</v>
      </c>
      <c r="E999" t="s">
        <v>39</v>
      </c>
      <c r="F999" t="s">
        <v>30</v>
      </c>
      <c r="G999" t="s">
        <v>31</v>
      </c>
      <c r="H999" s="11" t="s">
        <v>991</v>
      </c>
      <c r="I999" t="s">
        <v>1295</v>
      </c>
      <c r="J999" t="s">
        <v>1296</v>
      </c>
      <c r="K999" t="s">
        <v>362</v>
      </c>
      <c r="L999" t="s">
        <v>30</v>
      </c>
      <c r="M999" t="s">
        <v>31</v>
      </c>
      <c r="Q999" s="4">
        <v>1</v>
      </c>
    </row>
    <row r="1000" spans="1:20" x14ac:dyDescent="0.55000000000000004">
      <c r="A1000" t="s">
        <v>2373</v>
      </c>
      <c r="C1000" t="s">
        <v>726</v>
      </c>
      <c r="D1000" t="s">
        <v>727</v>
      </c>
      <c r="E1000" t="s">
        <v>39</v>
      </c>
      <c r="F1000" t="s">
        <v>30</v>
      </c>
      <c r="G1000" t="s">
        <v>31</v>
      </c>
      <c r="H1000" s="11" t="s">
        <v>991</v>
      </c>
      <c r="I1000" t="s">
        <v>1569</v>
      </c>
      <c r="J1000" t="s">
        <v>1570</v>
      </c>
      <c r="K1000" t="s">
        <v>39</v>
      </c>
      <c r="L1000" t="s">
        <v>30</v>
      </c>
      <c r="M1000" t="s">
        <v>31</v>
      </c>
      <c r="N1000" t="s">
        <v>991</v>
      </c>
      <c r="Q1000" s="4">
        <v>1</v>
      </c>
    </row>
    <row r="1001" spans="1:20" s="16" customFormat="1" ht="18.5" thickBot="1" x14ac:dyDescent="0.6">
      <c r="A1001" s="16" t="s">
        <v>2374</v>
      </c>
      <c r="C1001" s="16" t="s">
        <v>1569</v>
      </c>
      <c r="D1001" s="16" t="s">
        <v>1570</v>
      </c>
      <c r="E1001" s="16" t="s">
        <v>39</v>
      </c>
      <c r="F1001" s="16" t="s">
        <v>30</v>
      </c>
      <c r="G1001" s="16" t="s">
        <v>31</v>
      </c>
      <c r="H1001" s="16" t="s">
        <v>991</v>
      </c>
      <c r="I1001" s="16" t="s">
        <v>3779</v>
      </c>
      <c r="J1001" s="16" t="s">
        <v>3780</v>
      </c>
      <c r="K1001" s="16" t="s">
        <v>39</v>
      </c>
      <c r="L1001" s="16" t="s">
        <v>30</v>
      </c>
      <c r="M1001" s="16" t="s">
        <v>31</v>
      </c>
      <c r="N1001" s="16" t="s">
        <v>991</v>
      </c>
      <c r="Q1001" s="17">
        <f>S1001/T1001</f>
        <v>0.85</v>
      </c>
      <c r="S1001" s="16">
        <f>MID(D1001,FIND("x",D1001)+7,4)*1</f>
        <v>5100</v>
      </c>
      <c r="T1001" s="16">
        <v>6000</v>
      </c>
    </row>
    <row r="1002" spans="1:20" x14ac:dyDescent="0.55000000000000004">
      <c r="A1002" t="s">
        <v>2375</v>
      </c>
      <c r="C1002" t="s">
        <v>729</v>
      </c>
      <c r="D1002" t="s">
        <v>730</v>
      </c>
      <c r="E1002" t="s">
        <v>35</v>
      </c>
      <c r="F1002" t="s">
        <v>30</v>
      </c>
      <c r="G1002" t="s">
        <v>31</v>
      </c>
      <c r="H1002" t="s">
        <v>36</v>
      </c>
      <c r="I1002" t="s">
        <v>731</v>
      </c>
      <c r="J1002" t="s">
        <v>732</v>
      </c>
      <c r="K1002" t="s">
        <v>39</v>
      </c>
      <c r="L1002" t="s">
        <v>30</v>
      </c>
      <c r="M1002" t="s">
        <v>31</v>
      </c>
      <c r="N1002" t="s">
        <v>4003</v>
      </c>
      <c r="Q1002" s="4">
        <v>1</v>
      </c>
    </row>
    <row r="1003" spans="1:20" x14ac:dyDescent="0.55000000000000004">
      <c r="A1003" t="s">
        <v>2376</v>
      </c>
      <c r="C1003" t="s">
        <v>731</v>
      </c>
      <c r="D1003" t="s">
        <v>732</v>
      </c>
      <c r="E1003" t="s">
        <v>39</v>
      </c>
      <c r="F1003" t="s">
        <v>30</v>
      </c>
      <c r="G1003" t="s">
        <v>31</v>
      </c>
      <c r="H1003" s="11" t="s">
        <v>991</v>
      </c>
      <c r="I1003" t="s">
        <v>1295</v>
      </c>
      <c r="J1003" t="s">
        <v>1296</v>
      </c>
      <c r="K1003" t="s">
        <v>362</v>
      </c>
      <c r="L1003" t="s">
        <v>30</v>
      </c>
      <c r="M1003" t="s">
        <v>31</v>
      </c>
      <c r="Q1003" s="4">
        <v>1</v>
      </c>
    </row>
    <row r="1004" spans="1:20" x14ac:dyDescent="0.55000000000000004">
      <c r="A1004" t="s">
        <v>2377</v>
      </c>
      <c r="C1004" t="s">
        <v>731</v>
      </c>
      <c r="D1004" t="s">
        <v>732</v>
      </c>
      <c r="E1004" t="s">
        <v>39</v>
      </c>
      <c r="F1004" t="s">
        <v>30</v>
      </c>
      <c r="G1004" t="s">
        <v>31</v>
      </c>
      <c r="H1004" s="11" t="s">
        <v>991</v>
      </c>
      <c r="I1004" t="s">
        <v>1574</v>
      </c>
      <c r="J1004" t="s">
        <v>1575</v>
      </c>
      <c r="K1004" t="s">
        <v>39</v>
      </c>
      <c r="L1004" t="s">
        <v>30</v>
      </c>
      <c r="M1004" t="s">
        <v>31</v>
      </c>
      <c r="N1004" t="s">
        <v>991</v>
      </c>
      <c r="Q1004" s="4">
        <v>1</v>
      </c>
    </row>
    <row r="1005" spans="1:20" s="16" customFormat="1" ht="18.5" thickBot="1" x14ac:dyDescent="0.6">
      <c r="A1005" s="16" t="s">
        <v>2378</v>
      </c>
      <c r="C1005" s="16" t="s">
        <v>1574</v>
      </c>
      <c r="D1005" s="16" t="s">
        <v>1575</v>
      </c>
      <c r="E1005" s="16" t="s">
        <v>39</v>
      </c>
      <c r="F1005" s="16" t="s">
        <v>30</v>
      </c>
      <c r="G1005" s="16" t="s">
        <v>31</v>
      </c>
      <c r="H1005" s="16" t="s">
        <v>991</v>
      </c>
      <c r="I1005" s="16" t="s">
        <v>3779</v>
      </c>
      <c r="J1005" s="16" t="s">
        <v>3780</v>
      </c>
      <c r="K1005" s="16" t="s">
        <v>39</v>
      </c>
      <c r="L1005" s="16" t="s">
        <v>30</v>
      </c>
      <c r="M1005" s="16" t="s">
        <v>31</v>
      </c>
      <c r="N1005" s="16" t="s">
        <v>991</v>
      </c>
      <c r="Q1005" s="17">
        <f>S1005/T1005</f>
        <v>0.8666666666666667</v>
      </c>
      <c r="S1005" s="16">
        <f>MID(D1005,FIND("x",D1005)+7,4)*1</f>
        <v>5200</v>
      </c>
      <c r="T1005" s="16">
        <v>6000</v>
      </c>
    </row>
    <row r="1006" spans="1:20" x14ac:dyDescent="0.55000000000000004">
      <c r="A1006" t="s">
        <v>2379</v>
      </c>
      <c r="C1006" t="s">
        <v>734</v>
      </c>
      <c r="D1006" t="s">
        <v>735</v>
      </c>
      <c r="E1006" t="s">
        <v>35</v>
      </c>
      <c r="F1006" t="s">
        <v>30</v>
      </c>
      <c r="G1006" t="s">
        <v>31</v>
      </c>
      <c r="H1006" t="s">
        <v>36</v>
      </c>
      <c r="I1006" t="s">
        <v>736</v>
      </c>
      <c r="J1006" t="s">
        <v>737</v>
      </c>
      <c r="K1006" t="s">
        <v>39</v>
      </c>
      <c r="L1006" t="s">
        <v>30</v>
      </c>
      <c r="M1006" t="s">
        <v>31</v>
      </c>
      <c r="N1006" t="s">
        <v>4003</v>
      </c>
      <c r="Q1006" s="4">
        <v>1</v>
      </c>
    </row>
    <row r="1007" spans="1:20" x14ac:dyDescent="0.55000000000000004">
      <c r="A1007" t="s">
        <v>2380</v>
      </c>
      <c r="C1007" t="s">
        <v>736</v>
      </c>
      <c r="D1007" t="s">
        <v>737</v>
      </c>
      <c r="E1007" t="s">
        <v>39</v>
      </c>
      <c r="F1007" t="s">
        <v>30</v>
      </c>
      <c r="G1007" t="s">
        <v>31</v>
      </c>
      <c r="H1007" s="11" t="s">
        <v>991</v>
      </c>
      <c r="I1007" t="s">
        <v>1295</v>
      </c>
      <c r="J1007" t="s">
        <v>1296</v>
      </c>
      <c r="K1007" t="s">
        <v>362</v>
      </c>
      <c r="L1007" t="s">
        <v>30</v>
      </c>
      <c r="M1007" t="s">
        <v>31</v>
      </c>
      <c r="Q1007" s="4">
        <v>1</v>
      </c>
    </row>
    <row r="1008" spans="1:20" x14ac:dyDescent="0.55000000000000004">
      <c r="A1008" t="s">
        <v>2381</v>
      </c>
      <c r="C1008" t="s">
        <v>736</v>
      </c>
      <c r="D1008" t="s">
        <v>737</v>
      </c>
      <c r="E1008" t="s">
        <v>39</v>
      </c>
      <c r="F1008" t="s">
        <v>30</v>
      </c>
      <c r="G1008" t="s">
        <v>31</v>
      </c>
      <c r="H1008" s="11" t="s">
        <v>991</v>
      </c>
      <c r="I1008" t="s">
        <v>1579</v>
      </c>
      <c r="J1008" t="s">
        <v>1580</v>
      </c>
      <c r="K1008" t="s">
        <v>39</v>
      </c>
      <c r="L1008" t="s">
        <v>30</v>
      </c>
      <c r="M1008" t="s">
        <v>31</v>
      </c>
      <c r="N1008" t="s">
        <v>991</v>
      </c>
      <c r="Q1008" s="4">
        <v>1</v>
      </c>
    </row>
    <row r="1009" spans="1:20" s="16" customFormat="1" ht="18.5" thickBot="1" x14ac:dyDescent="0.6">
      <c r="A1009" s="16" t="s">
        <v>2382</v>
      </c>
      <c r="C1009" s="16" t="s">
        <v>1579</v>
      </c>
      <c r="D1009" s="16" t="s">
        <v>1580</v>
      </c>
      <c r="E1009" s="16" t="s">
        <v>39</v>
      </c>
      <c r="F1009" s="16" t="s">
        <v>30</v>
      </c>
      <c r="G1009" s="16" t="s">
        <v>31</v>
      </c>
      <c r="H1009" s="16" t="s">
        <v>991</v>
      </c>
      <c r="I1009" s="16" t="s">
        <v>3779</v>
      </c>
      <c r="J1009" s="16" t="s">
        <v>3780</v>
      </c>
      <c r="K1009" s="16" t="s">
        <v>39</v>
      </c>
      <c r="L1009" s="16" t="s">
        <v>30</v>
      </c>
      <c r="M1009" s="16" t="s">
        <v>31</v>
      </c>
      <c r="N1009" s="16" t="s">
        <v>991</v>
      </c>
      <c r="Q1009" s="17">
        <f>S1009/T1009</f>
        <v>0.8833333333333333</v>
      </c>
      <c r="S1009" s="16">
        <f>MID(D1009,FIND("x",D1009)+7,4)*1</f>
        <v>5300</v>
      </c>
      <c r="T1009" s="16">
        <v>6000</v>
      </c>
    </row>
    <row r="1010" spans="1:20" x14ac:dyDescent="0.55000000000000004">
      <c r="A1010" t="s">
        <v>2383</v>
      </c>
      <c r="C1010" t="s">
        <v>739</v>
      </c>
      <c r="D1010" t="s">
        <v>740</v>
      </c>
      <c r="E1010" t="s">
        <v>35</v>
      </c>
      <c r="F1010" t="s">
        <v>30</v>
      </c>
      <c r="G1010" t="s">
        <v>31</v>
      </c>
      <c r="H1010" t="s">
        <v>36</v>
      </c>
      <c r="I1010" t="s">
        <v>741</v>
      </c>
      <c r="J1010" t="s">
        <v>742</v>
      </c>
      <c r="K1010" t="s">
        <v>39</v>
      </c>
      <c r="L1010" t="s">
        <v>30</v>
      </c>
      <c r="M1010" t="s">
        <v>31</v>
      </c>
      <c r="N1010" t="s">
        <v>4003</v>
      </c>
      <c r="Q1010" s="4">
        <v>1</v>
      </c>
    </row>
    <row r="1011" spans="1:20" x14ac:dyDescent="0.55000000000000004">
      <c r="A1011" t="s">
        <v>2384</v>
      </c>
      <c r="C1011" t="s">
        <v>741</v>
      </c>
      <c r="D1011" t="s">
        <v>742</v>
      </c>
      <c r="E1011" t="s">
        <v>39</v>
      </c>
      <c r="F1011" t="s">
        <v>30</v>
      </c>
      <c r="G1011" t="s">
        <v>31</v>
      </c>
      <c r="H1011" s="11" t="s">
        <v>991</v>
      </c>
      <c r="I1011" t="s">
        <v>1295</v>
      </c>
      <c r="J1011" t="s">
        <v>1296</v>
      </c>
      <c r="K1011" t="s">
        <v>362</v>
      </c>
      <c r="L1011" t="s">
        <v>30</v>
      </c>
      <c r="M1011" t="s">
        <v>31</v>
      </c>
      <c r="Q1011" s="4">
        <v>1</v>
      </c>
    </row>
    <row r="1012" spans="1:20" x14ac:dyDescent="0.55000000000000004">
      <c r="A1012" t="s">
        <v>2385</v>
      </c>
      <c r="C1012" t="s">
        <v>741</v>
      </c>
      <c r="D1012" t="s">
        <v>742</v>
      </c>
      <c r="E1012" t="s">
        <v>39</v>
      </c>
      <c r="F1012" t="s">
        <v>30</v>
      </c>
      <c r="G1012" t="s">
        <v>31</v>
      </c>
      <c r="H1012" s="11" t="s">
        <v>991</v>
      </c>
      <c r="I1012" t="s">
        <v>1584</v>
      </c>
      <c r="J1012" t="s">
        <v>1585</v>
      </c>
      <c r="K1012" t="s">
        <v>39</v>
      </c>
      <c r="L1012" t="s">
        <v>30</v>
      </c>
      <c r="M1012" t="s">
        <v>31</v>
      </c>
      <c r="N1012" t="s">
        <v>991</v>
      </c>
      <c r="Q1012" s="4">
        <v>1</v>
      </c>
    </row>
    <row r="1013" spans="1:20" s="16" customFormat="1" ht="18.5" thickBot="1" x14ac:dyDescent="0.6">
      <c r="A1013" s="16" t="s">
        <v>2386</v>
      </c>
      <c r="C1013" s="16" t="s">
        <v>1584</v>
      </c>
      <c r="D1013" s="16" t="s">
        <v>1585</v>
      </c>
      <c r="E1013" s="16" t="s">
        <v>39</v>
      </c>
      <c r="F1013" s="16" t="s">
        <v>30</v>
      </c>
      <c r="G1013" s="16" t="s">
        <v>31</v>
      </c>
      <c r="H1013" s="16" t="s">
        <v>991</v>
      </c>
      <c r="I1013" s="16" t="s">
        <v>3779</v>
      </c>
      <c r="J1013" s="16" t="s">
        <v>3780</v>
      </c>
      <c r="K1013" s="16" t="s">
        <v>39</v>
      </c>
      <c r="L1013" s="16" t="s">
        <v>30</v>
      </c>
      <c r="M1013" s="16" t="s">
        <v>31</v>
      </c>
      <c r="N1013" s="16" t="s">
        <v>991</v>
      </c>
      <c r="Q1013" s="17">
        <f>S1013/T1013</f>
        <v>0.9</v>
      </c>
      <c r="S1013" s="16">
        <f>MID(D1013,FIND("x",D1013)+7,4)*1</f>
        <v>5400</v>
      </c>
      <c r="T1013" s="16">
        <v>6000</v>
      </c>
    </row>
    <row r="1014" spans="1:20" x14ac:dyDescent="0.55000000000000004">
      <c r="A1014" t="s">
        <v>2387</v>
      </c>
      <c r="C1014" t="s">
        <v>744</v>
      </c>
      <c r="D1014" t="s">
        <v>745</v>
      </c>
      <c r="E1014" t="s">
        <v>35</v>
      </c>
      <c r="F1014" t="s">
        <v>30</v>
      </c>
      <c r="G1014" t="s">
        <v>31</v>
      </c>
      <c r="H1014" t="s">
        <v>36</v>
      </c>
      <c r="I1014" t="s">
        <v>746</v>
      </c>
      <c r="J1014" t="s">
        <v>747</v>
      </c>
      <c r="K1014" t="s">
        <v>39</v>
      </c>
      <c r="L1014" t="s">
        <v>30</v>
      </c>
      <c r="M1014" t="s">
        <v>31</v>
      </c>
      <c r="N1014" t="s">
        <v>4003</v>
      </c>
      <c r="Q1014" s="4">
        <v>1</v>
      </c>
    </row>
    <row r="1015" spans="1:20" x14ac:dyDescent="0.55000000000000004">
      <c r="A1015" t="s">
        <v>2388</v>
      </c>
      <c r="C1015" t="s">
        <v>746</v>
      </c>
      <c r="D1015" t="s">
        <v>747</v>
      </c>
      <c r="E1015" t="s">
        <v>39</v>
      </c>
      <c r="F1015" t="s">
        <v>30</v>
      </c>
      <c r="G1015" t="s">
        <v>31</v>
      </c>
      <c r="H1015" s="11" t="s">
        <v>991</v>
      </c>
      <c r="I1015" t="s">
        <v>1295</v>
      </c>
      <c r="J1015" t="s">
        <v>1296</v>
      </c>
      <c r="K1015" t="s">
        <v>362</v>
      </c>
      <c r="L1015" t="s">
        <v>30</v>
      </c>
      <c r="M1015" t="s">
        <v>31</v>
      </c>
      <c r="Q1015" s="4">
        <v>1</v>
      </c>
    </row>
    <row r="1016" spans="1:20" x14ac:dyDescent="0.55000000000000004">
      <c r="A1016" t="s">
        <v>2389</v>
      </c>
      <c r="C1016" t="s">
        <v>746</v>
      </c>
      <c r="D1016" t="s">
        <v>747</v>
      </c>
      <c r="E1016" t="s">
        <v>39</v>
      </c>
      <c r="F1016" t="s">
        <v>30</v>
      </c>
      <c r="G1016" t="s">
        <v>31</v>
      </c>
      <c r="H1016" s="11" t="s">
        <v>991</v>
      </c>
      <c r="I1016" t="s">
        <v>1589</v>
      </c>
      <c r="J1016" t="s">
        <v>1590</v>
      </c>
      <c r="K1016" t="s">
        <v>39</v>
      </c>
      <c r="L1016" t="s">
        <v>30</v>
      </c>
      <c r="M1016" t="s">
        <v>31</v>
      </c>
      <c r="N1016" t="s">
        <v>991</v>
      </c>
      <c r="Q1016" s="4">
        <v>1</v>
      </c>
    </row>
    <row r="1017" spans="1:20" s="16" customFormat="1" ht="18.5" thickBot="1" x14ac:dyDescent="0.6">
      <c r="A1017" s="16" t="s">
        <v>2390</v>
      </c>
      <c r="C1017" s="16" t="s">
        <v>1589</v>
      </c>
      <c r="D1017" s="16" t="s">
        <v>1590</v>
      </c>
      <c r="E1017" s="16" t="s">
        <v>39</v>
      </c>
      <c r="F1017" s="16" t="s">
        <v>30</v>
      </c>
      <c r="G1017" s="16" t="s">
        <v>31</v>
      </c>
      <c r="H1017" s="16" t="s">
        <v>991</v>
      </c>
      <c r="I1017" s="16" t="s">
        <v>3779</v>
      </c>
      <c r="J1017" s="16" t="s">
        <v>3780</v>
      </c>
      <c r="K1017" s="16" t="s">
        <v>39</v>
      </c>
      <c r="L1017" s="16" t="s">
        <v>30</v>
      </c>
      <c r="M1017" s="16" t="s">
        <v>31</v>
      </c>
      <c r="N1017" s="16" t="s">
        <v>991</v>
      </c>
      <c r="Q1017" s="17">
        <f>S1017/T1017</f>
        <v>0.91666666666666663</v>
      </c>
      <c r="S1017" s="16">
        <f>MID(D1017,FIND("x",D1017)+7,4)*1</f>
        <v>5500</v>
      </c>
      <c r="T1017" s="16">
        <v>6000</v>
      </c>
    </row>
    <row r="1018" spans="1:20" x14ac:dyDescent="0.55000000000000004">
      <c r="A1018" t="s">
        <v>2391</v>
      </c>
      <c r="C1018" t="s">
        <v>749</v>
      </c>
      <c r="D1018" t="s">
        <v>750</v>
      </c>
      <c r="E1018" t="s">
        <v>35</v>
      </c>
      <c r="F1018" t="s">
        <v>30</v>
      </c>
      <c r="G1018" t="s">
        <v>31</v>
      </c>
      <c r="H1018" t="s">
        <v>36</v>
      </c>
      <c r="I1018" t="s">
        <v>751</v>
      </c>
      <c r="J1018" t="s">
        <v>752</v>
      </c>
      <c r="K1018" t="s">
        <v>39</v>
      </c>
      <c r="L1018" t="s">
        <v>30</v>
      </c>
      <c r="M1018" t="s">
        <v>31</v>
      </c>
      <c r="N1018" t="s">
        <v>4003</v>
      </c>
      <c r="Q1018" s="4">
        <v>1</v>
      </c>
    </row>
    <row r="1019" spans="1:20" x14ac:dyDescent="0.55000000000000004">
      <c r="A1019" t="s">
        <v>2392</v>
      </c>
      <c r="C1019" t="s">
        <v>751</v>
      </c>
      <c r="D1019" t="s">
        <v>752</v>
      </c>
      <c r="E1019" t="s">
        <v>39</v>
      </c>
      <c r="F1019" t="s">
        <v>30</v>
      </c>
      <c r="G1019" t="s">
        <v>31</v>
      </c>
      <c r="H1019" s="11" t="s">
        <v>991</v>
      </c>
      <c r="I1019" t="s">
        <v>1295</v>
      </c>
      <c r="J1019" t="s">
        <v>1296</v>
      </c>
      <c r="K1019" t="s">
        <v>362</v>
      </c>
      <c r="L1019" t="s">
        <v>30</v>
      </c>
      <c r="M1019" t="s">
        <v>31</v>
      </c>
      <c r="Q1019" s="4">
        <v>1</v>
      </c>
    </row>
    <row r="1020" spans="1:20" x14ac:dyDescent="0.55000000000000004">
      <c r="A1020" t="s">
        <v>2393</v>
      </c>
      <c r="C1020" t="s">
        <v>751</v>
      </c>
      <c r="D1020" t="s">
        <v>752</v>
      </c>
      <c r="E1020" t="s">
        <v>39</v>
      </c>
      <c r="F1020" t="s">
        <v>30</v>
      </c>
      <c r="G1020" t="s">
        <v>31</v>
      </c>
      <c r="H1020" s="11" t="s">
        <v>991</v>
      </c>
      <c r="I1020" t="s">
        <v>1594</v>
      </c>
      <c r="J1020" t="s">
        <v>1595</v>
      </c>
      <c r="K1020" t="s">
        <v>39</v>
      </c>
      <c r="L1020" t="s">
        <v>30</v>
      </c>
      <c r="M1020" t="s">
        <v>31</v>
      </c>
      <c r="N1020" t="s">
        <v>991</v>
      </c>
      <c r="Q1020" s="4">
        <v>1</v>
      </c>
    </row>
    <row r="1021" spans="1:20" s="16" customFormat="1" ht="18.5" thickBot="1" x14ac:dyDescent="0.6">
      <c r="A1021" s="16" t="s">
        <v>2394</v>
      </c>
      <c r="C1021" s="16" t="s">
        <v>1594</v>
      </c>
      <c r="D1021" s="16" t="s">
        <v>1595</v>
      </c>
      <c r="E1021" s="16" t="s">
        <v>39</v>
      </c>
      <c r="F1021" s="16" t="s">
        <v>30</v>
      </c>
      <c r="G1021" s="16" t="s">
        <v>31</v>
      </c>
      <c r="H1021" s="16" t="s">
        <v>991</v>
      </c>
      <c r="I1021" s="16" t="s">
        <v>3779</v>
      </c>
      <c r="J1021" s="16" t="s">
        <v>3780</v>
      </c>
      <c r="K1021" s="16" t="s">
        <v>39</v>
      </c>
      <c r="L1021" s="16" t="s">
        <v>30</v>
      </c>
      <c r="M1021" s="16" t="s">
        <v>31</v>
      </c>
      <c r="N1021" s="16" t="s">
        <v>991</v>
      </c>
      <c r="Q1021" s="17">
        <f>S1021/T1021</f>
        <v>0.93333333333333335</v>
      </c>
      <c r="S1021" s="16">
        <f>MID(D1021,FIND("x",D1021)+7,4)*1</f>
        <v>5600</v>
      </c>
      <c r="T1021" s="16">
        <v>6000</v>
      </c>
    </row>
    <row r="1022" spans="1:20" x14ac:dyDescent="0.55000000000000004">
      <c r="A1022" t="s">
        <v>2395</v>
      </c>
      <c r="C1022" t="s">
        <v>754</v>
      </c>
      <c r="D1022" t="s">
        <v>755</v>
      </c>
      <c r="E1022" t="s">
        <v>35</v>
      </c>
      <c r="F1022" t="s">
        <v>30</v>
      </c>
      <c r="G1022" t="s">
        <v>31</v>
      </c>
      <c r="H1022" t="s">
        <v>36</v>
      </c>
      <c r="I1022" t="s">
        <v>756</v>
      </c>
      <c r="J1022" t="s">
        <v>4002</v>
      </c>
      <c r="K1022" t="s">
        <v>39</v>
      </c>
      <c r="L1022" t="s">
        <v>30</v>
      </c>
      <c r="M1022" t="s">
        <v>31</v>
      </c>
      <c r="N1022" t="s">
        <v>4003</v>
      </c>
      <c r="Q1022" s="4">
        <v>1</v>
      </c>
    </row>
    <row r="1023" spans="1:20" x14ac:dyDescent="0.55000000000000004">
      <c r="A1023" t="s">
        <v>2396</v>
      </c>
      <c r="C1023" t="s">
        <v>756</v>
      </c>
      <c r="D1023" t="s">
        <v>4002</v>
      </c>
      <c r="E1023" t="s">
        <v>39</v>
      </c>
      <c r="F1023" t="s">
        <v>30</v>
      </c>
      <c r="G1023" t="s">
        <v>31</v>
      </c>
      <c r="H1023" s="11" t="s">
        <v>991</v>
      </c>
      <c r="I1023" t="s">
        <v>1599</v>
      </c>
      <c r="J1023" t="s">
        <v>1600</v>
      </c>
      <c r="K1023" t="s">
        <v>362</v>
      </c>
      <c r="L1023" t="s">
        <v>30</v>
      </c>
      <c r="M1023" t="s">
        <v>31</v>
      </c>
      <c r="Q1023" s="4">
        <v>1</v>
      </c>
    </row>
    <row r="1024" spans="1:20" x14ac:dyDescent="0.55000000000000004">
      <c r="A1024" t="s">
        <v>2397</v>
      </c>
      <c r="C1024" t="s">
        <v>756</v>
      </c>
      <c r="D1024" t="s">
        <v>757</v>
      </c>
      <c r="E1024" t="s">
        <v>39</v>
      </c>
      <c r="F1024" t="s">
        <v>30</v>
      </c>
      <c r="G1024" t="s">
        <v>31</v>
      </c>
      <c r="H1024" s="11" t="s">
        <v>991</v>
      </c>
      <c r="I1024" t="s">
        <v>1601</v>
      </c>
      <c r="J1024" t="s">
        <v>1602</v>
      </c>
      <c r="K1024" t="s">
        <v>39</v>
      </c>
      <c r="L1024" t="s">
        <v>30</v>
      </c>
      <c r="M1024" t="s">
        <v>31</v>
      </c>
      <c r="N1024" t="s">
        <v>991</v>
      </c>
      <c r="Q1024" s="4">
        <v>1</v>
      </c>
    </row>
    <row r="1025" spans="1:20" x14ac:dyDescent="0.55000000000000004">
      <c r="A1025" t="s">
        <v>2398</v>
      </c>
      <c r="C1025" t="s">
        <v>1601</v>
      </c>
      <c r="D1025" t="s">
        <v>1602</v>
      </c>
      <c r="E1025" t="s">
        <v>39</v>
      </c>
      <c r="F1025" t="s">
        <v>30</v>
      </c>
      <c r="G1025" t="s">
        <v>31</v>
      </c>
      <c r="H1025" t="s">
        <v>991</v>
      </c>
      <c r="I1025" t="s">
        <v>3781</v>
      </c>
      <c r="J1025" t="s">
        <v>3782</v>
      </c>
      <c r="K1025" t="s">
        <v>39</v>
      </c>
      <c r="L1025" t="s">
        <v>30</v>
      </c>
      <c r="M1025" t="s">
        <v>31</v>
      </c>
      <c r="N1025" t="s">
        <v>991</v>
      </c>
      <c r="Q1025" s="15">
        <f>S1025/T1025</f>
        <v>0.13333333333333333</v>
      </c>
      <c r="S1025">
        <f>MID(D1025,FIND("x",D1025)+6,3)*1</f>
        <v>800</v>
      </c>
      <c r="T1025">
        <v>6000</v>
      </c>
    </row>
    <row r="1026" spans="1:20" s="10" customFormat="1" ht="18.5" thickBot="1" x14ac:dyDescent="0.6">
      <c r="A1026" s="10" t="s">
        <v>2399</v>
      </c>
      <c r="C1026" s="10" t="s">
        <v>3781</v>
      </c>
      <c r="D1026" s="10" t="s">
        <v>3782</v>
      </c>
      <c r="E1026" s="10" t="s">
        <v>39</v>
      </c>
      <c r="F1026" s="10" t="s">
        <v>30</v>
      </c>
      <c r="G1026" s="10" t="s">
        <v>31</v>
      </c>
      <c r="H1026" s="10" t="s">
        <v>991</v>
      </c>
      <c r="I1026" s="10" t="s">
        <v>3798</v>
      </c>
      <c r="J1026" s="10" t="s">
        <v>3799</v>
      </c>
      <c r="K1026" s="10" t="s">
        <v>362</v>
      </c>
      <c r="L1026" s="10" t="s">
        <v>30</v>
      </c>
      <c r="M1026" s="10" t="s">
        <v>31</v>
      </c>
      <c r="N1026" s="3" t="s">
        <v>991</v>
      </c>
      <c r="Q1026" s="13">
        <v>1</v>
      </c>
    </row>
    <row r="1027" spans="1:20" x14ac:dyDescent="0.55000000000000004">
      <c r="A1027" t="s">
        <v>2400</v>
      </c>
      <c r="C1027" t="s">
        <v>759</v>
      </c>
      <c r="D1027" t="s">
        <v>760</v>
      </c>
      <c r="E1027" t="s">
        <v>35</v>
      </c>
      <c r="F1027" t="s">
        <v>30</v>
      </c>
      <c r="G1027" t="s">
        <v>31</v>
      </c>
      <c r="H1027" t="s">
        <v>36</v>
      </c>
      <c r="I1027" t="s">
        <v>761</v>
      </c>
      <c r="J1027" t="s">
        <v>762</v>
      </c>
      <c r="K1027" t="s">
        <v>39</v>
      </c>
      <c r="L1027" t="s">
        <v>30</v>
      </c>
      <c r="M1027" t="s">
        <v>31</v>
      </c>
      <c r="N1027" t="s">
        <v>4003</v>
      </c>
      <c r="Q1027" s="4">
        <v>1</v>
      </c>
    </row>
    <row r="1028" spans="1:20" x14ac:dyDescent="0.55000000000000004">
      <c r="A1028" t="s">
        <v>2401</v>
      </c>
      <c r="C1028" t="s">
        <v>761</v>
      </c>
      <c r="D1028" t="s">
        <v>762</v>
      </c>
      <c r="E1028" t="s">
        <v>39</v>
      </c>
      <c r="F1028" t="s">
        <v>30</v>
      </c>
      <c r="G1028" t="s">
        <v>31</v>
      </c>
      <c r="H1028" s="11" t="s">
        <v>991</v>
      </c>
      <c r="I1028" t="s">
        <v>1599</v>
      </c>
      <c r="J1028" t="s">
        <v>1600</v>
      </c>
      <c r="K1028" t="s">
        <v>362</v>
      </c>
      <c r="L1028" t="s">
        <v>30</v>
      </c>
      <c r="M1028" t="s">
        <v>31</v>
      </c>
      <c r="Q1028" s="4">
        <v>1</v>
      </c>
    </row>
    <row r="1029" spans="1:20" x14ac:dyDescent="0.55000000000000004">
      <c r="A1029" t="s">
        <v>2402</v>
      </c>
      <c r="C1029" t="s">
        <v>761</v>
      </c>
      <c r="D1029" t="s">
        <v>762</v>
      </c>
      <c r="E1029" t="s">
        <v>39</v>
      </c>
      <c r="F1029" t="s">
        <v>30</v>
      </c>
      <c r="G1029" t="s">
        <v>31</v>
      </c>
      <c r="H1029" s="11" t="s">
        <v>991</v>
      </c>
      <c r="I1029" t="s">
        <v>1606</v>
      </c>
      <c r="J1029" t="s">
        <v>1607</v>
      </c>
      <c r="K1029" t="s">
        <v>39</v>
      </c>
      <c r="L1029" t="s">
        <v>30</v>
      </c>
      <c r="M1029" t="s">
        <v>31</v>
      </c>
      <c r="N1029" t="s">
        <v>991</v>
      </c>
      <c r="Q1029" s="4">
        <v>1</v>
      </c>
    </row>
    <row r="1030" spans="1:20" s="16" customFormat="1" ht="18.5" thickBot="1" x14ac:dyDescent="0.6">
      <c r="A1030" s="16" t="s">
        <v>2403</v>
      </c>
      <c r="C1030" s="16" t="s">
        <v>1606</v>
      </c>
      <c r="D1030" s="16" t="s">
        <v>1607</v>
      </c>
      <c r="E1030" s="16" t="s">
        <v>39</v>
      </c>
      <c r="F1030" s="16" t="s">
        <v>30</v>
      </c>
      <c r="G1030" s="16" t="s">
        <v>31</v>
      </c>
      <c r="H1030" s="16" t="s">
        <v>991</v>
      </c>
      <c r="I1030" s="16" t="s">
        <v>3781</v>
      </c>
      <c r="J1030" s="16" t="s">
        <v>3782</v>
      </c>
      <c r="K1030" s="16" t="s">
        <v>39</v>
      </c>
      <c r="L1030" s="16" t="s">
        <v>30</v>
      </c>
      <c r="M1030" s="16" t="s">
        <v>31</v>
      </c>
      <c r="N1030" s="16" t="s">
        <v>991</v>
      </c>
      <c r="Q1030" s="17">
        <f>S1030/T1030</f>
        <v>0.15</v>
      </c>
      <c r="S1030" s="16">
        <f>MID(D1030,FIND("x",D1030)+6,3)*1</f>
        <v>900</v>
      </c>
      <c r="T1030" s="16">
        <v>6000</v>
      </c>
    </row>
    <row r="1031" spans="1:20" x14ac:dyDescent="0.55000000000000004">
      <c r="A1031" t="s">
        <v>2404</v>
      </c>
      <c r="C1031" t="s">
        <v>764</v>
      </c>
      <c r="D1031" t="s">
        <v>765</v>
      </c>
      <c r="E1031" t="s">
        <v>35</v>
      </c>
      <c r="F1031" t="s">
        <v>30</v>
      </c>
      <c r="G1031" t="s">
        <v>31</v>
      </c>
      <c r="H1031" t="s">
        <v>36</v>
      </c>
      <c r="I1031" t="s">
        <v>766</v>
      </c>
      <c r="J1031" t="s">
        <v>767</v>
      </c>
      <c r="K1031" t="s">
        <v>39</v>
      </c>
      <c r="L1031" t="s">
        <v>30</v>
      </c>
      <c r="M1031" t="s">
        <v>31</v>
      </c>
      <c r="N1031" t="s">
        <v>4003</v>
      </c>
      <c r="Q1031" s="4">
        <v>1</v>
      </c>
    </row>
    <row r="1032" spans="1:20" x14ac:dyDescent="0.55000000000000004">
      <c r="A1032" t="s">
        <v>2405</v>
      </c>
      <c r="C1032" t="s">
        <v>766</v>
      </c>
      <c r="D1032" t="s">
        <v>767</v>
      </c>
      <c r="E1032" t="s">
        <v>39</v>
      </c>
      <c r="F1032" t="s">
        <v>30</v>
      </c>
      <c r="G1032" t="s">
        <v>31</v>
      </c>
      <c r="H1032" s="11" t="s">
        <v>991</v>
      </c>
      <c r="I1032" t="s">
        <v>1599</v>
      </c>
      <c r="J1032" t="s">
        <v>1600</v>
      </c>
      <c r="K1032" t="s">
        <v>362</v>
      </c>
      <c r="L1032" t="s">
        <v>30</v>
      </c>
      <c r="M1032" t="s">
        <v>31</v>
      </c>
      <c r="Q1032" s="4">
        <v>1</v>
      </c>
    </row>
    <row r="1033" spans="1:20" x14ac:dyDescent="0.55000000000000004">
      <c r="A1033" t="s">
        <v>2406</v>
      </c>
      <c r="C1033" t="s">
        <v>766</v>
      </c>
      <c r="D1033" t="s">
        <v>767</v>
      </c>
      <c r="E1033" t="s">
        <v>39</v>
      </c>
      <c r="F1033" t="s">
        <v>30</v>
      </c>
      <c r="G1033" t="s">
        <v>31</v>
      </c>
      <c r="H1033" s="11" t="s">
        <v>991</v>
      </c>
      <c r="I1033" t="s">
        <v>1611</v>
      </c>
      <c r="J1033" t="s">
        <v>1612</v>
      </c>
      <c r="K1033" t="s">
        <v>39</v>
      </c>
      <c r="L1033" t="s">
        <v>30</v>
      </c>
      <c r="M1033" t="s">
        <v>31</v>
      </c>
      <c r="N1033" t="s">
        <v>991</v>
      </c>
      <c r="Q1033" s="4">
        <v>1</v>
      </c>
    </row>
    <row r="1034" spans="1:20" s="16" customFormat="1" ht="18.5" thickBot="1" x14ac:dyDescent="0.6">
      <c r="A1034" s="16" t="s">
        <v>2407</v>
      </c>
      <c r="C1034" s="16" t="s">
        <v>1611</v>
      </c>
      <c r="D1034" s="16" t="s">
        <v>1612</v>
      </c>
      <c r="E1034" s="16" t="s">
        <v>39</v>
      </c>
      <c r="F1034" s="16" t="s">
        <v>30</v>
      </c>
      <c r="G1034" s="16" t="s">
        <v>31</v>
      </c>
      <c r="H1034" s="16" t="s">
        <v>991</v>
      </c>
      <c r="I1034" s="16" t="s">
        <v>3781</v>
      </c>
      <c r="J1034" s="16" t="s">
        <v>3782</v>
      </c>
      <c r="K1034" s="16" t="s">
        <v>39</v>
      </c>
      <c r="L1034" s="16" t="s">
        <v>30</v>
      </c>
      <c r="M1034" s="16" t="s">
        <v>31</v>
      </c>
      <c r="N1034" s="16" t="s">
        <v>991</v>
      </c>
      <c r="Q1034" s="17">
        <f>S1034/T1034</f>
        <v>0.16666666666666666</v>
      </c>
      <c r="S1034" s="16">
        <f>MID(D1034,FIND("x",D1034)+7,4)*1</f>
        <v>1000</v>
      </c>
      <c r="T1034" s="16">
        <v>6000</v>
      </c>
    </row>
    <row r="1035" spans="1:20" x14ac:dyDescent="0.55000000000000004">
      <c r="A1035" t="s">
        <v>2408</v>
      </c>
      <c r="C1035" t="s">
        <v>769</v>
      </c>
      <c r="D1035" t="s">
        <v>770</v>
      </c>
      <c r="E1035" t="s">
        <v>35</v>
      </c>
      <c r="F1035" t="s">
        <v>30</v>
      </c>
      <c r="G1035" t="s">
        <v>31</v>
      </c>
      <c r="H1035" t="s">
        <v>36</v>
      </c>
      <c r="I1035" t="s">
        <v>771</v>
      </c>
      <c r="J1035" t="s">
        <v>772</v>
      </c>
      <c r="K1035" t="s">
        <v>39</v>
      </c>
      <c r="L1035" t="s">
        <v>30</v>
      </c>
      <c r="M1035" t="s">
        <v>31</v>
      </c>
      <c r="N1035" t="s">
        <v>4003</v>
      </c>
      <c r="Q1035" s="4">
        <v>1</v>
      </c>
    </row>
    <row r="1036" spans="1:20" x14ac:dyDescent="0.55000000000000004">
      <c r="A1036" t="s">
        <v>2409</v>
      </c>
      <c r="C1036" t="s">
        <v>771</v>
      </c>
      <c r="D1036" t="s">
        <v>772</v>
      </c>
      <c r="E1036" t="s">
        <v>39</v>
      </c>
      <c r="F1036" t="s">
        <v>30</v>
      </c>
      <c r="G1036" t="s">
        <v>31</v>
      </c>
      <c r="H1036" s="11" t="s">
        <v>991</v>
      </c>
      <c r="I1036" t="s">
        <v>1599</v>
      </c>
      <c r="J1036" t="s">
        <v>1600</v>
      </c>
      <c r="K1036" t="s">
        <v>362</v>
      </c>
      <c r="L1036" t="s">
        <v>30</v>
      </c>
      <c r="M1036" t="s">
        <v>31</v>
      </c>
      <c r="Q1036" s="4">
        <v>1</v>
      </c>
    </row>
    <row r="1037" spans="1:20" x14ac:dyDescent="0.55000000000000004">
      <c r="A1037" t="s">
        <v>2410</v>
      </c>
      <c r="C1037" t="s">
        <v>771</v>
      </c>
      <c r="D1037" t="s">
        <v>772</v>
      </c>
      <c r="E1037" t="s">
        <v>39</v>
      </c>
      <c r="F1037" t="s">
        <v>30</v>
      </c>
      <c r="G1037" t="s">
        <v>31</v>
      </c>
      <c r="H1037" s="11" t="s">
        <v>991</v>
      </c>
      <c r="I1037" t="s">
        <v>1616</v>
      </c>
      <c r="J1037" t="s">
        <v>1617</v>
      </c>
      <c r="K1037" t="s">
        <v>39</v>
      </c>
      <c r="L1037" t="s">
        <v>30</v>
      </c>
      <c r="M1037" t="s">
        <v>31</v>
      </c>
      <c r="N1037" t="s">
        <v>991</v>
      </c>
      <c r="Q1037" s="4">
        <v>1</v>
      </c>
    </row>
    <row r="1038" spans="1:20" s="16" customFormat="1" ht="18.5" thickBot="1" x14ac:dyDescent="0.6">
      <c r="A1038" s="16" t="s">
        <v>2411</v>
      </c>
      <c r="C1038" s="16" t="s">
        <v>1616</v>
      </c>
      <c r="D1038" s="16" t="s">
        <v>1617</v>
      </c>
      <c r="E1038" s="16" t="s">
        <v>39</v>
      </c>
      <c r="F1038" s="16" t="s">
        <v>30</v>
      </c>
      <c r="G1038" s="16" t="s">
        <v>31</v>
      </c>
      <c r="H1038" s="16" t="s">
        <v>991</v>
      </c>
      <c r="I1038" s="16" t="s">
        <v>3781</v>
      </c>
      <c r="J1038" s="16" t="s">
        <v>3782</v>
      </c>
      <c r="K1038" s="16" t="s">
        <v>39</v>
      </c>
      <c r="L1038" s="16" t="s">
        <v>30</v>
      </c>
      <c r="M1038" s="16" t="s">
        <v>31</v>
      </c>
      <c r="N1038" s="16" t="s">
        <v>991</v>
      </c>
      <c r="Q1038" s="17">
        <f>S1038/T1038</f>
        <v>0.18333333333333332</v>
      </c>
      <c r="S1038" s="16">
        <f>MID(D1038,FIND("x",D1038)+7,4)*1</f>
        <v>1100</v>
      </c>
      <c r="T1038" s="16">
        <v>6000</v>
      </c>
    </row>
    <row r="1039" spans="1:20" x14ac:dyDescent="0.55000000000000004">
      <c r="A1039" t="s">
        <v>2412</v>
      </c>
      <c r="C1039" t="s">
        <v>774</v>
      </c>
      <c r="D1039" t="s">
        <v>775</v>
      </c>
      <c r="E1039" t="s">
        <v>35</v>
      </c>
      <c r="F1039" t="s">
        <v>30</v>
      </c>
      <c r="G1039" t="s">
        <v>31</v>
      </c>
      <c r="H1039" t="s">
        <v>36</v>
      </c>
      <c r="I1039" t="s">
        <v>776</v>
      </c>
      <c r="J1039" t="s">
        <v>777</v>
      </c>
      <c r="K1039" t="s">
        <v>39</v>
      </c>
      <c r="L1039" t="s">
        <v>30</v>
      </c>
      <c r="M1039" t="s">
        <v>31</v>
      </c>
      <c r="N1039" t="s">
        <v>4003</v>
      </c>
      <c r="Q1039" s="4">
        <v>1</v>
      </c>
    </row>
    <row r="1040" spans="1:20" x14ac:dyDescent="0.55000000000000004">
      <c r="A1040" t="s">
        <v>2413</v>
      </c>
      <c r="C1040" t="s">
        <v>776</v>
      </c>
      <c r="D1040" t="s">
        <v>777</v>
      </c>
      <c r="E1040" t="s">
        <v>39</v>
      </c>
      <c r="F1040" t="s">
        <v>30</v>
      </c>
      <c r="G1040" t="s">
        <v>31</v>
      </c>
      <c r="H1040" s="11" t="s">
        <v>991</v>
      </c>
      <c r="I1040" t="s">
        <v>1599</v>
      </c>
      <c r="J1040" t="s">
        <v>1600</v>
      </c>
      <c r="K1040" t="s">
        <v>362</v>
      </c>
      <c r="L1040" t="s">
        <v>30</v>
      </c>
      <c r="M1040" t="s">
        <v>31</v>
      </c>
      <c r="Q1040" s="4">
        <v>1</v>
      </c>
    </row>
    <row r="1041" spans="1:20" x14ac:dyDescent="0.55000000000000004">
      <c r="A1041" t="s">
        <v>2414</v>
      </c>
      <c r="C1041" t="s">
        <v>776</v>
      </c>
      <c r="D1041" t="s">
        <v>777</v>
      </c>
      <c r="E1041" t="s">
        <v>39</v>
      </c>
      <c r="F1041" t="s">
        <v>30</v>
      </c>
      <c r="G1041" t="s">
        <v>31</v>
      </c>
      <c r="H1041" s="11" t="s">
        <v>991</v>
      </c>
      <c r="I1041" t="s">
        <v>1621</v>
      </c>
      <c r="J1041" t="s">
        <v>1622</v>
      </c>
      <c r="K1041" t="s">
        <v>39</v>
      </c>
      <c r="L1041" t="s">
        <v>30</v>
      </c>
      <c r="M1041" t="s">
        <v>31</v>
      </c>
      <c r="N1041" t="s">
        <v>991</v>
      </c>
      <c r="Q1041" s="4">
        <v>1</v>
      </c>
    </row>
    <row r="1042" spans="1:20" s="16" customFormat="1" ht="18.5" thickBot="1" x14ac:dyDescent="0.6">
      <c r="A1042" s="16" t="s">
        <v>2415</v>
      </c>
      <c r="C1042" s="16" t="s">
        <v>1621</v>
      </c>
      <c r="D1042" s="16" t="s">
        <v>1622</v>
      </c>
      <c r="E1042" s="16" t="s">
        <v>39</v>
      </c>
      <c r="F1042" s="16" t="s">
        <v>30</v>
      </c>
      <c r="G1042" s="16" t="s">
        <v>31</v>
      </c>
      <c r="H1042" s="16" t="s">
        <v>991</v>
      </c>
      <c r="I1042" s="16" t="s">
        <v>3781</v>
      </c>
      <c r="J1042" s="16" t="s">
        <v>3782</v>
      </c>
      <c r="K1042" s="16" t="s">
        <v>39</v>
      </c>
      <c r="L1042" s="16" t="s">
        <v>30</v>
      </c>
      <c r="M1042" s="16" t="s">
        <v>31</v>
      </c>
      <c r="N1042" s="16" t="s">
        <v>991</v>
      </c>
      <c r="Q1042" s="17">
        <f>S1042/T1042</f>
        <v>0.2</v>
      </c>
      <c r="S1042" s="16">
        <f>MID(D1042,FIND("x",D1042)+7,4)*1</f>
        <v>1200</v>
      </c>
      <c r="T1042" s="16">
        <v>6000</v>
      </c>
    </row>
    <row r="1043" spans="1:20" x14ac:dyDescent="0.55000000000000004">
      <c r="A1043" t="s">
        <v>2416</v>
      </c>
      <c r="C1043" t="s">
        <v>779</v>
      </c>
      <c r="D1043" t="s">
        <v>780</v>
      </c>
      <c r="E1043" t="s">
        <v>35</v>
      </c>
      <c r="F1043" t="s">
        <v>30</v>
      </c>
      <c r="G1043" t="s">
        <v>31</v>
      </c>
      <c r="H1043" t="s">
        <v>36</v>
      </c>
      <c r="I1043" t="s">
        <v>781</v>
      </c>
      <c r="J1043" t="s">
        <v>782</v>
      </c>
      <c r="K1043" t="s">
        <v>39</v>
      </c>
      <c r="L1043" t="s">
        <v>30</v>
      </c>
      <c r="M1043" t="s">
        <v>31</v>
      </c>
      <c r="N1043" t="s">
        <v>4003</v>
      </c>
      <c r="Q1043" s="4">
        <v>1</v>
      </c>
    </row>
    <row r="1044" spans="1:20" x14ac:dyDescent="0.55000000000000004">
      <c r="A1044" t="s">
        <v>2417</v>
      </c>
      <c r="C1044" t="s">
        <v>781</v>
      </c>
      <c r="D1044" t="s">
        <v>782</v>
      </c>
      <c r="E1044" t="s">
        <v>39</v>
      </c>
      <c r="F1044" t="s">
        <v>30</v>
      </c>
      <c r="G1044" t="s">
        <v>31</v>
      </c>
      <c r="H1044" s="11" t="s">
        <v>991</v>
      </c>
      <c r="I1044" t="s">
        <v>1599</v>
      </c>
      <c r="J1044" t="s">
        <v>1600</v>
      </c>
      <c r="K1044" t="s">
        <v>362</v>
      </c>
      <c r="L1044" t="s">
        <v>30</v>
      </c>
      <c r="M1044" t="s">
        <v>31</v>
      </c>
      <c r="Q1044" s="4">
        <v>1</v>
      </c>
    </row>
    <row r="1045" spans="1:20" x14ac:dyDescent="0.55000000000000004">
      <c r="A1045" t="s">
        <v>2418</v>
      </c>
      <c r="C1045" t="s">
        <v>781</v>
      </c>
      <c r="D1045" t="s">
        <v>782</v>
      </c>
      <c r="E1045" t="s">
        <v>39</v>
      </c>
      <c r="F1045" t="s">
        <v>30</v>
      </c>
      <c r="G1045" t="s">
        <v>31</v>
      </c>
      <c r="H1045" s="11" t="s">
        <v>991</v>
      </c>
      <c r="I1045" t="s">
        <v>1626</v>
      </c>
      <c r="J1045" t="s">
        <v>1627</v>
      </c>
      <c r="K1045" t="s">
        <v>39</v>
      </c>
      <c r="L1045" t="s">
        <v>30</v>
      </c>
      <c r="M1045" t="s">
        <v>31</v>
      </c>
      <c r="N1045" t="s">
        <v>991</v>
      </c>
      <c r="Q1045" s="4">
        <v>1</v>
      </c>
    </row>
    <row r="1046" spans="1:20" s="16" customFormat="1" ht="18.5" thickBot="1" x14ac:dyDescent="0.6">
      <c r="A1046" s="16" t="s">
        <v>2419</v>
      </c>
      <c r="C1046" s="16" t="s">
        <v>1626</v>
      </c>
      <c r="D1046" s="16" t="s">
        <v>1627</v>
      </c>
      <c r="E1046" s="16" t="s">
        <v>39</v>
      </c>
      <c r="F1046" s="16" t="s">
        <v>30</v>
      </c>
      <c r="G1046" s="16" t="s">
        <v>31</v>
      </c>
      <c r="H1046" s="16" t="s">
        <v>991</v>
      </c>
      <c r="I1046" s="16" t="s">
        <v>3781</v>
      </c>
      <c r="J1046" s="16" t="s">
        <v>3782</v>
      </c>
      <c r="K1046" s="16" t="s">
        <v>39</v>
      </c>
      <c r="L1046" s="16" t="s">
        <v>30</v>
      </c>
      <c r="M1046" s="16" t="s">
        <v>31</v>
      </c>
      <c r="N1046" s="16" t="s">
        <v>991</v>
      </c>
      <c r="Q1046" s="17">
        <f>S1046/T1046</f>
        <v>0.21666666666666667</v>
      </c>
      <c r="S1046" s="16">
        <f>MID(D1046,FIND("x",D1046)+7,4)*1</f>
        <v>1300</v>
      </c>
      <c r="T1046" s="16">
        <v>6000</v>
      </c>
    </row>
    <row r="1047" spans="1:20" x14ac:dyDescent="0.55000000000000004">
      <c r="A1047" t="s">
        <v>2420</v>
      </c>
      <c r="C1047" t="s">
        <v>784</v>
      </c>
      <c r="D1047" t="s">
        <v>785</v>
      </c>
      <c r="E1047" t="s">
        <v>35</v>
      </c>
      <c r="F1047" t="s">
        <v>30</v>
      </c>
      <c r="G1047" t="s">
        <v>31</v>
      </c>
      <c r="H1047" t="s">
        <v>36</v>
      </c>
      <c r="I1047" t="s">
        <v>786</v>
      </c>
      <c r="J1047" t="s">
        <v>787</v>
      </c>
      <c r="K1047" t="s">
        <v>39</v>
      </c>
      <c r="L1047" t="s">
        <v>30</v>
      </c>
      <c r="M1047" t="s">
        <v>31</v>
      </c>
      <c r="N1047" t="s">
        <v>4003</v>
      </c>
      <c r="Q1047" s="4">
        <v>1</v>
      </c>
    </row>
    <row r="1048" spans="1:20" x14ac:dyDescent="0.55000000000000004">
      <c r="A1048" t="s">
        <v>2421</v>
      </c>
      <c r="C1048" t="s">
        <v>786</v>
      </c>
      <c r="D1048" t="s">
        <v>787</v>
      </c>
      <c r="E1048" t="s">
        <v>39</v>
      </c>
      <c r="F1048" t="s">
        <v>30</v>
      </c>
      <c r="G1048" t="s">
        <v>31</v>
      </c>
      <c r="H1048" s="11" t="s">
        <v>991</v>
      </c>
      <c r="I1048" t="s">
        <v>1599</v>
      </c>
      <c r="J1048" t="s">
        <v>1600</v>
      </c>
      <c r="K1048" t="s">
        <v>362</v>
      </c>
      <c r="L1048" t="s">
        <v>30</v>
      </c>
      <c r="M1048" t="s">
        <v>31</v>
      </c>
      <c r="Q1048" s="4">
        <v>1</v>
      </c>
    </row>
    <row r="1049" spans="1:20" x14ac:dyDescent="0.55000000000000004">
      <c r="A1049" t="s">
        <v>2422</v>
      </c>
      <c r="C1049" t="s">
        <v>786</v>
      </c>
      <c r="D1049" t="s">
        <v>787</v>
      </c>
      <c r="E1049" t="s">
        <v>39</v>
      </c>
      <c r="F1049" t="s">
        <v>30</v>
      </c>
      <c r="G1049" t="s">
        <v>31</v>
      </c>
      <c r="H1049" s="11" t="s">
        <v>991</v>
      </c>
      <c r="I1049" t="s">
        <v>1631</v>
      </c>
      <c r="J1049" t="s">
        <v>1632</v>
      </c>
      <c r="K1049" t="s">
        <v>39</v>
      </c>
      <c r="L1049" t="s">
        <v>30</v>
      </c>
      <c r="M1049" t="s">
        <v>31</v>
      </c>
      <c r="N1049" t="s">
        <v>991</v>
      </c>
      <c r="Q1049" s="4">
        <v>1</v>
      </c>
    </row>
    <row r="1050" spans="1:20" s="16" customFormat="1" ht="18.5" thickBot="1" x14ac:dyDescent="0.6">
      <c r="A1050" s="16" t="s">
        <v>2423</v>
      </c>
      <c r="C1050" s="16" t="s">
        <v>1631</v>
      </c>
      <c r="D1050" s="16" t="s">
        <v>1632</v>
      </c>
      <c r="E1050" s="16" t="s">
        <v>39</v>
      </c>
      <c r="F1050" s="16" t="s">
        <v>30</v>
      </c>
      <c r="G1050" s="16" t="s">
        <v>31</v>
      </c>
      <c r="H1050" s="16" t="s">
        <v>991</v>
      </c>
      <c r="I1050" s="16" t="s">
        <v>3781</v>
      </c>
      <c r="J1050" s="16" t="s">
        <v>3782</v>
      </c>
      <c r="K1050" s="16" t="s">
        <v>39</v>
      </c>
      <c r="L1050" s="16" t="s">
        <v>30</v>
      </c>
      <c r="M1050" s="16" t="s">
        <v>31</v>
      </c>
      <c r="N1050" s="16" t="s">
        <v>991</v>
      </c>
      <c r="Q1050" s="17">
        <f>S1050/T1050</f>
        <v>0.23333333333333334</v>
      </c>
      <c r="S1050" s="16">
        <f>MID(D1050,FIND("x",D1050)+7,4)*1</f>
        <v>1400</v>
      </c>
      <c r="T1050" s="16">
        <v>6000</v>
      </c>
    </row>
    <row r="1051" spans="1:20" x14ac:dyDescent="0.55000000000000004">
      <c r="A1051" t="s">
        <v>2424</v>
      </c>
      <c r="C1051" t="s">
        <v>789</v>
      </c>
      <c r="D1051" t="s">
        <v>790</v>
      </c>
      <c r="E1051" t="s">
        <v>35</v>
      </c>
      <c r="F1051" t="s">
        <v>30</v>
      </c>
      <c r="G1051" t="s">
        <v>31</v>
      </c>
      <c r="H1051" t="s">
        <v>36</v>
      </c>
      <c r="I1051" t="s">
        <v>791</v>
      </c>
      <c r="J1051" t="s">
        <v>792</v>
      </c>
      <c r="K1051" t="s">
        <v>39</v>
      </c>
      <c r="L1051" t="s">
        <v>30</v>
      </c>
      <c r="M1051" t="s">
        <v>31</v>
      </c>
      <c r="N1051" t="s">
        <v>4003</v>
      </c>
      <c r="Q1051" s="4">
        <v>1</v>
      </c>
    </row>
    <row r="1052" spans="1:20" x14ac:dyDescent="0.55000000000000004">
      <c r="A1052" t="s">
        <v>2425</v>
      </c>
      <c r="C1052" t="s">
        <v>791</v>
      </c>
      <c r="D1052" t="s">
        <v>792</v>
      </c>
      <c r="E1052" t="s">
        <v>39</v>
      </c>
      <c r="F1052" t="s">
        <v>30</v>
      </c>
      <c r="G1052" t="s">
        <v>31</v>
      </c>
      <c r="H1052" s="11" t="s">
        <v>991</v>
      </c>
      <c r="I1052" t="s">
        <v>1599</v>
      </c>
      <c r="J1052" t="s">
        <v>1600</v>
      </c>
      <c r="K1052" t="s">
        <v>362</v>
      </c>
      <c r="L1052" t="s">
        <v>30</v>
      </c>
      <c r="M1052" t="s">
        <v>31</v>
      </c>
      <c r="Q1052" s="4">
        <v>1</v>
      </c>
    </row>
    <row r="1053" spans="1:20" x14ac:dyDescent="0.55000000000000004">
      <c r="A1053" t="s">
        <v>2426</v>
      </c>
      <c r="C1053" t="s">
        <v>791</v>
      </c>
      <c r="D1053" t="s">
        <v>792</v>
      </c>
      <c r="E1053" t="s">
        <v>39</v>
      </c>
      <c r="F1053" t="s">
        <v>30</v>
      </c>
      <c r="G1053" t="s">
        <v>31</v>
      </c>
      <c r="H1053" s="11" t="s">
        <v>991</v>
      </c>
      <c r="I1053" t="s">
        <v>1636</v>
      </c>
      <c r="J1053" t="s">
        <v>1637</v>
      </c>
      <c r="K1053" t="s">
        <v>39</v>
      </c>
      <c r="L1053" t="s">
        <v>30</v>
      </c>
      <c r="M1053" t="s">
        <v>31</v>
      </c>
      <c r="N1053" t="s">
        <v>991</v>
      </c>
      <c r="Q1053" s="4">
        <v>1</v>
      </c>
    </row>
    <row r="1054" spans="1:20" s="16" customFormat="1" ht="18.5" thickBot="1" x14ac:dyDescent="0.6">
      <c r="A1054" s="16" t="s">
        <v>2427</v>
      </c>
      <c r="C1054" s="16" t="s">
        <v>1636</v>
      </c>
      <c r="D1054" s="16" t="s">
        <v>1637</v>
      </c>
      <c r="E1054" s="16" t="s">
        <v>39</v>
      </c>
      <c r="F1054" s="16" t="s">
        <v>30</v>
      </c>
      <c r="G1054" s="16" t="s">
        <v>31</v>
      </c>
      <c r="H1054" s="16" t="s">
        <v>991</v>
      </c>
      <c r="I1054" s="16" t="s">
        <v>3781</v>
      </c>
      <c r="J1054" s="16" t="s">
        <v>3782</v>
      </c>
      <c r="K1054" s="16" t="s">
        <v>39</v>
      </c>
      <c r="L1054" s="16" t="s">
        <v>30</v>
      </c>
      <c r="M1054" s="16" t="s">
        <v>31</v>
      </c>
      <c r="N1054" s="16" t="s">
        <v>991</v>
      </c>
      <c r="Q1054" s="17">
        <f>S1054/T1054</f>
        <v>0.25</v>
      </c>
      <c r="S1054" s="16">
        <f>MID(D1054,FIND("x",D1054)+7,4)*1</f>
        <v>1500</v>
      </c>
      <c r="T1054" s="16">
        <v>6000</v>
      </c>
    </row>
    <row r="1055" spans="1:20" x14ac:dyDescent="0.55000000000000004">
      <c r="A1055" t="s">
        <v>2428</v>
      </c>
      <c r="C1055" t="s">
        <v>794</v>
      </c>
      <c r="D1055" t="s">
        <v>795</v>
      </c>
      <c r="E1055" t="s">
        <v>35</v>
      </c>
      <c r="F1055" t="s">
        <v>30</v>
      </c>
      <c r="G1055" t="s">
        <v>31</v>
      </c>
      <c r="H1055" t="s">
        <v>36</v>
      </c>
      <c r="I1055" t="s">
        <v>796</v>
      </c>
      <c r="J1055" t="s">
        <v>797</v>
      </c>
      <c r="K1055" t="s">
        <v>39</v>
      </c>
      <c r="L1055" t="s">
        <v>30</v>
      </c>
      <c r="M1055" t="s">
        <v>31</v>
      </c>
      <c r="N1055" t="s">
        <v>4003</v>
      </c>
      <c r="Q1055" s="4">
        <v>1</v>
      </c>
    </row>
    <row r="1056" spans="1:20" x14ac:dyDescent="0.55000000000000004">
      <c r="A1056" t="s">
        <v>2429</v>
      </c>
      <c r="C1056" t="s">
        <v>796</v>
      </c>
      <c r="D1056" t="s">
        <v>797</v>
      </c>
      <c r="E1056" t="s">
        <v>39</v>
      </c>
      <c r="F1056" t="s">
        <v>30</v>
      </c>
      <c r="G1056" t="s">
        <v>31</v>
      </c>
      <c r="H1056" s="11" t="s">
        <v>991</v>
      </c>
      <c r="I1056" t="s">
        <v>1599</v>
      </c>
      <c r="J1056" t="s">
        <v>1600</v>
      </c>
      <c r="K1056" t="s">
        <v>362</v>
      </c>
      <c r="L1056" t="s">
        <v>30</v>
      </c>
      <c r="M1056" t="s">
        <v>31</v>
      </c>
      <c r="Q1056" s="4">
        <v>1</v>
      </c>
    </row>
    <row r="1057" spans="1:20" x14ac:dyDescent="0.55000000000000004">
      <c r="A1057" t="s">
        <v>2430</v>
      </c>
      <c r="C1057" t="s">
        <v>796</v>
      </c>
      <c r="D1057" t="s">
        <v>797</v>
      </c>
      <c r="E1057" t="s">
        <v>39</v>
      </c>
      <c r="F1057" t="s">
        <v>30</v>
      </c>
      <c r="G1057" t="s">
        <v>31</v>
      </c>
      <c r="H1057" s="11" t="s">
        <v>991</v>
      </c>
      <c r="I1057" t="s">
        <v>1641</v>
      </c>
      <c r="J1057" t="s">
        <v>1642</v>
      </c>
      <c r="K1057" t="s">
        <v>39</v>
      </c>
      <c r="L1057" t="s">
        <v>30</v>
      </c>
      <c r="M1057" t="s">
        <v>31</v>
      </c>
      <c r="N1057" t="s">
        <v>991</v>
      </c>
      <c r="Q1057" s="4">
        <v>1</v>
      </c>
    </row>
    <row r="1058" spans="1:20" s="16" customFormat="1" ht="18.5" thickBot="1" x14ac:dyDescent="0.6">
      <c r="A1058" s="16" t="s">
        <v>2431</v>
      </c>
      <c r="C1058" s="16" t="s">
        <v>1641</v>
      </c>
      <c r="D1058" s="16" t="s">
        <v>1642</v>
      </c>
      <c r="E1058" s="16" t="s">
        <v>39</v>
      </c>
      <c r="F1058" s="16" t="s">
        <v>30</v>
      </c>
      <c r="G1058" s="16" t="s">
        <v>31</v>
      </c>
      <c r="H1058" s="16" t="s">
        <v>991</v>
      </c>
      <c r="I1058" s="16" t="s">
        <v>3781</v>
      </c>
      <c r="J1058" s="16" t="s">
        <v>3782</v>
      </c>
      <c r="K1058" s="16" t="s">
        <v>39</v>
      </c>
      <c r="L1058" s="16" t="s">
        <v>30</v>
      </c>
      <c r="M1058" s="16" t="s">
        <v>31</v>
      </c>
      <c r="N1058" s="16" t="s">
        <v>991</v>
      </c>
      <c r="Q1058" s="17">
        <f>S1058/T1058</f>
        <v>0.26666666666666666</v>
      </c>
      <c r="S1058" s="16">
        <f>MID(D1058,FIND("x",D1058)+7,4)*1</f>
        <v>1600</v>
      </c>
      <c r="T1058" s="16">
        <v>6000</v>
      </c>
    </row>
    <row r="1059" spans="1:20" x14ac:dyDescent="0.55000000000000004">
      <c r="A1059" t="s">
        <v>2432</v>
      </c>
      <c r="C1059" t="s">
        <v>799</v>
      </c>
      <c r="D1059" t="s">
        <v>800</v>
      </c>
      <c r="E1059" t="s">
        <v>35</v>
      </c>
      <c r="F1059" t="s">
        <v>30</v>
      </c>
      <c r="G1059" t="s">
        <v>31</v>
      </c>
      <c r="H1059" t="s">
        <v>36</v>
      </c>
      <c r="I1059" t="s">
        <v>801</v>
      </c>
      <c r="J1059" t="s">
        <v>802</v>
      </c>
      <c r="K1059" t="s">
        <v>39</v>
      </c>
      <c r="L1059" t="s">
        <v>30</v>
      </c>
      <c r="M1059" t="s">
        <v>31</v>
      </c>
      <c r="N1059" t="s">
        <v>4003</v>
      </c>
      <c r="Q1059" s="4">
        <v>1</v>
      </c>
    </row>
    <row r="1060" spans="1:20" x14ac:dyDescent="0.55000000000000004">
      <c r="A1060" t="s">
        <v>2433</v>
      </c>
      <c r="C1060" t="s">
        <v>801</v>
      </c>
      <c r="D1060" t="s">
        <v>802</v>
      </c>
      <c r="E1060" t="s">
        <v>39</v>
      </c>
      <c r="F1060" t="s">
        <v>30</v>
      </c>
      <c r="G1060" t="s">
        <v>31</v>
      </c>
      <c r="H1060" s="11" t="s">
        <v>991</v>
      </c>
      <c r="I1060" t="s">
        <v>1599</v>
      </c>
      <c r="J1060" t="s">
        <v>1600</v>
      </c>
      <c r="K1060" t="s">
        <v>362</v>
      </c>
      <c r="L1060" t="s">
        <v>30</v>
      </c>
      <c r="M1060" t="s">
        <v>31</v>
      </c>
      <c r="Q1060" s="4">
        <v>1</v>
      </c>
    </row>
    <row r="1061" spans="1:20" x14ac:dyDescent="0.55000000000000004">
      <c r="A1061" t="s">
        <v>2434</v>
      </c>
      <c r="C1061" t="s">
        <v>801</v>
      </c>
      <c r="D1061" t="s">
        <v>802</v>
      </c>
      <c r="E1061" t="s">
        <v>39</v>
      </c>
      <c r="F1061" t="s">
        <v>30</v>
      </c>
      <c r="G1061" t="s">
        <v>31</v>
      </c>
      <c r="H1061" s="11" t="s">
        <v>991</v>
      </c>
      <c r="I1061" t="s">
        <v>1646</v>
      </c>
      <c r="J1061" t="s">
        <v>1647</v>
      </c>
      <c r="K1061" t="s">
        <v>39</v>
      </c>
      <c r="L1061" t="s">
        <v>30</v>
      </c>
      <c r="M1061" t="s">
        <v>31</v>
      </c>
      <c r="N1061" t="s">
        <v>991</v>
      </c>
      <c r="Q1061" s="4">
        <v>1</v>
      </c>
    </row>
    <row r="1062" spans="1:20" s="16" customFormat="1" ht="18.5" thickBot="1" x14ac:dyDescent="0.6">
      <c r="A1062" s="16" t="s">
        <v>2435</v>
      </c>
      <c r="C1062" s="16" t="s">
        <v>1646</v>
      </c>
      <c r="D1062" s="16" t="s">
        <v>1647</v>
      </c>
      <c r="E1062" s="16" t="s">
        <v>39</v>
      </c>
      <c r="F1062" s="16" t="s">
        <v>30</v>
      </c>
      <c r="G1062" s="16" t="s">
        <v>31</v>
      </c>
      <c r="H1062" s="16" t="s">
        <v>991</v>
      </c>
      <c r="I1062" s="16" t="s">
        <v>3781</v>
      </c>
      <c r="J1062" s="16" t="s">
        <v>3782</v>
      </c>
      <c r="K1062" s="16" t="s">
        <v>39</v>
      </c>
      <c r="L1062" s="16" t="s">
        <v>30</v>
      </c>
      <c r="M1062" s="16" t="s">
        <v>31</v>
      </c>
      <c r="N1062" s="16" t="s">
        <v>991</v>
      </c>
      <c r="Q1062" s="17">
        <f>S1062/T1062</f>
        <v>0.28333333333333333</v>
      </c>
      <c r="S1062" s="16">
        <f>MID(D1062,FIND("x",D1062)+7,4)*1</f>
        <v>1700</v>
      </c>
      <c r="T1062" s="16">
        <v>6000</v>
      </c>
    </row>
    <row r="1063" spans="1:20" x14ac:dyDescent="0.55000000000000004">
      <c r="A1063" t="s">
        <v>2436</v>
      </c>
      <c r="C1063" t="s">
        <v>804</v>
      </c>
      <c r="D1063" t="s">
        <v>805</v>
      </c>
      <c r="E1063" t="s">
        <v>35</v>
      </c>
      <c r="F1063" t="s">
        <v>30</v>
      </c>
      <c r="G1063" t="s">
        <v>31</v>
      </c>
      <c r="H1063" t="s">
        <v>36</v>
      </c>
      <c r="I1063" t="s">
        <v>806</v>
      </c>
      <c r="J1063" t="s">
        <v>807</v>
      </c>
      <c r="K1063" t="s">
        <v>39</v>
      </c>
      <c r="L1063" t="s">
        <v>30</v>
      </c>
      <c r="M1063" t="s">
        <v>31</v>
      </c>
      <c r="N1063" t="s">
        <v>4003</v>
      </c>
      <c r="Q1063" s="4">
        <v>1</v>
      </c>
    </row>
    <row r="1064" spans="1:20" x14ac:dyDescent="0.55000000000000004">
      <c r="A1064" t="s">
        <v>2437</v>
      </c>
      <c r="C1064" t="s">
        <v>806</v>
      </c>
      <c r="D1064" t="s">
        <v>807</v>
      </c>
      <c r="E1064" t="s">
        <v>39</v>
      </c>
      <c r="F1064" t="s">
        <v>30</v>
      </c>
      <c r="G1064" t="s">
        <v>31</v>
      </c>
      <c r="H1064" s="11" t="s">
        <v>991</v>
      </c>
      <c r="I1064" t="s">
        <v>1599</v>
      </c>
      <c r="J1064" t="s">
        <v>1600</v>
      </c>
      <c r="K1064" t="s">
        <v>362</v>
      </c>
      <c r="L1064" t="s">
        <v>30</v>
      </c>
      <c r="M1064" t="s">
        <v>31</v>
      </c>
      <c r="Q1064" s="4">
        <v>1</v>
      </c>
    </row>
    <row r="1065" spans="1:20" x14ac:dyDescent="0.55000000000000004">
      <c r="A1065" t="s">
        <v>2438</v>
      </c>
      <c r="C1065" t="s">
        <v>806</v>
      </c>
      <c r="D1065" t="s">
        <v>807</v>
      </c>
      <c r="E1065" t="s">
        <v>39</v>
      </c>
      <c r="F1065" t="s">
        <v>30</v>
      </c>
      <c r="G1065" t="s">
        <v>31</v>
      </c>
      <c r="H1065" s="11" t="s">
        <v>991</v>
      </c>
      <c r="I1065" t="s">
        <v>1651</v>
      </c>
      <c r="J1065" t="s">
        <v>1652</v>
      </c>
      <c r="K1065" t="s">
        <v>39</v>
      </c>
      <c r="L1065" t="s">
        <v>30</v>
      </c>
      <c r="M1065" t="s">
        <v>31</v>
      </c>
      <c r="N1065" t="s">
        <v>991</v>
      </c>
      <c r="Q1065" s="4">
        <v>1</v>
      </c>
    </row>
    <row r="1066" spans="1:20" s="16" customFormat="1" ht="18.5" thickBot="1" x14ac:dyDescent="0.6">
      <c r="A1066" s="16" t="s">
        <v>2439</v>
      </c>
      <c r="C1066" s="16" t="s">
        <v>1651</v>
      </c>
      <c r="D1066" s="16" t="s">
        <v>1652</v>
      </c>
      <c r="E1066" s="16" t="s">
        <v>39</v>
      </c>
      <c r="F1066" s="16" t="s">
        <v>30</v>
      </c>
      <c r="G1066" s="16" t="s">
        <v>31</v>
      </c>
      <c r="H1066" s="16" t="s">
        <v>991</v>
      </c>
      <c r="I1066" s="16" t="s">
        <v>3781</v>
      </c>
      <c r="J1066" s="16" t="s">
        <v>3782</v>
      </c>
      <c r="K1066" s="16" t="s">
        <v>39</v>
      </c>
      <c r="L1066" s="16" t="s">
        <v>30</v>
      </c>
      <c r="M1066" s="16" t="s">
        <v>31</v>
      </c>
      <c r="N1066" s="16" t="s">
        <v>991</v>
      </c>
      <c r="Q1066" s="17">
        <f>S1066/T1066</f>
        <v>0.3</v>
      </c>
      <c r="S1066" s="16">
        <f>MID(D1066,FIND("x",D1066)+7,4)*1</f>
        <v>1800</v>
      </c>
      <c r="T1066" s="16">
        <v>6000</v>
      </c>
    </row>
    <row r="1067" spans="1:20" x14ac:dyDescent="0.55000000000000004">
      <c r="A1067" t="s">
        <v>2440</v>
      </c>
      <c r="C1067" t="s">
        <v>809</v>
      </c>
      <c r="D1067" t="s">
        <v>810</v>
      </c>
      <c r="E1067" t="s">
        <v>35</v>
      </c>
      <c r="F1067" t="s">
        <v>30</v>
      </c>
      <c r="G1067" t="s">
        <v>31</v>
      </c>
      <c r="H1067" t="s">
        <v>36</v>
      </c>
      <c r="I1067" t="s">
        <v>811</v>
      </c>
      <c r="J1067" t="s">
        <v>812</v>
      </c>
      <c r="K1067" t="s">
        <v>39</v>
      </c>
      <c r="L1067" t="s">
        <v>30</v>
      </c>
      <c r="M1067" t="s">
        <v>31</v>
      </c>
      <c r="N1067" t="s">
        <v>4003</v>
      </c>
      <c r="Q1067" s="4">
        <v>1</v>
      </c>
    </row>
    <row r="1068" spans="1:20" x14ac:dyDescent="0.55000000000000004">
      <c r="A1068" t="s">
        <v>2441</v>
      </c>
      <c r="C1068" t="s">
        <v>811</v>
      </c>
      <c r="D1068" t="s">
        <v>812</v>
      </c>
      <c r="E1068" t="s">
        <v>39</v>
      </c>
      <c r="F1068" t="s">
        <v>30</v>
      </c>
      <c r="G1068" t="s">
        <v>31</v>
      </c>
      <c r="H1068" s="11" t="s">
        <v>991</v>
      </c>
      <c r="I1068" t="s">
        <v>1599</v>
      </c>
      <c r="J1068" t="s">
        <v>1600</v>
      </c>
      <c r="K1068" t="s">
        <v>362</v>
      </c>
      <c r="L1068" t="s">
        <v>30</v>
      </c>
      <c r="M1068" t="s">
        <v>31</v>
      </c>
      <c r="Q1068" s="4">
        <v>1</v>
      </c>
    </row>
    <row r="1069" spans="1:20" x14ac:dyDescent="0.55000000000000004">
      <c r="A1069" t="s">
        <v>2442</v>
      </c>
      <c r="C1069" t="s">
        <v>811</v>
      </c>
      <c r="D1069" t="s">
        <v>812</v>
      </c>
      <c r="E1069" t="s">
        <v>39</v>
      </c>
      <c r="F1069" t="s">
        <v>30</v>
      </c>
      <c r="G1069" t="s">
        <v>31</v>
      </c>
      <c r="H1069" s="11" t="s">
        <v>991</v>
      </c>
      <c r="I1069" t="s">
        <v>1656</v>
      </c>
      <c r="J1069" t="s">
        <v>1657</v>
      </c>
      <c r="K1069" t="s">
        <v>39</v>
      </c>
      <c r="L1069" t="s">
        <v>30</v>
      </c>
      <c r="M1069" t="s">
        <v>31</v>
      </c>
      <c r="N1069" t="s">
        <v>991</v>
      </c>
      <c r="Q1069" s="4">
        <v>1</v>
      </c>
    </row>
    <row r="1070" spans="1:20" s="16" customFormat="1" ht="18.5" thickBot="1" x14ac:dyDescent="0.6">
      <c r="A1070" s="16" t="s">
        <v>2443</v>
      </c>
      <c r="C1070" s="16" t="s">
        <v>1656</v>
      </c>
      <c r="D1070" s="16" t="s">
        <v>1657</v>
      </c>
      <c r="E1070" s="16" t="s">
        <v>39</v>
      </c>
      <c r="F1070" s="16" t="s">
        <v>30</v>
      </c>
      <c r="G1070" s="16" t="s">
        <v>31</v>
      </c>
      <c r="H1070" s="16" t="s">
        <v>991</v>
      </c>
      <c r="I1070" s="16" t="s">
        <v>3781</v>
      </c>
      <c r="J1070" s="16" t="s">
        <v>3782</v>
      </c>
      <c r="K1070" s="16" t="s">
        <v>39</v>
      </c>
      <c r="L1070" s="16" t="s">
        <v>30</v>
      </c>
      <c r="M1070" s="16" t="s">
        <v>31</v>
      </c>
      <c r="N1070" s="16" t="s">
        <v>991</v>
      </c>
      <c r="Q1070" s="17">
        <f>S1070/T1070</f>
        <v>0.31666666666666665</v>
      </c>
      <c r="S1070" s="16">
        <f>MID(D1070,FIND("x",D1070)+7,4)*1</f>
        <v>1900</v>
      </c>
      <c r="T1070" s="16">
        <v>6000</v>
      </c>
    </row>
    <row r="1071" spans="1:20" x14ac:dyDescent="0.55000000000000004">
      <c r="A1071" t="s">
        <v>2444</v>
      </c>
      <c r="C1071" t="s">
        <v>814</v>
      </c>
      <c r="D1071" t="s">
        <v>815</v>
      </c>
      <c r="E1071" t="s">
        <v>35</v>
      </c>
      <c r="F1071" t="s">
        <v>30</v>
      </c>
      <c r="G1071" t="s">
        <v>31</v>
      </c>
      <c r="H1071" t="s">
        <v>36</v>
      </c>
      <c r="I1071" t="s">
        <v>816</v>
      </c>
      <c r="J1071" t="s">
        <v>817</v>
      </c>
      <c r="K1071" t="s">
        <v>39</v>
      </c>
      <c r="L1071" t="s">
        <v>30</v>
      </c>
      <c r="M1071" t="s">
        <v>31</v>
      </c>
      <c r="N1071" t="s">
        <v>4003</v>
      </c>
      <c r="Q1071" s="4">
        <v>1</v>
      </c>
    </row>
    <row r="1072" spans="1:20" x14ac:dyDescent="0.55000000000000004">
      <c r="A1072" t="s">
        <v>2445</v>
      </c>
      <c r="C1072" t="s">
        <v>816</v>
      </c>
      <c r="D1072" t="s">
        <v>817</v>
      </c>
      <c r="E1072" t="s">
        <v>39</v>
      </c>
      <c r="F1072" t="s">
        <v>30</v>
      </c>
      <c r="G1072" t="s">
        <v>31</v>
      </c>
      <c r="H1072" s="11" t="s">
        <v>991</v>
      </c>
      <c r="I1072" t="s">
        <v>1599</v>
      </c>
      <c r="J1072" t="s">
        <v>1600</v>
      </c>
      <c r="K1072" t="s">
        <v>362</v>
      </c>
      <c r="L1072" t="s">
        <v>30</v>
      </c>
      <c r="M1072" t="s">
        <v>31</v>
      </c>
      <c r="Q1072" s="4">
        <v>1</v>
      </c>
    </row>
    <row r="1073" spans="1:20" x14ac:dyDescent="0.55000000000000004">
      <c r="A1073" t="s">
        <v>2446</v>
      </c>
      <c r="C1073" t="s">
        <v>816</v>
      </c>
      <c r="D1073" t="s">
        <v>817</v>
      </c>
      <c r="E1073" t="s">
        <v>39</v>
      </c>
      <c r="F1073" t="s">
        <v>30</v>
      </c>
      <c r="G1073" t="s">
        <v>31</v>
      </c>
      <c r="H1073" s="11" t="s">
        <v>991</v>
      </c>
      <c r="I1073" t="s">
        <v>1661</v>
      </c>
      <c r="J1073" t="s">
        <v>1662</v>
      </c>
      <c r="K1073" t="s">
        <v>39</v>
      </c>
      <c r="L1073" t="s">
        <v>30</v>
      </c>
      <c r="M1073" t="s">
        <v>31</v>
      </c>
      <c r="N1073" t="s">
        <v>991</v>
      </c>
      <c r="Q1073" s="4">
        <v>1</v>
      </c>
    </row>
    <row r="1074" spans="1:20" s="16" customFormat="1" ht="18.5" thickBot="1" x14ac:dyDescent="0.6">
      <c r="A1074" s="16" t="s">
        <v>2447</v>
      </c>
      <c r="C1074" s="16" t="s">
        <v>1661</v>
      </c>
      <c r="D1074" s="16" t="s">
        <v>1662</v>
      </c>
      <c r="E1074" s="16" t="s">
        <v>39</v>
      </c>
      <c r="F1074" s="16" t="s">
        <v>30</v>
      </c>
      <c r="G1074" s="16" t="s">
        <v>31</v>
      </c>
      <c r="H1074" s="16" t="s">
        <v>991</v>
      </c>
      <c r="I1074" s="16" t="s">
        <v>3781</v>
      </c>
      <c r="J1074" s="16" t="s">
        <v>3782</v>
      </c>
      <c r="K1074" s="16" t="s">
        <v>39</v>
      </c>
      <c r="L1074" s="16" t="s">
        <v>30</v>
      </c>
      <c r="M1074" s="16" t="s">
        <v>31</v>
      </c>
      <c r="N1074" s="16" t="s">
        <v>991</v>
      </c>
      <c r="Q1074" s="17">
        <f>S1074/T1074</f>
        <v>0.33333333333333331</v>
      </c>
      <c r="S1074" s="16">
        <f>MID(D1074,FIND("x",D1074)+7,4)*1</f>
        <v>2000</v>
      </c>
      <c r="T1074" s="16">
        <v>6000</v>
      </c>
    </row>
    <row r="1075" spans="1:20" x14ac:dyDescent="0.55000000000000004">
      <c r="A1075" t="s">
        <v>2448</v>
      </c>
      <c r="C1075" t="s">
        <v>819</v>
      </c>
      <c r="D1075" t="s">
        <v>820</v>
      </c>
      <c r="E1075" t="s">
        <v>35</v>
      </c>
      <c r="F1075" t="s">
        <v>30</v>
      </c>
      <c r="G1075" t="s">
        <v>31</v>
      </c>
      <c r="H1075" t="s">
        <v>36</v>
      </c>
      <c r="I1075" t="s">
        <v>821</v>
      </c>
      <c r="J1075" t="s">
        <v>822</v>
      </c>
      <c r="K1075" t="s">
        <v>39</v>
      </c>
      <c r="L1075" t="s">
        <v>30</v>
      </c>
      <c r="M1075" t="s">
        <v>31</v>
      </c>
      <c r="N1075" t="s">
        <v>4003</v>
      </c>
      <c r="Q1075" s="4">
        <v>1</v>
      </c>
    </row>
    <row r="1076" spans="1:20" x14ac:dyDescent="0.55000000000000004">
      <c r="A1076" t="s">
        <v>2449</v>
      </c>
      <c r="C1076" t="s">
        <v>821</v>
      </c>
      <c r="D1076" t="s">
        <v>822</v>
      </c>
      <c r="E1076" t="s">
        <v>39</v>
      </c>
      <c r="F1076" t="s">
        <v>30</v>
      </c>
      <c r="G1076" t="s">
        <v>31</v>
      </c>
      <c r="H1076" s="11" t="s">
        <v>991</v>
      </c>
      <c r="I1076" t="s">
        <v>1599</v>
      </c>
      <c r="J1076" t="s">
        <v>1600</v>
      </c>
      <c r="K1076" t="s">
        <v>362</v>
      </c>
      <c r="L1076" t="s">
        <v>30</v>
      </c>
      <c r="M1076" t="s">
        <v>31</v>
      </c>
      <c r="Q1076" s="4">
        <v>1</v>
      </c>
    </row>
    <row r="1077" spans="1:20" x14ac:dyDescent="0.55000000000000004">
      <c r="A1077" t="s">
        <v>2450</v>
      </c>
      <c r="C1077" t="s">
        <v>821</v>
      </c>
      <c r="D1077" t="s">
        <v>822</v>
      </c>
      <c r="E1077" t="s">
        <v>39</v>
      </c>
      <c r="F1077" t="s">
        <v>30</v>
      </c>
      <c r="G1077" t="s">
        <v>31</v>
      </c>
      <c r="H1077" s="11" t="s">
        <v>991</v>
      </c>
      <c r="I1077" t="s">
        <v>1666</v>
      </c>
      <c r="J1077" t="s">
        <v>1667</v>
      </c>
      <c r="K1077" t="s">
        <v>39</v>
      </c>
      <c r="L1077" t="s">
        <v>30</v>
      </c>
      <c r="M1077" t="s">
        <v>31</v>
      </c>
      <c r="N1077" t="s">
        <v>991</v>
      </c>
      <c r="Q1077" s="4">
        <v>1</v>
      </c>
    </row>
    <row r="1078" spans="1:20" s="16" customFormat="1" ht="18.5" thickBot="1" x14ac:dyDescent="0.6">
      <c r="A1078" s="16" t="s">
        <v>2451</v>
      </c>
      <c r="C1078" s="16" t="s">
        <v>1666</v>
      </c>
      <c r="D1078" s="16" t="s">
        <v>1667</v>
      </c>
      <c r="E1078" s="16" t="s">
        <v>39</v>
      </c>
      <c r="F1078" s="16" t="s">
        <v>30</v>
      </c>
      <c r="G1078" s="16" t="s">
        <v>31</v>
      </c>
      <c r="H1078" s="16" t="s">
        <v>991</v>
      </c>
      <c r="I1078" s="16" t="s">
        <v>3781</v>
      </c>
      <c r="J1078" s="16" t="s">
        <v>3782</v>
      </c>
      <c r="K1078" s="16" t="s">
        <v>39</v>
      </c>
      <c r="L1078" s="16" t="s">
        <v>30</v>
      </c>
      <c r="M1078" s="16" t="s">
        <v>31</v>
      </c>
      <c r="N1078" s="16" t="s">
        <v>991</v>
      </c>
      <c r="Q1078" s="17">
        <f>S1078/T1078</f>
        <v>0.35</v>
      </c>
      <c r="S1078" s="16">
        <f>MID(D1078,FIND("x",D1078)+7,4)*1</f>
        <v>2100</v>
      </c>
      <c r="T1078" s="16">
        <v>6000</v>
      </c>
    </row>
    <row r="1079" spans="1:20" x14ac:dyDescent="0.55000000000000004">
      <c r="A1079" t="s">
        <v>2452</v>
      </c>
      <c r="C1079" t="s">
        <v>824</v>
      </c>
      <c r="D1079" t="s">
        <v>825</v>
      </c>
      <c r="E1079" t="s">
        <v>35</v>
      </c>
      <c r="F1079" t="s">
        <v>30</v>
      </c>
      <c r="G1079" t="s">
        <v>31</v>
      </c>
      <c r="H1079" t="s">
        <v>36</v>
      </c>
      <c r="I1079" t="s">
        <v>826</v>
      </c>
      <c r="J1079" t="s">
        <v>827</v>
      </c>
      <c r="K1079" t="s">
        <v>39</v>
      </c>
      <c r="L1079" t="s">
        <v>30</v>
      </c>
      <c r="M1079" t="s">
        <v>31</v>
      </c>
      <c r="N1079" t="s">
        <v>4003</v>
      </c>
      <c r="Q1079" s="4">
        <v>1</v>
      </c>
    </row>
    <row r="1080" spans="1:20" x14ac:dyDescent="0.55000000000000004">
      <c r="A1080" t="s">
        <v>2453</v>
      </c>
      <c r="C1080" t="s">
        <v>826</v>
      </c>
      <c r="D1080" t="s">
        <v>827</v>
      </c>
      <c r="E1080" t="s">
        <v>39</v>
      </c>
      <c r="F1080" t="s">
        <v>30</v>
      </c>
      <c r="G1080" t="s">
        <v>31</v>
      </c>
      <c r="H1080" s="11" t="s">
        <v>991</v>
      </c>
      <c r="I1080" t="s">
        <v>1599</v>
      </c>
      <c r="J1080" t="s">
        <v>1600</v>
      </c>
      <c r="K1080" t="s">
        <v>362</v>
      </c>
      <c r="L1080" t="s">
        <v>30</v>
      </c>
      <c r="M1080" t="s">
        <v>31</v>
      </c>
      <c r="Q1080" s="4">
        <v>1</v>
      </c>
    </row>
    <row r="1081" spans="1:20" x14ac:dyDescent="0.55000000000000004">
      <c r="A1081" t="s">
        <v>2454</v>
      </c>
      <c r="C1081" t="s">
        <v>826</v>
      </c>
      <c r="D1081" t="s">
        <v>827</v>
      </c>
      <c r="E1081" t="s">
        <v>39</v>
      </c>
      <c r="F1081" t="s">
        <v>30</v>
      </c>
      <c r="G1081" t="s">
        <v>31</v>
      </c>
      <c r="H1081" s="11" t="s">
        <v>991</v>
      </c>
      <c r="I1081" t="s">
        <v>1671</v>
      </c>
      <c r="J1081" t="s">
        <v>1672</v>
      </c>
      <c r="K1081" t="s">
        <v>39</v>
      </c>
      <c r="L1081" t="s">
        <v>30</v>
      </c>
      <c r="M1081" t="s">
        <v>31</v>
      </c>
      <c r="N1081" t="s">
        <v>991</v>
      </c>
      <c r="Q1081" s="4">
        <v>1</v>
      </c>
    </row>
    <row r="1082" spans="1:20" s="16" customFormat="1" ht="18.5" thickBot="1" x14ac:dyDescent="0.6">
      <c r="A1082" s="16" t="s">
        <v>2455</v>
      </c>
      <c r="C1082" s="16" t="s">
        <v>1671</v>
      </c>
      <c r="D1082" s="16" t="s">
        <v>1672</v>
      </c>
      <c r="E1082" s="16" t="s">
        <v>39</v>
      </c>
      <c r="F1082" s="16" t="s">
        <v>30</v>
      </c>
      <c r="G1082" s="16" t="s">
        <v>31</v>
      </c>
      <c r="H1082" s="16" t="s">
        <v>991</v>
      </c>
      <c r="I1082" s="16" t="s">
        <v>3781</v>
      </c>
      <c r="J1082" s="16" t="s">
        <v>3782</v>
      </c>
      <c r="K1082" s="16" t="s">
        <v>39</v>
      </c>
      <c r="L1082" s="16" t="s">
        <v>30</v>
      </c>
      <c r="M1082" s="16" t="s">
        <v>31</v>
      </c>
      <c r="N1082" s="16" t="s">
        <v>991</v>
      </c>
      <c r="Q1082" s="17">
        <f>S1082/T1082</f>
        <v>0.36666666666666664</v>
      </c>
      <c r="S1082" s="16">
        <f>MID(D1082,FIND("x",D1082)+7,4)*1</f>
        <v>2200</v>
      </c>
      <c r="T1082" s="16">
        <v>6000</v>
      </c>
    </row>
    <row r="1083" spans="1:20" x14ac:dyDescent="0.55000000000000004">
      <c r="A1083" t="s">
        <v>2456</v>
      </c>
      <c r="C1083" t="s">
        <v>829</v>
      </c>
      <c r="D1083" t="s">
        <v>830</v>
      </c>
      <c r="E1083" t="s">
        <v>35</v>
      </c>
      <c r="F1083" t="s">
        <v>30</v>
      </c>
      <c r="G1083" t="s">
        <v>31</v>
      </c>
      <c r="H1083" t="s">
        <v>36</v>
      </c>
      <c r="I1083" t="s">
        <v>831</v>
      </c>
      <c r="J1083" t="s">
        <v>832</v>
      </c>
      <c r="K1083" t="s">
        <v>39</v>
      </c>
      <c r="L1083" t="s">
        <v>30</v>
      </c>
      <c r="M1083" t="s">
        <v>31</v>
      </c>
      <c r="N1083" t="s">
        <v>4003</v>
      </c>
      <c r="Q1083" s="4">
        <v>1</v>
      </c>
    </row>
    <row r="1084" spans="1:20" x14ac:dyDescent="0.55000000000000004">
      <c r="A1084" t="s">
        <v>2457</v>
      </c>
      <c r="C1084" t="s">
        <v>831</v>
      </c>
      <c r="D1084" t="s">
        <v>832</v>
      </c>
      <c r="E1084" t="s">
        <v>39</v>
      </c>
      <c r="F1084" t="s">
        <v>30</v>
      </c>
      <c r="G1084" t="s">
        <v>31</v>
      </c>
      <c r="H1084" s="11" t="s">
        <v>991</v>
      </c>
      <c r="I1084" t="s">
        <v>1599</v>
      </c>
      <c r="J1084" t="s">
        <v>1600</v>
      </c>
      <c r="K1084" t="s">
        <v>362</v>
      </c>
      <c r="L1084" t="s">
        <v>30</v>
      </c>
      <c r="M1084" t="s">
        <v>31</v>
      </c>
      <c r="Q1084" s="4">
        <v>1</v>
      </c>
    </row>
    <row r="1085" spans="1:20" x14ac:dyDescent="0.55000000000000004">
      <c r="A1085" t="s">
        <v>2458</v>
      </c>
      <c r="C1085" t="s">
        <v>831</v>
      </c>
      <c r="D1085" t="s">
        <v>832</v>
      </c>
      <c r="E1085" t="s">
        <v>39</v>
      </c>
      <c r="F1085" t="s">
        <v>30</v>
      </c>
      <c r="G1085" t="s">
        <v>31</v>
      </c>
      <c r="H1085" s="11" t="s">
        <v>991</v>
      </c>
      <c r="I1085" t="s">
        <v>1677</v>
      </c>
      <c r="J1085" t="s">
        <v>1678</v>
      </c>
      <c r="K1085" t="s">
        <v>39</v>
      </c>
      <c r="L1085" t="s">
        <v>30</v>
      </c>
      <c r="M1085" t="s">
        <v>31</v>
      </c>
      <c r="N1085" t="s">
        <v>991</v>
      </c>
      <c r="Q1085" s="4">
        <v>1</v>
      </c>
    </row>
    <row r="1086" spans="1:20" s="16" customFormat="1" ht="18.5" thickBot="1" x14ac:dyDescent="0.6">
      <c r="A1086" s="16" t="s">
        <v>2459</v>
      </c>
      <c r="C1086" s="16" t="s">
        <v>1677</v>
      </c>
      <c r="D1086" s="16" t="s">
        <v>1678</v>
      </c>
      <c r="E1086" s="16" t="s">
        <v>39</v>
      </c>
      <c r="F1086" s="16" t="s">
        <v>30</v>
      </c>
      <c r="G1086" s="16" t="s">
        <v>31</v>
      </c>
      <c r="H1086" s="16" t="s">
        <v>991</v>
      </c>
      <c r="I1086" s="16" t="s">
        <v>3781</v>
      </c>
      <c r="J1086" s="16" t="s">
        <v>3782</v>
      </c>
      <c r="K1086" s="16" t="s">
        <v>39</v>
      </c>
      <c r="L1086" s="16" t="s">
        <v>30</v>
      </c>
      <c r="M1086" s="16" t="s">
        <v>31</v>
      </c>
      <c r="N1086" s="16" t="s">
        <v>991</v>
      </c>
      <c r="Q1086" s="17">
        <f>S1086/T1086</f>
        <v>0.38333333333333336</v>
      </c>
      <c r="S1086" s="16">
        <f>MID(D1086,FIND("x",D1086)+7,4)*1</f>
        <v>2300</v>
      </c>
      <c r="T1086" s="16">
        <v>6000</v>
      </c>
    </row>
    <row r="1087" spans="1:20" x14ac:dyDescent="0.55000000000000004">
      <c r="A1087" t="s">
        <v>2460</v>
      </c>
      <c r="C1087" t="s">
        <v>834</v>
      </c>
      <c r="D1087" t="s">
        <v>4011</v>
      </c>
      <c r="E1087" t="s">
        <v>35</v>
      </c>
      <c r="F1087" t="s">
        <v>30</v>
      </c>
      <c r="G1087" t="s">
        <v>31</v>
      </c>
      <c r="H1087" t="s">
        <v>36</v>
      </c>
      <c r="I1087" t="s">
        <v>836</v>
      </c>
      <c r="J1087" t="s">
        <v>837</v>
      </c>
      <c r="K1087" t="s">
        <v>39</v>
      </c>
      <c r="L1087" t="s">
        <v>30</v>
      </c>
      <c r="M1087" t="s">
        <v>31</v>
      </c>
      <c r="N1087" t="s">
        <v>4003</v>
      </c>
      <c r="Q1087" s="4">
        <v>1</v>
      </c>
    </row>
    <row r="1088" spans="1:20" x14ac:dyDescent="0.55000000000000004">
      <c r="A1088" t="s">
        <v>2461</v>
      </c>
      <c r="C1088" t="s">
        <v>836</v>
      </c>
      <c r="D1088" t="s">
        <v>837</v>
      </c>
      <c r="E1088" t="s">
        <v>39</v>
      </c>
      <c r="F1088" t="s">
        <v>30</v>
      </c>
      <c r="G1088" t="s">
        <v>31</v>
      </c>
      <c r="H1088" s="11" t="s">
        <v>991</v>
      </c>
      <c r="I1088" t="s">
        <v>1599</v>
      </c>
      <c r="J1088" t="s">
        <v>1600</v>
      </c>
      <c r="K1088" t="s">
        <v>362</v>
      </c>
      <c r="L1088" t="s">
        <v>30</v>
      </c>
      <c r="M1088" t="s">
        <v>31</v>
      </c>
      <c r="Q1088" s="4">
        <v>1</v>
      </c>
    </row>
    <row r="1089" spans="1:20" x14ac:dyDescent="0.55000000000000004">
      <c r="A1089" t="s">
        <v>2462</v>
      </c>
      <c r="C1089" t="s">
        <v>836</v>
      </c>
      <c r="D1089" t="s">
        <v>837</v>
      </c>
      <c r="E1089" t="s">
        <v>39</v>
      </c>
      <c r="F1089" t="s">
        <v>30</v>
      </c>
      <c r="G1089" t="s">
        <v>31</v>
      </c>
      <c r="H1089" s="11" t="s">
        <v>991</v>
      </c>
      <c r="I1089" t="s">
        <v>1683</v>
      </c>
      <c r="J1089" t="s">
        <v>1684</v>
      </c>
      <c r="K1089" t="s">
        <v>39</v>
      </c>
      <c r="L1089" t="s">
        <v>30</v>
      </c>
      <c r="M1089" t="s">
        <v>31</v>
      </c>
      <c r="N1089" t="s">
        <v>991</v>
      </c>
      <c r="Q1089" s="4">
        <v>1</v>
      </c>
    </row>
    <row r="1090" spans="1:20" s="16" customFormat="1" ht="18.5" thickBot="1" x14ac:dyDescent="0.6">
      <c r="A1090" s="16" t="s">
        <v>2463</v>
      </c>
      <c r="C1090" s="16" t="s">
        <v>1683</v>
      </c>
      <c r="D1090" s="16" t="s">
        <v>1684</v>
      </c>
      <c r="E1090" s="16" t="s">
        <v>39</v>
      </c>
      <c r="F1090" s="16" t="s">
        <v>30</v>
      </c>
      <c r="G1090" s="16" t="s">
        <v>31</v>
      </c>
      <c r="H1090" s="16" t="s">
        <v>991</v>
      </c>
      <c r="I1090" s="16" t="s">
        <v>3781</v>
      </c>
      <c r="J1090" s="16" t="s">
        <v>3782</v>
      </c>
      <c r="K1090" s="16" t="s">
        <v>39</v>
      </c>
      <c r="L1090" s="16" t="s">
        <v>30</v>
      </c>
      <c r="M1090" s="16" t="s">
        <v>31</v>
      </c>
      <c r="N1090" s="16" t="s">
        <v>991</v>
      </c>
      <c r="Q1090" s="17">
        <f>S1090/T1090</f>
        <v>0.4</v>
      </c>
      <c r="S1090" s="16">
        <f>MID(D1090,FIND("x",D1090)+7,4)*1</f>
        <v>2400</v>
      </c>
      <c r="T1090" s="16">
        <v>6000</v>
      </c>
    </row>
    <row r="1091" spans="1:20" x14ac:dyDescent="0.55000000000000004">
      <c r="A1091" t="s">
        <v>2464</v>
      </c>
      <c r="C1091" t="s">
        <v>839</v>
      </c>
      <c r="D1091" t="s">
        <v>840</v>
      </c>
      <c r="E1091" t="s">
        <v>35</v>
      </c>
      <c r="F1091" t="s">
        <v>30</v>
      </c>
      <c r="G1091" t="s">
        <v>31</v>
      </c>
      <c r="H1091" t="s">
        <v>36</v>
      </c>
      <c r="I1091" t="s">
        <v>841</v>
      </c>
      <c r="J1091" t="s">
        <v>842</v>
      </c>
      <c r="K1091" t="s">
        <v>39</v>
      </c>
      <c r="L1091" t="s">
        <v>30</v>
      </c>
      <c r="M1091" t="s">
        <v>31</v>
      </c>
      <c r="N1091" t="s">
        <v>4003</v>
      </c>
      <c r="Q1091" s="4">
        <v>1</v>
      </c>
    </row>
    <row r="1092" spans="1:20" x14ac:dyDescent="0.55000000000000004">
      <c r="A1092" t="s">
        <v>2465</v>
      </c>
      <c r="C1092" t="s">
        <v>841</v>
      </c>
      <c r="D1092" t="s">
        <v>842</v>
      </c>
      <c r="E1092" t="s">
        <v>39</v>
      </c>
      <c r="F1092" t="s">
        <v>30</v>
      </c>
      <c r="G1092" t="s">
        <v>31</v>
      </c>
      <c r="H1092" s="11" t="s">
        <v>991</v>
      </c>
      <c r="I1092" t="s">
        <v>1599</v>
      </c>
      <c r="J1092" t="s">
        <v>1600</v>
      </c>
      <c r="K1092" t="s">
        <v>362</v>
      </c>
      <c r="L1092" t="s">
        <v>30</v>
      </c>
      <c r="M1092" t="s">
        <v>31</v>
      </c>
      <c r="Q1092" s="4">
        <v>1</v>
      </c>
    </row>
    <row r="1093" spans="1:20" x14ac:dyDescent="0.55000000000000004">
      <c r="A1093" t="s">
        <v>2466</v>
      </c>
      <c r="C1093" t="s">
        <v>841</v>
      </c>
      <c r="D1093" t="s">
        <v>842</v>
      </c>
      <c r="E1093" t="s">
        <v>39</v>
      </c>
      <c r="F1093" t="s">
        <v>30</v>
      </c>
      <c r="G1093" t="s">
        <v>31</v>
      </c>
      <c r="H1093" s="11" t="s">
        <v>991</v>
      </c>
      <c r="I1093" t="s">
        <v>1689</v>
      </c>
      <c r="J1093" t="s">
        <v>1690</v>
      </c>
      <c r="K1093" t="s">
        <v>39</v>
      </c>
      <c r="L1093" t="s">
        <v>30</v>
      </c>
      <c r="M1093" t="s">
        <v>31</v>
      </c>
      <c r="N1093" t="s">
        <v>991</v>
      </c>
      <c r="Q1093" s="4">
        <v>1</v>
      </c>
    </row>
    <row r="1094" spans="1:20" s="16" customFormat="1" ht="18.5" thickBot="1" x14ac:dyDescent="0.6">
      <c r="A1094" s="16" t="s">
        <v>2467</v>
      </c>
      <c r="C1094" s="16" t="s">
        <v>1689</v>
      </c>
      <c r="D1094" s="16" t="s">
        <v>1690</v>
      </c>
      <c r="E1094" s="16" t="s">
        <v>39</v>
      </c>
      <c r="F1094" s="16" t="s">
        <v>30</v>
      </c>
      <c r="G1094" s="16" t="s">
        <v>31</v>
      </c>
      <c r="H1094" s="16" t="s">
        <v>991</v>
      </c>
      <c r="I1094" s="16" t="s">
        <v>3781</v>
      </c>
      <c r="J1094" s="16" t="s">
        <v>3782</v>
      </c>
      <c r="K1094" s="16" t="s">
        <v>39</v>
      </c>
      <c r="L1094" s="16" t="s">
        <v>30</v>
      </c>
      <c r="M1094" s="16" t="s">
        <v>31</v>
      </c>
      <c r="N1094" s="16" t="s">
        <v>991</v>
      </c>
      <c r="Q1094" s="17">
        <f>S1094/T1094</f>
        <v>0.41666666666666669</v>
      </c>
      <c r="S1094" s="16">
        <f>MID(D1094,FIND("x",D1094)+7,4)*1</f>
        <v>2500</v>
      </c>
      <c r="T1094" s="16">
        <v>6000</v>
      </c>
    </row>
    <row r="1095" spans="1:20" x14ac:dyDescent="0.55000000000000004">
      <c r="A1095" t="s">
        <v>2468</v>
      </c>
      <c r="C1095" t="s">
        <v>844</v>
      </c>
      <c r="D1095" t="s">
        <v>845</v>
      </c>
      <c r="E1095" t="s">
        <v>35</v>
      </c>
      <c r="F1095" t="s">
        <v>30</v>
      </c>
      <c r="G1095" t="s">
        <v>31</v>
      </c>
      <c r="H1095" t="s">
        <v>36</v>
      </c>
      <c r="I1095" t="s">
        <v>846</v>
      </c>
      <c r="J1095" t="s">
        <v>847</v>
      </c>
      <c r="K1095" t="s">
        <v>39</v>
      </c>
      <c r="L1095" t="s">
        <v>30</v>
      </c>
      <c r="M1095" t="s">
        <v>31</v>
      </c>
      <c r="N1095" t="s">
        <v>4003</v>
      </c>
      <c r="Q1095" s="4">
        <v>1</v>
      </c>
    </row>
    <row r="1096" spans="1:20" x14ac:dyDescent="0.55000000000000004">
      <c r="A1096" t="s">
        <v>2469</v>
      </c>
      <c r="C1096" t="s">
        <v>846</v>
      </c>
      <c r="D1096" t="s">
        <v>847</v>
      </c>
      <c r="E1096" t="s">
        <v>39</v>
      </c>
      <c r="F1096" t="s">
        <v>30</v>
      </c>
      <c r="G1096" t="s">
        <v>31</v>
      </c>
      <c r="H1096" s="11" t="s">
        <v>991</v>
      </c>
      <c r="I1096" t="s">
        <v>1599</v>
      </c>
      <c r="J1096" t="s">
        <v>1600</v>
      </c>
      <c r="K1096" t="s">
        <v>362</v>
      </c>
      <c r="L1096" t="s">
        <v>30</v>
      </c>
      <c r="M1096" t="s">
        <v>31</v>
      </c>
      <c r="Q1096" s="4">
        <v>1</v>
      </c>
    </row>
    <row r="1097" spans="1:20" x14ac:dyDescent="0.55000000000000004">
      <c r="A1097" t="s">
        <v>2470</v>
      </c>
      <c r="C1097" t="s">
        <v>846</v>
      </c>
      <c r="D1097" t="s">
        <v>847</v>
      </c>
      <c r="E1097" t="s">
        <v>39</v>
      </c>
      <c r="F1097" t="s">
        <v>30</v>
      </c>
      <c r="G1097" t="s">
        <v>31</v>
      </c>
      <c r="H1097" s="11" t="s">
        <v>991</v>
      </c>
      <c r="I1097" t="s">
        <v>1695</v>
      </c>
      <c r="J1097" t="s">
        <v>1696</v>
      </c>
      <c r="K1097" t="s">
        <v>39</v>
      </c>
      <c r="L1097" t="s">
        <v>30</v>
      </c>
      <c r="M1097" t="s">
        <v>31</v>
      </c>
      <c r="N1097" t="s">
        <v>991</v>
      </c>
      <c r="Q1097" s="4">
        <v>1</v>
      </c>
    </row>
    <row r="1098" spans="1:20" s="16" customFormat="1" ht="18.5" thickBot="1" x14ac:dyDescent="0.6">
      <c r="A1098" s="16" t="s">
        <v>2471</v>
      </c>
      <c r="C1098" s="16" t="s">
        <v>1695</v>
      </c>
      <c r="D1098" s="16" t="s">
        <v>1696</v>
      </c>
      <c r="E1098" s="16" t="s">
        <v>39</v>
      </c>
      <c r="F1098" s="16" t="s">
        <v>30</v>
      </c>
      <c r="G1098" s="16" t="s">
        <v>31</v>
      </c>
      <c r="H1098" s="16" t="s">
        <v>991</v>
      </c>
      <c r="I1098" s="16" t="s">
        <v>3781</v>
      </c>
      <c r="J1098" s="16" t="s">
        <v>3782</v>
      </c>
      <c r="K1098" s="16" t="s">
        <v>39</v>
      </c>
      <c r="L1098" s="16" t="s">
        <v>30</v>
      </c>
      <c r="M1098" s="16" t="s">
        <v>31</v>
      </c>
      <c r="N1098" s="16" t="s">
        <v>991</v>
      </c>
      <c r="Q1098" s="17">
        <f>S1098/T1098</f>
        <v>0.43333333333333335</v>
      </c>
      <c r="S1098" s="16">
        <f>MID(D1098,FIND("x",D1098)+7,4)*1</f>
        <v>2600</v>
      </c>
      <c r="T1098" s="16">
        <v>6000</v>
      </c>
    </row>
    <row r="1099" spans="1:20" x14ac:dyDescent="0.55000000000000004">
      <c r="A1099" t="s">
        <v>2472</v>
      </c>
      <c r="C1099" t="s">
        <v>849</v>
      </c>
      <c r="D1099" t="s">
        <v>850</v>
      </c>
      <c r="E1099" t="s">
        <v>35</v>
      </c>
      <c r="F1099" t="s">
        <v>30</v>
      </c>
      <c r="G1099" t="s">
        <v>31</v>
      </c>
      <c r="H1099" t="s">
        <v>36</v>
      </c>
      <c r="I1099" t="s">
        <v>851</v>
      </c>
      <c r="J1099" t="s">
        <v>852</v>
      </c>
      <c r="K1099" t="s">
        <v>39</v>
      </c>
      <c r="L1099" t="s">
        <v>30</v>
      </c>
      <c r="M1099" t="s">
        <v>31</v>
      </c>
      <c r="N1099" t="s">
        <v>4003</v>
      </c>
      <c r="Q1099" s="4">
        <v>1</v>
      </c>
    </row>
    <row r="1100" spans="1:20" x14ac:dyDescent="0.55000000000000004">
      <c r="A1100" t="s">
        <v>2473</v>
      </c>
      <c r="C1100" t="s">
        <v>851</v>
      </c>
      <c r="D1100" t="s">
        <v>852</v>
      </c>
      <c r="E1100" t="s">
        <v>39</v>
      </c>
      <c r="F1100" t="s">
        <v>30</v>
      </c>
      <c r="G1100" t="s">
        <v>31</v>
      </c>
      <c r="H1100" s="11" t="s">
        <v>991</v>
      </c>
      <c r="I1100" t="s">
        <v>1599</v>
      </c>
      <c r="J1100" t="s">
        <v>1600</v>
      </c>
      <c r="K1100" t="s">
        <v>362</v>
      </c>
      <c r="L1100" t="s">
        <v>30</v>
      </c>
      <c r="M1100" t="s">
        <v>31</v>
      </c>
      <c r="Q1100" s="4">
        <v>1</v>
      </c>
    </row>
    <row r="1101" spans="1:20" x14ac:dyDescent="0.55000000000000004">
      <c r="A1101" t="s">
        <v>2474</v>
      </c>
      <c r="C1101" t="s">
        <v>851</v>
      </c>
      <c r="D1101" t="s">
        <v>852</v>
      </c>
      <c r="E1101" t="s">
        <v>39</v>
      </c>
      <c r="F1101" t="s">
        <v>30</v>
      </c>
      <c r="G1101" t="s">
        <v>31</v>
      </c>
      <c r="H1101" s="11" t="s">
        <v>991</v>
      </c>
      <c r="I1101" t="s">
        <v>1701</v>
      </c>
      <c r="J1101" t="s">
        <v>1702</v>
      </c>
      <c r="K1101" t="s">
        <v>39</v>
      </c>
      <c r="L1101" t="s">
        <v>30</v>
      </c>
      <c r="M1101" t="s">
        <v>31</v>
      </c>
      <c r="N1101" t="s">
        <v>991</v>
      </c>
      <c r="Q1101" s="4">
        <v>1</v>
      </c>
    </row>
    <row r="1102" spans="1:20" s="16" customFormat="1" ht="18.5" thickBot="1" x14ac:dyDescent="0.6">
      <c r="A1102" s="16" t="s">
        <v>2475</v>
      </c>
      <c r="C1102" s="16" t="s">
        <v>1701</v>
      </c>
      <c r="D1102" s="16" t="s">
        <v>1702</v>
      </c>
      <c r="E1102" s="16" t="s">
        <v>39</v>
      </c>
      <c r="F1102" s="16" t="s">
        <v>30</v>
      </c>
      <c r="G1102" s="16" t="s">
        <v>31</v>
      </c>
      <c r="H1102" s="16" t="s">
        <v>991</v>
      </c>
      <c r="I1102" s="16" t="s">
        <v>3781</v>
      </c>
      <c r="J1102" s="16" t="s">
        <v>3782</v>
      </c>
      <c r="K1102" s="16" t="s">
        <v>39</v>
      </c>
      <c r="L1102" s="16" t="s">
        <v>30</v>
      </c>
      <c r="M1102" s="16" t="s">
        <v>31</v>
      </c>
      <c r="N1102" s="16" t="s">
        <v>991</v>
      </c>
      <c r="Q1102" s="17">
        <f>S1102/T1102</f>
        <v>0.45</v>
      </c>
      <c r="S1102" s="16">
        <f>MID(D1102,FIND("x",D1102)+7,4)*1</f>
        <v>2700</v>
      </c>
      <c r="T1102" s="16">
        <v>6000</v>
      </c>
    </row>
    <row r="1103" spans="1:20" x14ac:dyDescent="0.55000000000000004">
      <c r="A1103" t="s">
        <v>2476</v>
      </c>
      <c r="C1103" t="s">
        <v>854</v>
      </c>
      <c r="D1103" t="s">
        <v>855</v>
      </c>
      <c r="E1103" t="s">
        <v>35</v>
      </c>
      <c r="F1103" t="s">
        <v>30</v>
      </c>
      <c r="G1103" t="s">
        <v>31</v>
      </c>
      <c r="H1103" t="s">
        <v>36</v>
      </c>
      <c r="I1103" t="s">
        <v>856</v>
      </c>
      <c r="J1103" t="s">
        <v>857</v>
      </c>
      <c r="K1103" t="s">
        <v>39</v>
      </c>
      <c r="L1103" t="s">
        <v>30</v>
      </c>
      <c r="M1103" t="s">
        <v>31</v>
      </c>
      <c r="N1103" t="s">
        <v>4003</v>
      </c>
      <c r="Q1103" s="4">
        <v>1</v>
      </c>
    </row>
    <row r="1104" spans="1:20" x14ac:dyDescent="0.55000000000000004">
      <c r="A1104" t="s">
        <v>2477</v>
      </c>
      <c r="C1104" t="s">
        <v>856</v>
      </c>
      <c r="D1104" t="s">
        <v>857</v>
      </c>
      <c r="E1104" t="s">
        <v>39</v>
      </c>
      <c r="F1104" t="s">
        <v>30</v>
      </c>
      <c r="G1104" t="s">
        <v>31</v>
      </c>
      <c r="H1104" s="11" t="s">
        <v>991</v>
      </c>
      <c r="I1104" t="s">
        <v>1599</v>
      </c>
      <c r="J1104" t="s">
        <v>1600</v>
      </c>
      <c r="K1104" t="s">
        <v>362</v>
      </c>
      <c r="L1104" t="s">
        <v>30</v>
      </c>
      <c r="M1104" t="s">
        <v>31</v>
      </c>
      <c r="Q1104" s="4">
        <v>1</v>
      </c>
    </row>
    <row r="1105" spans="1:20" x14ac:dyDescent="0.55000000000000004">
      <c r="A1105" t="s">
        <v>2478</v>
      </c>
      <c r="C1105" t="s">
        <v>856</v>
      </c>
      <c r="D1105" t="s">
        <v>857</v>
      </c>
      <c r="E1105" t="s">
        <v>39</v>
      </c>
      <c r="F1105" t="s">
        <v>30</v>
      </c>
      <c r="G1105" t="s">
        <v>31</v>
      </c>
      <c r="H1105" s="11" t="s">
        <v>991</v>
      </c>
      <c r="I1105" t="s">
        <v>1707</v>
      </c>
      <c r="J1105" t="s">
        <v>1708</v>
      </c>
      <c r="K1105" t="s">
        <v>39</v>
      </c>
      <c r="L1105" t="s">
        <v>30</v>
      </c>
      <c r="M1105" t="s">
        <v>31</v>
      </c>
      <c r="N1105" t="s">
        <v>991</v>
      </c>
      <c r="Q1105" s="4">
        <v>1</v>
      </c>
    </row>
    <row r="1106" spans="1:20" s="16" customFormat="1" ht="18.5" thickBot="1" x14ac:dyDescent="0.6">
      <c r="A1106" s="16" t="s">
        <v>2479</v>
      </c>
      <c r="C1106" s="16" t="s">
        <v>1707</v>
      </c>
      <c r="D1106" s="16" t="s">
        <v>1708</v>
      </c>
      <c r="E1106" s="16" t="s">
        <v>39</v>
      </c>
      <c r="F1106" s="16" t="s">
        <v>30</v>
      </c>
      <c r="G1106" s="16" t="s">
        <v>31</v>
      </c>
      <c r="H1106" s="16" t="s">
        <v>991</v>
      </c>
      <c r="I1106" s="16" t="s">
        <v>3781</v>
      </c>
      <c r="J1106" s="16" t="s">
        <v>3782</v>
      </c>
      <c r="K1106" s="16" t="s">
        <v>39</v>
      </c>
      <c r="L1106" s="16" t="s">
        <v>30</v>
      </c>
      <c r="M1106" s="16" t="s">
        <v>31</v>
      </c>
      <c r="N1106" s="16" t="s">
        <v>991</v>
      </c>
      <c r="Q1106" s="17">
        <f>S1106/T1106</f>
        <v>0.46666666666666667</v>
      </c>
      <c r="S1106" s="16">
        <f>MID(D1106,FIND("x",D1106)+7,4)*1</f>
        <v>2800</v>
      </c>
      <c r="T1106" s="16">
        <v>6000</v>
      </c>
    </row>
    <row r="1107" spans="1:20" x14ac:dyDescent="0.55000000000000004">
      <c r="A1107" t="s">
        <v>2480</v>
      </c>
      <c r="C1107" t="s">
        <v>859</v>
      </c>
      <c r="D1107" t="s">
        <v>860</v>
      </c>
      <c r="E1107" t="s">
        <v>35</v>
      </c>
      <c r="F1107" t="s">
        <v>30</v>
      </c>
      <c r="G1107" t="s">
        <v>31</v>
      </c>
      <c r="H1107" t="s">
        <v>36</v>
      </c>
      <c r="I1107" t="s">
        <v>861</v>
      </c>
      <c r="J1107" t="s">
        <v>862</v>
      </c>
      <c r="K1107" t="s">
        <v>39</v>
      </c>
      <c r="L1107" t="s">
        <v>30</v>
      </c>
      <c r="M1107" t="s">
        <v>31</v>
      </c>
      <c r="N1107" t="s">
        <v>4003</v>
      </c>
      <c r="Q1107" s="4">
        <v>1</v>
      </c>
    </row>
    <row r="1108" spans="1:20" x14ac:dyDescent="0.55000000000000004">
      <c r="A1108" t="s">
        <v>2481</v>
      </c>
      <c r="C1108" t="s">
        <v>861</v>
      </c>
      <c r="D1108" t="s">
        <v>862</v>
      </c>
      <c r="E1108" t="s">
        <v>39</v>
      </c>
      <c r="F1108" t="s">
        <v>30</v>
      </c>
      <c r="G1108" t="s">
        <v>31</v>
      </c>
      <c r="H1108" s="11" t="s">
        <v>991</v>
      </c>
      <c r="I1108" t="s">
        <v>1599</v>
      </c>
      <c r="J1108" t="s">
        <v>1600</v>
      </c>
      <c r="K1108" t="s">
        <v>362</v>
      </c>
      <c r="L1108" t="s">
        <v>30</v>
      </c>
      <c r="M1108" t="s">
        <v>31</v>
      </c>
      <c r="Q1108" s="4">
        <v>1</v>
      </c>
    </row>
    <row r="1109" spans="1:20" x14ac:dyDescent="0.55000000000000004">
      <c r="A1109" t="s">
        <v>2482</v>
      </c>
      <c r="C1109" t="s">
        <v>861</v>
      </c>
      <c r="D1109" t="s">
        <v>862</v>
      </c>
      <c r="E1109" t="s">
        <v>39</v>
      </c>
      <c r="F1109" t="s">
        <v>30</v>
      </c>
      <c r="G1109" t="s">
        <v>31</v>
      </c>
      <c r="H1109" s="11" t="s">
        <v>991</v>
      </c>
      <c r="I1109" t="s">
        <v>1713</v>
      </c>
      <c r="J1109" t="s">
        <v>1714</v>
      </c>
      <c r="K1109" t="s">
        <v>39</v>
      </c>
      <c r="L1109" t="s">
        <v>30</v>
      </c>
      <c r="M1109" t="s">
        <v>31</v>
      </c>
      <c r="N1109" t="s">
        <v>991</v>
      </c>
      <c r="Q1109" s="4">
        <v>1</v>
      </c>
    </row>
    <row r="1110" spans="1:20" s="16" customFormat="1" ht="18.5" thickBot="1" x14ac:dyDescent="0.6">
      <c r="A1110" s="16" t="s">
        <v>2483</v>
      </c>
      <c r="C1110" s="16" t="s">
        <v>1713</v>
      </c>
      <c r="D1110" s="16" t="s">
        <v>1714</v>
      </c>
      <c r="E1110" s="16" t="s">
        <v>39</v>
      </c>
      <c r="F1110" s="16" t="s">
        <v>30</v>
      </c>
      <c r="G1110" s="16" t="s">
        <v>31</v>
      </c>
      <c r="H1110" s="16" t="s">
        <v>991</v>
      </c>
      <c r="I1110" s="16" t="s">
        <v>3781</v>
      </c>
      <c r="J1110" s="16" t="s">
        <v>3782</v>
      </c>
      <c r="K1110" s="16" t="s">
        <v>39</v>
      </c>
      <c r="L1110" s="16" t="s">
        <v>30</v>
      </c>
      <c r="M1110" s="16" t="s">
        <v>31</v>
      </c>
      <c r="N1110" s="16" t="s">
        <v>991</v>
      </c>
      <c r="Q1110" s="17">
        <f>S1110/T1110</f>
        <v>0.48333333333333334</v>
      </c>
      <c r="S1110" s="16">
        <f>MID(D1110,FIND("x",D1110)+7,4)*1</f>
        <v>2900</v>
      </c>
      <c r="T1110" s="16">
        <v>6000</v>
      </c>
    </row>
    <row r="1111" spans="1:20" x14ac:dyDescent="0.55000000000000004">
      <c r="A1111" t="s">
        <v>2484</v>
      </c>
      <c r="C1111" t="s">
        <v>864</v>
      </c>
      <c r="D1111" t="s">
        <v>865</v>
      </c>
      <c r="E1111" t="s">
        <v>35</v>
      </c>
      <c r="F1111" t="s">
        <v>30</v>
      </c>
      <c r="G1111" t="s">
        <v>31</v>
      </c>
      <c r="H1111" t="s">
        <v>36</v>
      </c>
      <c r="I1111" t="s">
        <v>866</v>
      </c>
      <c r="J1111" t="s">
        <v>867</v>
      </c>
      <c r="K1111" t="s">
        <v>39</v>
      </c>
      <c r="L1111" t="s">
        <v>30</v>
      </c>
      <c r="M1111" t="s">
        <v>31</v>
      </c>
      <c r="N1111" t="s">
        <v>4003</v>
      </c>
      <c r="Q1111" s="4">
        <v>1</v>
      </c>
    </row>
    <row r="1112" spans="1:20" x14ac:dyDescent="0.55000000000000004">
      <c r="A1112" t="s">
        <v>2485</v>
      </c>
      <c r="C1112" t="s">
        <v>866</v>
      </c>
      <c r="D1112" t="s">
        <v>867</v>
      </c>
      <c r="E1112" t="s">
        <v>39</v>
      </c>
      <c r="F1112" t="s">
        <v>30</v>
      </c>
      <c r="G1112" t="s">
        <v>31</v>
      </c>
      <c r="H1112" s="11" t="s">
        <v>991</v>
      </c>
      <c r="I1112" t="s">
        <v>1599</v>
      </c>
      <c r="J1112" t="s">
        <v>1600</v>
      </c>
      <c r="K1112" t="s">
        <v>362</v>
      </c>
      <c r="L1112" t="s">
        <v>30</v>
      </c>
      <c r="M1112" t="s">
        <v>31</v>
      </c>
      <c r="Q1112" s="4">
        <v>1</v>
      </c>
    </row>
    <row r="1113" spans="1:20" x14ac:dyDescent="0.55000000000000004">
      <c r="A1113" t="s">
        <v>2486</v>
      </c>
      <c r="C1113" t="s">
        <v>866</v>
      </c>
      <c r="D1113" t="s">
        <v>867</v>
      </c>
      <c r="E1113" t="s">
        <v>39</v>
      </c>
      <c r="F1113" t="s">
        <v>30</v>
      </c>
      <c r="G1113" t="s">
        <v>31</v>
      </c>
      <c r="H1113" s="11" t="s">
        <v>991</v>
      </c>
      <c r="I1113" t="s">
        <v>1719</v>
      </c>
      <c r="J1113" t="s">
        <v>1720</v>
      </c>
      <c r="K1113" t="s">
        <v>39</v>
      </c>
      <c r="L1113" t="s">
        <v>30</v>
      </c>
      <c r="M1113" t="s">
        <v>31</v>
      </c>
      <c r="N1113" t="s">
        <v>991</v>
      </c>
      <c r="Q1113" s="4">
        <v>1</v>
      </c>
    </row>
    <row r="1114" spans="1:20" s="16" customFormat="1" ht="18.5" thickBot="1" x14ac:dyDescent="0.6">
      <c r="A1114" s="16" t="s">
        <v>2487</v>
      </c>
      <c r="C1114" s="16" t="s">
        <v>1719</v>
      </c>
      <c r="D1114" s="16" t="s">
        <v>1720</v>
      </c>
      <c r="E1114" s="16" t="s">
        <v>39</v>
      </c>
      <c r="F1114" s="16" t="s">
        <v>30</v>
      </c>
      <c r="G1114" s="16" t="s">
        <v>31</v>
      </c>
      <c r="H1114" s="16" t="s">
        <v>991</v>
      </c>
      <c r="I1114" s="16" t="s">
        <v>3781</v>
      </c>
      <c r="J1114" s="16" t="s">
        <v>3782</v>
      </c>
      <c r="K1114" s="16" t="s">
        <v>39</v>
      </c>
      <c r="L1114" s="16" t="s">
        <v>30</v>
      </c>
      <c r="M1114" s="16" t="s">
        <v>31</v>
      </c>
      <c r="N1114" s="16" t="s">
        <v>991</v>
      </c>
      <c r="Q1114" s="17">
        <f>S1114/T1114</f>
        <v>0.5</v>
      </c>
      <c r="S1114" s="16">
        <f>MID(D1114,FIND("x",D1114)+7,4)*1</f>
        <v>3000</v>
      </c>
      <c r="T1114" s="16">
        <v>6000</v>
      </c>
    </row>
    <row r="1115" spans="1:20" x14ac:dyDescent="0.55000000000000004">
      <c r="A1115" t="s">
        <v>2488</v>
      </c>
      <c r="C1115" t="s">
        <v>869</v>
      </c>
      <c r="D1115" t="s">
        <v>870</v>
      </c>
      <c r="E1115" t="s">
        <v>35</v>
      </c>
      <c r="F1115" t="s">
        <v>30</v>
      </c>
      <c r="G1115" t="s">
        <v>31</v>
      </c>
      <c r="H1115" t="s">
        <v>36</v>
      </c>
      <c r="I1115" t="s">
        <v>871</v>
      </c>
      <c r="J1115" t="s">
        <v>872</v>
      </c>
      <c r="K1115" t="s">
        <v>39</v>
      </c>
      <c r="L1115" t="s">
        <v>30</v>
      </c>
      <c r="M1115" t="s">
        <v>31</v>
      </c>
      <c r="N1115" t="s">
        <v>4003</v>
      </c>
      <c r="Q1115" s="4">
        <v>1</v>
      </c>
    </row>
    <row r="1116" spans="1:20" x14ac:dyDescent="0.55000000000000004">
      <c r="A1116" t="s">
        <v>2489</v>
      </c>
      <c r="C1116" t="s">
        <v>871</v>
      </c>
      <c r="D1116" t="s">
        <v>872</v>
      </c>
      <c r="E1116" t="s">
        <v>39</v>
      </c>
      <c r="F1116" t="s">
        <v>30</v>
      </c>
      <c r="G1116" t="s">
        <v>31</v>
      </c>
      <c r="H1116" s="11" t="s">
        <v>991</v>
      </c>
      <c r="I1116" t="s">
        <v>1599</v>
      </c>
      <c r="J1116" t="s">
        <v>1600</v>
      </c>
      <c r="K1116" t="s">
        <v>362</v>
      </c>
      <c r="L1116" t="s">
        <v>30</v>
      </c>
      <c r="M1116" t="s">
        <v>31</v>
      </c>
      <c r="Q1116" s="4">
        <v>1</v>
      </c>
    </row>
    <row r="1117" spans="1:20" x14ac:dyDescent="0.55000000000000004">
      <c r="A1117" t="s">
        <v>2490</v>
      </c>
      <c r="C1117" t="s">
        <v>871</v>
      </c>
      <c r="D1117" t="s">
        <v>872</v>
      </c>
      <c r="E1117" t="s">
        <v>39</v>
      </c>
      <c r="F1117" t="s">
        <v>30</v>
      </c>
      <c r="G1117" t="s">
        <v>31</v>
      </c>
      <c r="H1117" s="11" t="s">
        <v>991</v>
      </c>
      <c r="I1117" t="s">
        <v>1725</v>
      </c>
      <c r="J1117" t="s">
        <v>1726</v>
      </c>
      <c r="K1117" t="s">
        <v>39</v>
      </c>
      <c r="L1117" t="s">
        <v>30</v>
      </c>
      <c r="M1117" t="s">
        <v>31</v>
      </c>
      <c r="N1117" t="s">
        <v>991</v>
      </c>
      <c r="Q1117" s="4">
        <v>1</v>
      </c>
    </row>
    <row r="1118" spans="1:20" s="16" customFormat="1" ht="18.5" thickBot="1" x14ac:dyDescent="0.6">
      <c r="A1118" s="16" t="s">
        <v>2491</v>
      </c>
      <c r="C1118" s="16" t="s">
        <v>1725</v>
      </c>
      <c r="D1118" s="16" t="s">
        <v>1726</v>
      </c>
      <c r="E1118" s="16" t="s">
        <v>39</v>
      </c>
      <c r="F1118" s="16" t="s">
        <v>30</v>
      </c>
      <c r="G1118" s="16" t="s">
        <v>31</v>
      </c>
      <c r="H1118" s="16" t="s">
        <v>991</v>
      </c>
      <c r="I1118" s="16" t="s">
        <v>3781</v>
      </c>
      <c r="J1118" s="16" t="s">
        <v>3782</v>
      </c>
      <c r="K1118" s="16" t="s">
        <v>39</v>
      </c>
      <c r="L1118" s="16" t="s">
        <v>30</v>
      </c>
      <c r="M1118" s="16" t="s">
        <v>31</v>
      </c>
      <c r="N1118" s="16" t="s">
        <v>991</v>
      </c>
      <c r="Q1118" s="17">
        <f>S1118/T1118</f>
        <v>0.51666666666666672</v>
      </c>
      <c r="S1118" s="16">
        <f>MID(D1118,FIND("x",D1118)+7,4)*1</f>
        <v>3100</v>
      </c>
      <c r="T1118" s="16">
        <v>6000</v>
      </c>
    </row>
    <row r="1119" spans="1:20" x14ac:dyDescent="0.55000000000000004">
      <c r="A1119" t="s">
        <v>2492</v>
      </c>
      <c r="C1119" t="s">
        <v>874</v>
      </c>
      <c r="D1119" t="s">
        <v>875</v>
      </c>
      <c r="E1119" t="s">
        <v>35</v>
      </c>
      <c r="F1119" t="s">
        <v>30</v>
      </c>
      <c r="G1119" t="s">
        <v>31</v>
      </c>
      <c r="H1119" t="s">
        <v>36</v>
      </c>
      <c r="I1119" t="s">
        <v>876</v>
      </c>
      <c r="J1119" t="s">
        <v>877</v>
      </c>
      <c r="K1119" t="s">
        <v>39</v>
      </c>
      <c r="L1119" t="s">
        <v>30</v>
      </c>
      <c r="M1119" t="s">
        <v>31</v>
      </c>
      <c r="N1119" t="s">
        <v>4003</v>
      </c>
      <c r="Q1119" s="4">
        <v>1</v>
      </c>
    </row>
    <row r="1120" spans="1:20" x14ac:dyDescent="0.55000000000000004">
      <c r="A1120" t="s">
        <v>2493</v>
      </c>
      <c r="C1120" t="s">
        <v>876</v>
      </c>
      <c r="D1120" t="s">
        <v>877</v>
      </c>
      <c r="E1120" t="s">
        <v>39</v>
      </c>
      <c r="F1120" t="s">
        <v>30</v>
      </c>
      <c r="G1120" t="s">
        <v>31</v>
      </c>
      <c r="H1120" s="11" t="s">
        <v>991</v>
      </c>
      <c r="I1120" t="s">
        <v>1599</v>
      </c>
      <c r="J1120" t="s">
        <v>1600</v>
      </c>
      <c r="K1120" t="s">
        <v>362</v>
      </c>
      <c r="L1120" t="s">
        <v>30</v>
      </c>
      <c r="M1120" t="s">
        <v>31</v>
      </c>
      <c r="Q1120" s="4">
        <v>1</v>
      </c>
    </row>
    <row r="1121" spans="1:20" x14ac:dyDescent="0.55000000000000004">
      <c r="A1121" t="s">
        <v>2494</v>
      </c>
      <c r="C1121" t="s">
        <v>876</v>
      </c>
      <c r="D1121" t="s">
        <v>877</v>
      </c>
      <c r="E1121" t="s">
        <v>39</v>
      </c>
      <c r="F1121" t="s">
        <v>30</v>
      </c>
      <c r="G1121" t="s">
        <v>31</v>
      </c>
      <c r="H1121" s="11" t="s">
        <v>991</v>
      </c>
      <c r="I1121" t="s">
        <v>1731</v>
      </c>
      <c r="J1121" t="s">
        <v>1732</v>
      </c>
      <c r="K1121" t="s">
        <v>39</v>
      </c>
      <c r="L1121" t="s">
        <v>30</v>
      </c>
      <c r="M1121" t="s">
        <v>31</v>
      </c>
      <c r="N1121" t="s">
        <v>991</v>
      </c>
      <c r="Q1121" s="4">
        <v>1</v>
      </c>
    </row>
    <row r="1122" spans="1:20" s="16" customFormat="1" ht="18.5" thickBot="1" x14ac:dyDescent="0.6">
      <c r="A1122" s="16" t="s">
        <v>2495</v>
      </c>
      <c r="C1122" s="16" t="s">
        <v>1731</v>
      </c>
      <c r="D1122" s="16" t="s">
        <v>1732</v>
      </c>
      <c r="E1122" s="16" t="s">
        <v>39</v>
      </c>
      <c r="F1122" s="16" t="s">
        <v>30</v>
      </c>
      <c r="G1122" s="16" t="s">
        <v>31</v>
      </c>
      <c r="H1122" s="16" t="s">
        <v>991</v>
      </c>
      <c r="I1122" s="16" t="s">
        <v>3781</v>
      </c>
      <c r="J1122" s="16" t="s">
        <v>3782</v>
      </c>
      <c r="K1122" s="16" t="s">
        <v>39</v>
      </c>
      <c r="L1122" s="16" t="s">
        <v>30</v>
      </c>
      <c r="M1122" s="16" t="s">
        <v>31</v>
      </c>
      <c r="N1122" s="16" t="s">
        <v>991</v>
      </c>
      <c r="Q1122" s="17">
        <f>S1122/T1122</f>
        <v>0.53333333333333333</v>
      </c>
      <c r="S1122" s="16">
        <f>MID(D1122,FIND("x",D1122)+7,4)*1</f>
        <v>3200</v>
      </c>
      <c r="T1122" s="16">
        <v>6000</v>
      </c>
    </row>
    <row r="1123" spans="1:20" x14ac:dyDescent="0.55000000000000004">
      <c r="A1123" t="s">
        <v>2496</v>
      </c>
      <c r="C1123" t="s">
        <v>879</v>
      </c>
      <c r="D1123" t="s">
        <v>880</v>
      </c>
      <c r="E1123" t="s">
        <v>35</v>
      </c>
      <c r="F1123" t="s">
        <v>30</v>
      </c>
      <c r="G1123" t="s">
        <v>31</v>
      </c>
      <c r="H1123" t="s">
        <v>36</v>
      </c>
      <c r="I1123" t="s">
        <v>881</v>
      </c>
      <c r="J1123" t="s">
        <v>882</v>
      </c>
      <c r="K1123" t="s">
        <v>39</v>
      </c>
      <c r="L1123" t="s">
        <v>30</v>
      </c>
      <c r="M1123" t="s">
        <v>31</v>
      </c>
      <c r="N1123" t="s">
        <v>4003</v>
      </c>
      <c r="Q1123" s="4">
        <v>1</v>
      </c>
    </row>
    <row r="1124" spans="1:20" x14ac:dyDescent="0.55000000000000004">
      <c r="A1124" t="s">
        <v>2497</v>
      </c>
      <c r="C1124" t="s">
        <v>881</v>
      </c>
      <c r="D1124" t="s">
        <v>882</v>
      </c>
      <c r="E1124" t="s">
        <v>39</v>
      </c>
      <c r="F1124" t="s">
        <v>30</v>
      </c>
      <c r="G1124" t="s">
        <v>31</v>
      </c>
      <c r="H1124" s="11" t="s">
        <v>991</v>
      </c>
      <c r="I1124" t="s">
        <v>1599</v>
      </c>
      <c r="J1124" t="s">
        <v>1600</v>
      </c>
      <c r="K1124" t="s">
        <v>362</v>
      </c>
      <c r="L1124" t="s">
        <v>30</v>
      </c>
      <c r="M1124" t="s">
        <v>31</v>
      </c>
      <c r="Q1124" s="4">
        <v>1</v>
      </c>
    </row>
    <row r="1125" spans="1:20" x14ac:dyDescent="0.55000000000000004">
      <c r="A1125" t="s">
        <v>2498</v>
      </c>
      <c r="C1125" t="s">
        <v>881</v>
      </c>
      <c r="D1125" t="s">
        <v>882</v>
      </c>
      <c r="E1125" t="s">
        <v>39</v>
      </c>
      <c r="F1125" t="s">
        <v>30</v>
      </c>
      <c r="G1125" t="s">
        <v>31</v>
      </c>
      <c r="H1125" s="11" t="s">
        <v>991</v>
      </c>
      <c r="I1125" t="s">
        <v>1737</v>
      </c>
      <c r="J1125" t="s">
        <v>1738</v>
      </c>
      <c r="K1125" t="s">
        <v>39</v>
      </c>
      <c r="L1125" t="s">
        <v>30</v>
      </c>
      <c r="M1125" t="s">
        <v>31</v>
      </c>
      <c r="N1125" t="s">
        <v>991</v>
      </c>
      <c r="Q1125" s="4">
        <v>1</v>
      </c>
    </row>
    <row r="1126" spans="1:20" s="16" customFormat="1" ht="18.5" thickBot="1" x14ac:dyDescent="0.6">
      <c r="A1126" s="16" t="s">
        <v>2499</v>
      </c>
      <c r="C1126" s="16" t="s">
        <v>1737</v>
      </c>
      <c r="D1126" s="16" t="s">
        <v>1738</v>
      </c>
      <c r="E1126" s="16" t="s">
        <v>39</v>
      </c>
      <c r="F1126" s="16" t="s">
        <v>30</v>
      </c>
      <c r="G1126" s="16" t="s">
        <v>31</v>
      </c>
      <c r="H1126" s="16" t="s">
        <v>991</v>
      </c>
      <c r="I1126" s="16" t="s">
        <v>3781</v>
      </c>
      <c r="J1126" s="16" t="s">
        <v>3782</v>
      </c>
      <c r="K1126" s="16" t="s">
        <v>39</v>
      </c>
      <c r="L1126" s="16" t="s">
        <v>30</v>
      </c>
      <c r="M1126" s="16" t="s">
        <v>31</v>
      </c>
      <c r="N1126" s="16" t="s">
        <v>991</v>
      </c>
      <c r="Q1126" s="17">
        <f>S1126/T1126</f>
        <v>0.55000000000000004</v>
      </c>
      <c r="S1126" s="16">
        <f>MID(D1126,FIND("x",D1126)+7,4)*1</f>
        <v>3300</v>
      </c>
      <c r="T1126" s="16">
        <v>6000</v>
      </c>
    </row>
    <row r="1127" spans="1:20" x14ac:dyDescent="0.55000000000000004">
      <c r="A1127" t="s">
        <v>2500</v>
      </c>
      <c r="C1127" t="s">
        <v>884</v>
      </c>
      <c r="D1127" t="s">
        <v>885</v>
      </c>
      <c r="E1127" t="s">
        <v>35</v>
      </c>
      <c r="F1127" t="s">
        <v>30</v>
      </c>
      <c r="G1127" t="s">
        <v>31</v>
      </c>
      <c r="H1127" t="s">
        <v>36</v>
      </c>
      <c r="I1127" t="s">
        <v>886</v>
      </c>
      <c r="J1127" t="s">
        <v>887</v>
      </c>
      <c r="K1127" t="s">
        <v>39</v>
      </c>
      <c r="L1127" t="s">
        <v>30</v>
      </c>
      <c r="M1127" t="s">
        <v>31</v>
      </c>
      <c r="N1127" t="s">
        <v>4003</v>
      </c>
      <c r="Q1127" s="4">
        <v>1</v>
      </c>
    </row>
    <row r="1128" spans="1:20" x14ac:dyDescent="0.55000000000000004">
      <c r="A1128" t="s">
        <v>2501</v>
      </c>
      <c r="C1128" t="s">
        <v>886</v>
      </c>
      <c r="D1128" t="s">
        <v>887</v>
      </c>
      <c r="E1128" t="s">
        <v>39</v>
      </c>
      <c r="F1128" t="s">
        <v>30</v>
      </c>
      <c r="G1128" t="s">
        <v>31</v>
      </c>
      <c r="H1128" s="11" t="s">
        <v>991</v>
      </c>
      <c r="I1128" t="s">
        <v>1599</v>
      </c>
      <c r="J1128" t="s">
        <v>1600</v>
      </c>
      <c r="K1128" t="s">
        <v>362</v>
      </c>
      <c r="L1128" t="s">
        <v>30</v>
      </c>
      <c r="M1128" t="s">
        <v>31</v>
      </c>
      <c r="Q1128" s="4">
        <v>1</v>
      </c>
    </row>
    <row r="1129" spans="1:20" x14ac:dyDescent="0.55000000000000004">
      <c r="A1129" t="s">
        <v>2502</v>
      </c>
      <c r="C1129" t="s">
        <v>886</v>
      </c>
      <c r="D1129" t="s">
        <v>887</v>
      </c>
      <c r="E1129" t="s">
        <v>39</v>
      </c>
      <c r="F1129" t="s">
        <v>30</v>
      </c>
      <c r="G1129" t="s">
        <v>31</v>
      </c>
      <c r="H1129" s="11" t="s">
        <v>991</v>
      </c>
      <c r="I1129" t="s">
        <v>1743</v>
      </c>
      <c r="J1129" t="s">
        <v>1744</v>
      </c>
      <c r="K1129" t="s">
        <v>39</v>
      </c>
      <c r="L1129" t="s">
        <v>30</v>
      </c>
      <c r="M1129" t="s">
        <v>31</v>
      </c>
      <c r="N1129" t="s">
        <v>991</v>
      </c>
      <c r="Q1129" s="4">
        <v>1</v>
      </c>
    </row>
    <row r="1130" spans="1:20" s="16" customFormat="1" ht="18.5" thickBot="1" x14ac:dyDescent="0.6">
      <c r="A1130" s="16" t="s">
        <v>2503</v>
      </c>
      <c r="C1130" s="16" t="s">
        <v>1743</v>
      </c>
      <c r="D1130" s="16" t="s">
        <v>1744</v>
      </c>
      <c r="E1130" s="16" t="s">
        <v>39</v>
      </c>
      <c r="F1130" s="16" t="s">
        <v>30</v>
      </c>
      <c r="G1130" s="16" t="s">
        <v>31</v>
      </c>
      <c r="H1130" s="16" t="s">
        <v>991</v>
      </c>
      <c r="I1130" s="16" t="s">
        <v>3781</v>
      </c>
      <c r="J1130" s="16" t="s">
        <v>3782</v>
      </c>
      <c r="K1130" s="16" t="s">
        <v>39</v>
      </c>
      <c r="L1130" s="16" t="s">
        <v>30</v>
      </c>
      <c r="M1130" s="16" t="s">
        <v>31</v>
      </c>
      <c r="N1130" s="16" t="s">
        <v>991</v>
      </c>
      <c r="Q1130" s="17">
        <f>S1130/T1130</f>
        <v>0.56666666666666665</v>
      </c>
      <c r="S1130" s="16">
        <f>MID(D1130,FIND("x",D1130)+7,4)*1</f>
        <v>3400</v>
      </c>
      <c r="T1130" s="16">
        <v>6000</v>
      </c>
    </row>
    <row r="1131" spans="1:20" x14ac:dyDescent="0.55000000000000004">
      <c r="A1131" t="s">
        <v>2504</v>
      </c>
      <c r="C1131" t="s">
        <v>889</v>
      </c>
      <c r="D1131" t="s">
        <v>890</v>
      </c>
      <c r="E1131" t="s">
        <v>35</v>
      </c>
      <c r="F1131" t="s">
        <v>30</v>
      </c>
      <c r="G1131" t="s">
        <v>31</v>
      </c>
      <c r="H1131" t="s">
        <v>36</v>
      </c>
      <c r="I1131" t="s">
        <v>891</v>
      </c>
      <c r="J1131" t="s">
        <v>892</v>
      </c>
      <c r="K1131" t="s">
        <v>39</v>
      </c>
      <c r="L1131" t="s">
        <v>30</v>
      </c>
      <c r="M1131" t="s">
        <v>31</v>
      </c>
      <c r="N1131" t="s">
        <v>4003</v>
      </c>
      <c r="Q1131" s="4">
        <v>1</v>
      </c>
    </row>
    <row r="1132" spans="1:20" x14ac:dyDescent="0.55000000000000004">
      <c r="A1132" t="s">
        <v>2505</v>
      </c>
      <c r="C1132" t="s">
        <v>891</v>
      </c>
      <c r="D1132" t="s">
        <v>892</v>
      </c>
      <c r="E1132" t="s">
        <v>39</v>
      </c>
      <c r="F1132" t="s">
        <v>30</v>
      </c>
      <c r="G1132" t="s">
        <v>31</v>
      </c>
      <c r="H1132" s="11" t="s">
        <v>991</v>
      </c>
      <c r="I1132" t="s">
        <v>1599</v>
      </c>
      <c r="J1132" t="s">
        <v>1600</v>
      </c>
      <c r="K1132" t="s">
        <v>362</v>
      </c>
      <c r="L1132" t="s">
        <v>30</v>
      </c>
      <c r="M1132" t="s">
        <v>31</v>
      </c>
      <c r="Q1132" s="4">
        <v>1</v>
      </c>
    </row>
    <row r="1133" spans="1:20" x14ac:dyDescent="0.55000000000000004">
      <c r="A1133" t="s">
        <v>2506</v>
      </c>
      <c r="C1133" t="s">
        <v>891</v>
      </c>
      <c r="D1133" t="s">
        <v>892</v>
      </c>
      <c r="E1133" t="s">
        <v>39</v>
      </c>
      <c r="F1133" t="s">
        <v>30</v>
      </c>
      <c r="G1133" t="s">
        <v>31</v>
      </c>
      <c r="H1133" s="11" t="s">
        <v>991</v>
      </c>
      <c r="I1133" t="s">
        <v>1749</v>
      </c>
      <c r="J1133" t="s">
        <v>1750</v>
      </c>
      <c r="K1133" t="s">
        <v>39</v>
      </c>
      <c r="L1133" t="s">
        <v>30</v>
      </c>
      <c r="M1133" t="s">
        <v>31</v>
      </c>
      <c r="N1133" t="s">
        <v>991</v>
      </c>
      <c r="Q1133" s="4">
        <v>1</v>
      </c>
    </row>
    <row r="1134" spans="1:20" s="16" customFormat="1" ht="18.5" thickBot="1" x14ac:dyDescent="0.6">
      <c r="A1134" s="16" t="s">
        <v>2507</v>
      </c>
      <c r="C1134" s="16" t="s">
        <v>1749</v>
      </c>
      <c r="D1134" s="16" t="s">
        <v>1750</v>
      </c>
      <c r="E1134" s="16" t="s">
        <v>39</v>
      </c>
      <c r="F1134" s="16" t="s">
        <v>30</v>
      </c>
      <c r="G1134" s="16" t="s">
        <v>31</v>
      </c>
      <c r="H1134" s="16" t="s">
        <v>991</v>
      </c>
      <c r="I1134" s="16" t="s">
        <v>3781</v>
      </c>
      <c r="J1134" s="16" t="s">
        <v>3782</v>
      </c>
      <c r="K1134" s="16" t="s">
        <v>39</v>
      </c>
      <c r="L1134" s="16" t="s">
        <v>30</v>
      </c>
      <c r="M1134" s="16" t="s">
        <v>31</v>
      </c>
      <c r="N1134" s="16" t="s">
        <v>991</v>
      </c>
      <c r="Q1134" s="17">
        <f>S1134/T1134</f>
        <v>0.58333333333333337</v>
      </c>
      <c r="S1134" s="16">
        <f>MID(D1134,FIND("x",D1134)+7,4)*1</f>
        <v>3500</v>
      </c>
      <c r="T1134" s="16">
        <v>6000</v>
      </c>
    </row>
    <row r="1135" spans="1:20" x14ac:dyDescent="0.55000000000000004">
      <c r="A1135" t="s">
        <v>2508</v>
      </c>
      <c r="C1135" t="s">
        <v>894</v>
      </c>
      <c r="D1135" t="s">
        <v>895</v>
      </c>
      <c r="E1135" t="s">
        <v>35</v>
      </c>
      <c r="F1135" t="s">
        <v>30</v>
      </c>
      <c r="G1135" t="s">
        <v>31</v>
      </c>
      <c r="H1135" t="s">
        <v>36</v>
      </c>
      <c r="I1135" t="s">
        <v>896</v>
      </c>
      <c r="J1135" t="s">
        <v>897</v>
      </c>
      <c r="K1135" t="s">
        <v>39</v>
      </c>
      <c r="L1135" t="s">
        <v>30</v>
      </c>
      <c r="M1135" t="s">
        <v>31</v>
      </c>
      <c r="N1135" t="s">
        <v>4003</v>
      </c>
      <c r="Q1135" s="4">
        <v>1</v>
      </c>
    </row>
    <row r="1136" spans="1:20" x14ac:dyDescent="0.55000000000000004">
      <c r="A1136" t="s">
        <v>2509</v>
      </c>
      <c r="C1136" t="s">
        <v>896</v>
      </c>
      <c r="D1136" t="s">
        <v>897</v>
      </c>
      <c r="E1136" t="s">
        <v>39</v>
      </c>
      <c r="F1136" t="s">
        <v>30</v>
      </c>
      <c r="G1136" t="s">
        <v>31</v>
      </c>
      <c r="H1136" s="11" t="s">
        <v>991</v>
      </c>
      <c r="I1136" t="s">
        <v>1599</v>
      </c>
      <c r="J1136" t="s">
        <v>1600</v>
      </c>
      <c r="K1136" t="s">
        <v>362</v>
      </c>
      <c r="L1136" t="s">
        <v>30</v>
      </c>
      <c r="M1136" t="s">
        <v>31</v>
      </c>
      <c r="Q1136" s="4">
        <v>1</v>
      </c>
    </row>
    <row r="1137" spans="1:20" x14ac:dyDescent="0.55000000000000004">
      <c r="A1137" t="s">
        <v>2510</v>
      </c>
      <c r="C1137" t="s">
        <v>896</v>
      </c>
      <c r="D1137" t="s">
        <v>897</v>
      </c>
      <c r="E1137" t="s">
        <v>39</v>
      </c>
      <c r="F1137" t="s">
        <v>30</v>
      </c>
      <c r="G1137" t="s">
        <v>31</v>
      </c>
      <c r="H1137" s="11" t="s">
        <v>991</v>
      </c>
      <c r="I1137" t="s">
        <v>1755</v>
      </c>
      <c r="J1137" t="s">
        <v>1756</v>
      </c>
      <c r="K1137" t="s">
        <v>39</v>
      </c>
      <c r="L1137" t="s">
        <v>30</v>
      </c>
      <c r="M1137" t="s">
        <v>31</v>
      </c>
      <c r="N1137" t="s">
        <v>991</v>
      </c>
      <c r="Q1137" s="4">
        <v>1</v>
      </c>
    </row>
    <row r="1138" spans="1:20" s="16" customFormat="1" ht="18.5" thickBot="1" x14ac:dyDescent="0.6">
      <c r="A1138" s="16" t="s">
        <v>2511</v>
      </c>
      <c r="C1138" s="16" t="s">
        <v>1755</v>
      </c>
      <c r="D1138" s="16" t="s">
        <v>1756</v>
      </c>
      <c r="E1138" s="16" t="s">
        <v>39</v>
      </c>
      <c r="F1138" s="16" t="s">
        <v>30</v>
      </c>
      <c r="G1138" s="16" t="s">
        <v>31</v>
      </c>
      <c r="H1138" s="16" t="s">
        <v>991</v>
      </c>
      <c r="I1138" s="16" t="s">
        <v>3781</v>
      </c>
      <c r="J1138" s="16" t="s">
        <v>3782</v>
      </c>
      <c r="K1138" s="16" t="s">
        <v>39</v>
      </c>
      <c r="L1138" s="16" t="s">
        <v>30</v>
      </c>
      <c r="M1138" s="16" t="s">
        <v>31</v>
      </c>
      <c r="N1138" s="16" t="s">
        <v>991</v>
      </c>
      <c r="Q1138" s="17">
        <f>S1138/T1138</f>
        <v>0.6</v>
      </c>
      <c r="S1138" s="16">
        <f>MID(D1138,FIND("x",D1138)+7,4)*1</f>
        <v>3600</v>
      </c>
      <c r="T1138" s="16">
        <v>6000</v>
      </c>
    </row>
    <row r="1139" spans="1:20" x14ac:dyDescent="0.55000000000000004">
      <c r="A1139" t="s">
        <v>2512</v>
      </c>
      <c r="C1139" t="s">
        <v>899</v>
      </c>
      <c r="D1139" t="s">
        <v>900</v>
      </c>
      <c r="E1139" t="s">
        <v>35</v>
      </c>
      <c r="F1139" t="s">
        <v>30</v>
      </c>
      <c r="G1139" t="s">
        <v>31</v>
      </c>
      <c r="H1139" t="s">
        <v>36</v>
      </c>
      <c r="I1139" t="s">
        <v>901</v>
      </c>
      <c r="J1139" t="s">
        <v>902</v>
      </c>
      <c r="K1139" t="s">
        <v>39</v>
      </c>
      <c r="L1139" t="s">
        <v>30</v>
      </c>
      <c r="M1139" t="s">
        <v>31</v>
      </c>
      <c r="N1139" t="s">
        <v>4003</v>
      </c>
      <c r="Q1139" s="4">
        <v>1</v>
      </c>
    </row>
    <row r="1140" spans="1:20" x14ac:dyDescent="0.55000000000000004">
      <c r="A1140" t="s">
        <v>2513</v>
      </c>
      <c r="C1140" t="s">
        <v>901</v>
      </c>
      <c r="D1140" t="s">
        <v>902</v>
      </c>
      <c r="E1140" t="s">
        <v>39</v>
      </c>
      <c r="F1140" t="s">
        <v>30</v>
      </c>
      <c r="G1140" t="s">
        <v>31</v>
      </c>
      <c r="H1140" s="11" t="s">
        <v>991</v>
      </c>
      <c r="I1140" t="s">
        <v>1599</v>
      </c>
      <c r="J1140" t="s">
        <v>1600</v>
      </c>
      <c r="K1140" t="s">
        <v>362</v>
      </c>
      <c r="L1140" t="s">
        <v>30</v>
      </c>
      <c r="M1140" t="s">
        <v>31</v>
      </c>
      <c r="Q1140" s="4">
        <v>1</v>
      </c>
    </row>
    <row r="1141" spans="1:20" x14ac:dyDescent="0.55000000000000004">
      <c r="A1141" t="s">
        <v>2514</v>
      </c>
      <c r="C1141" t="s">
        <v>901</v>
      </c>
      <c r="D1141" t="s">
        <v>902</v>
      </c>
      <c r="E1141" t="s">
        <v>39</v>
      </c>
      <c r="F1141" t="s">
        <v>30</v>
      </c>
      <c r="G1141" t="s">
        <v>31</v>
      </c>
      <c r="H1141" s="11" t="s">
        <v>991</v>
      </c>
      <c r="I1141" t="s">
        <v>1761</v>
      </c>
      <c r="J1141" t="s">
        <v>1762</v>
      </c>
      <c r="K1141" t="s">
        <v>39</v>
      </c>
      <c r="L1141" t="s">
        <v>30</v>
      </c>
      <c r="M1141" t="s">
        <v>31</v>
      </c>
      <c r="N1141" t="s">
        <v>991</v>
      </c>
      <c r="Q1141" s="4">
        <v>1</v>
      </c>
    </row>
    <row r="1142" spans="1:20" s="16" customFormat="1" ht="18.5" thickBot="1" x14ac:dyDescent="0.6">
      <c r="A1142" s="16" t="s">
        <v>2515</v>
      </c>
      <c r="C1142" s="16" t="s">
        <v>1761</v>
      </c>
      <c r="D1142" s="16" t="s">
        <v>1762</v>
      </c>
      <c r="E1142" s="16" t="s">
        <v>39</v>
      </c>
      <c r="F1142" s="16" t="s">
        <v>30</v>
      </c>
      <c r="G1142" s="16" t="s">
        <v>31</v>
      </c>
      <c r="H1142" s="16" t="s">
        <v>991</v>
      </c>
      <c r="I1142" s="16" t="s">
        <v>3781</v>
      </c>
      <c r="J1142" s="16" t="s">
        <v>3782</v>
      </c>
      <c r="K1142" s="16" t="s">
        <v>39</v>
      </c>
      <c r="L1142" s="16" t="s">
        <v>30</v>
      </c>
      <c r="M1142" s="16" t="s">
        <v>31</v>
      </c>
      <c r="N1142" s="16" t="s">
        <v>991</v>
      </c>
      <c r="Q1142" s="17">
        <f>S1142/T1142</f>
        <v>0.6166666666666667</v>
      </c>
      <c r="S1142" s="16">
        <f>MID(D1142,FIND("x",D1142)+7,4)*1</f>
        <v>3700</v>
      </c>
      <c r="T1142" s="16">
        <v>6000</v>
      </c>
    </row>
    <row r="1143" spans="1:20" x14ac:dyDescent="0.55000000000000004">
      <c r="A1143" t="s">
        <v>2516</v>
      </c>
      <c r="C1143" t="s">
        <v>904</v>
      </c>
      <c r="D1143" t="s">
        <v>905</v>
      </c>
      <c r="E1143" t="s">
        <v>35</v>
      </c>
      <c r="F1143" t="s">
        <v>30</v>
      </c>
      <c r="G1143" t="s">
        <v>31</v>
      </c>
      <c r="H1143" t="s">
        <v>36</v>
      </c>
      <c r="I1143" t="s">
        <v>906</v>
      </c>
      <c r="J1143" t="s">
        <v>907</v>
      </c>
      <c r="K1143" t="s">
        <v>39</v>
      </c>
      <c r="L1143" t="s">
        <v>30</v>
      </c>
      <c r="M1143" t="s">
        <v>31</v>
      </c>
      <c r="N1143" t="s">
        <v>4003</v>
      </c>
      <c r="Q1143" s="4">
        <v>1</v>
      </c>
    </row>
    <row r="1144" spans="1:20" x14ac:dyDescent="0.55000000000000004">
      <c r="A1144" t="s">
        <v>2517</v>
      </c>
      <c r="C1144" t="s">
        <v>906</v>
      </c>
      <c r="D1144" t="s">
        <v>907</v>
      </c>
      <c r="E1144" t="s">
        <v>39</v>
      </c>
      <c r="F1144" t="s">
        <v>30</v>
      </c>
      <c r="G1144" t="s">
        <v>31</v>
      </c>
      <c r="H1144" s="11" t="s">
        <v>991</v>
      </c>
      <c r="I1144" t="s">
        <v>1599</v>
      </c>
      <c r="J1144" t="s">
        <v>1600</v>
      </c>
      <c r="K1144" t="s">
        <v>362</v>
      </c>
      <c r="L1144" t="s">
        <v>30</v>
      </c>
      <c r="M1144" t="s">
        <v>31</v>
      </c>
      <c r="Q1144" s="4">
        <v>1</v>
      </c>
    </row>
    <row r="1145" spans="1:20" x14ac:dyDescent="0.55000000000000004">
      <c r="A1145" t="s">
        <v>2518</v>
      </c>
      <c r="C1145" t="s">
        <v>906</v>
      </c>
      <c r="D1145" t="s">
        <v>907</v>
      </c>
      <c r="E1145" t="s">
        <v>39</v>
      </c>
      <c r="F1145" t="s">
        <v>30</v>
      </c>
      <c r="G1145" t="s">
        <v>31</v>
      </c>
      <c r="H1145" s="11" t="s">
        <v>991</v>
      </c>
      <c r="I1145" t="s">
        <v>1767</v>
      </c>
      <c r="J1145" t="s">
        <v>1768</v>
      </c>
      <c r="K1145" t="s">
        <v>39</v>
      </c>
      <c r="L1145" t="s">
        <v>30</v>
      </c>
      <c r="M1145" t="s">
        <v>31</v>
      </c>
      <c r="N1145" t="s">
        <v>991</v>
      </c>
      <c r="Q1145" s="4">
        <v>1</v>
      </c>
    </row>
    <row r="1146" spans="1:20" s="16" customFormat="1" ht="18.5" thickBot="1" x14ac:dyDescent="0.6">
      <c r="A1146" s="16" t="s">
        <v>2519</v>
      </c>
      <c r="C1146" s="16" t="s">
        <v>1767</v>
      </c>
      <c r="D1146" s="16" t="s">
        <v>1768</v>
      </c>
      <c r="E1146" s="16" t="s">
        <v>39</v>
      </c>
      <c r="F1146" s="16" t="s">
        <v>30</v>
      </c>
      <c r="G1146" s="16" t="s">
        <v>31</v>
      </c>
      <c r="H1146" s="16" t="s">
        <v>991</v>
      </c>
      <c r="I1146" s="16" t="s">
        <v>3781</v>
      </c>
      <c r="J1146" s="16" t="s">
        <v>3782</v>
      </c>
      <c r="K1146" s="16" t="s">
        <v>39</v>
      </c>
      <c r="L1146" s="16" t="s">
        <v>30</v>
      </c>
      <c r="M1146" s="16" t="s">
        <v>31</v>
      </c>
      <c r="N1146" s="16" t="s">
        <v>991</v>
      </c>
      <c r="Q1146" s="17">
        <f>S1146/T1146</f>
        <v>0.6333333333333333</v>
      </c>
      <c r="S1146" s="16">
        <f>MID(D1146,FIND("x",D1146)+7,4)*1</f>
        <v>3800</v>
      </c>
      <c r="T1146" s="16">
        <v>6000</v>
      </c>
    </row>
    <row r="1147" spans="1:20" x14ac:dyDescent="0.55000000000000004">
      <c r="A1147" t="s">
        <v>2520</v>
      </c>
      <c r="C1147" t="s">
        <v>909</v>
      </c>
      <c r="D1147" t="s">
        <v>910</v>
      </c>
      <c r="E1147" t="s">
        <v>35</v>
      </c>
      <c r="F1147" t="s">
        <v>30</v>
      </c>
      <c r="G1147" t="s">
        <v>31</v>
      </c>
      <c r="H1147" t="s">
        <v>36</v>
      </c>
      <c r="I1147" t="s">
        <v>911</v>
      </c>
      <c r="J1147" t="s">
        <v>912</v>
      </c>
      <c r="K1147" t="s">
        <v>39</v>
      </c>
      <c r="L1147" t="s">
        <v>30</v>
      </c>
      <c r="M1147" t="s">
        <v>31</v>
      </c>
      <c r="N1147" t="s">
        <v>4003</v>
      </c>
      <c r="Q1147" s="4">
        <v>1</v>
      </c>
    </row>
    <row r="1148" spans="1:20" x14ac:dyDescent="0.55000000000000004">
      <c r="A1148" t="s">
        <v>2521</v>
      </c>
      <c r="C1148" t="s">
        <v>911</v>
      </c>
      <c r="D1148" t="s">
        <v>912</v>
      </c>
      <c r="E1148" t="s">
        <v>39</v>
      </c>
      <c r="F1148" t="s">
        <v>30</v>
      </c>
      <c r="G1148" t="s">
        <v>31</v>
      </c>
      <c r="H1148" s="11" t="s">
        <v>991</v>
      </c>
      <c r="I1148" t="s">
        <v>1599</v>
      </c>
      <c r="J1148" t="s">
        <v>1600</v>
      </c>
      <c r="K1148" t="s">
        <v>362</v>
      </c>
      <c r="L1148" t="s">
        <v>30</v>
      </c>
      <c r="M1148" t="s">
        <v>31</v>
      </c>
      <c r="Q1148" s="4">
        <v>1</v>
      </c>
    </row>
    <row r="1149" spans="1:20" x14ac:dyDescent="0.55000000000000004">
      <c r="A1149" t="s">
        <v>4624</v>
      </c>
      <c r="C1149" t="s">
        <v>911</v>
      </c>
      <c r="D1149" t="s">
        <v>912</v>
      </c>
      <c r="E1149" t="s">
        <v>39</v>
      </c>
      <c r="F1149" t="s">
        <v>30</v>
      </c>
      <c r="G1149" t="s">
        <v>31</v>
      </c>
      <c r="H1149" s="11" t="s">
        <v>991</v>
      </c>
      <c r="I1149" t="s">
        <v>1773</v>
      </c>
      <c r="J1149" t="s">
        <v>1774</v>
      </c>
      <c r="K1149" t="s">
        <v>39</v>
      </c>
      <c r="L1149" t="s">
        <v>30</v>
      </c>
      <c r="M1149" t="s">
        <v>31</v>
      </c>
      <c r="N1149" t="s">
        <v>991</v>
      </c>
      <c r="Q1149" s="4">
        <v>1</v>
      </c>
    </row>
    <row r="1150" spans="1:20" s="16" customFormat="1" ht="18.5" thickBot="1" x14ac:dyDescent="0.6">
      <c r="A1150" s="16" t="s">
        <v>4625</v>
      </c>
      <c r="C1150" s="16" t="s">
        <v>1773</v>
      </c>
      <c r="D1150" s="16" t="s">
        <v>1774</v>
      </c>
      <c r="E1150" s="16" t="s">
        <v>39</v>
      </c>
      <c r="F1150" s="16" t="s">
        <v>30</v>
      </c>
      <c r="G1150" s="16" t="s">
        <v>31</v>
      </c>
      <c r="H1150" s="16" t="s">
        <v>991</v>
      </c>
      <c r="I1150" s="16" t="s">
        <v>3781</v>
      </c>
      <c r="J1150" s="16" t="s">
        <v>3782</v>
      </c>
      <c r="K1150" s="16" t="s">
        <v>39</v>
      </c>
      <c r="L1150" s="16" t="s">
        <v>30</v>
      </c>
      <c r="M1150" s="16" t="s">
        <v>31</v>
      </c>
      <c r="N1150" s="16" t="s">
        <v>991</v>
      </c>
      <c r="Q1150" s="17">
        <f>S1150/T1150</f>
        <v>0.65</v>
      </c>
      <c r="S1150" s="16">
        <f>MID(D1150,FIND("x",D1150)+7,4)*1</f>
        <v>3900</v>
      </c>
      <c r="T1150" s="16">
        <v>6000</v>
      </c>
    </row>
    <row r="1151" spans="1:20" x14ac:dyDescent="0.55000000000000004">
      <c r="A1151" t="s">
        <v>4626</v>
      </c>
      <c r="C1151" t="s">
        <v>914</v>
      </c>
      <c r="D1151" t="s">
        <v>915</v>
      </c>
      <c r="E1151" t="s">
        <v>35</v>
      </c>
      <c r="F1151" t="s">
        <v>30</v>
      </c>
      <c r="G1151" t="s">
        <v>31</v>
      </c>
      <c r="H1151" t="s">
        <v>36</v>
      </c>
      <c r="I1151" t="s">
        <v>916</v>
      </c>
      <c r="J1151" t="s">
        <v>917</v>
      </c>
      <c r="K1151" t="s">
        <v>39</v>
      </c>
      <c r="L1151" t="s">
        <v>30</v>
      </c>
      <c r="M1151" t="s">
        <v>31</v>
      </c>
      <c r="N1151" t="s">
        <v>4003</v>
      </c>
      <c r="Q1151" s="4">
        <v>1</v>
      </c>
    </row>
    <row r="1152" spans="1:20" x14ac:dyDescent="0.55000000000000004">
      <c r="A1152" t="s">
        <v>4627</v>
      </c>
      <c r="C1152" t="s">
        <v>916</v>
      </c>
      <c r="D1152" t="s">
        <v>917</v>
      </c>
      <c r="E1152" t="s">
        <v>39</v>
      </c>
      <c r="F1152" t="s">
        <v>30</v>
      </c>
      <c r="G1152" t="s">
        <v>31</v>
      </c>
      <c r="H1152" s="11" t="s">
        <v>991</v>
      </c>
      <c r="I1152" t="s">
        <v>1599</v>
      </c>
      <c r="J1152" t="s">
        <v>1600</v>
      </c>
      <c r="K1152" t="s">
        <v>362</v>
      </c>
      <c r="L1152" t="s">
        <v>30</v>
      </c>
      <c r="M1152" t="s">
        <v>31</v>
      </c>
      <c r="Q1152" s="4">
        <v>1</v>
      </c>
    </row>
    <row r="1153" spans="1:20" x14ac:dyDescent="0.55000000000000004">
      <c r="A1153" t="s">
        <v>4628</v>
      </c>
      <c r="C1153" t="s">
        <v>916</v>
      </c>
      <c r="D1153" t="s">
        <v>917</v>
      </c>
      <c r="E1153" t="s">
        <v>39</v>
      </c>
      <c r="F1153" t="s">
        <v>30</v>
      </c>
      <c r="G1153" t="s">
        <v>31</v>
      </c>
      <c r="H1153" s="11" t="s">
        <v>991</v>
      </c>
      <c r="I1153" t="s">
        <v>1779</v>
      </c>
      <c r="J1153" t="s">
        <v>1780</v>
      </c>
      <c r="K1153" t="s">
        <v>39</v>
      </c>
      <c r="L1153" t="s">
        <v>30</v>
      </c>
      <c r="M1153" t="s">
        <v>31</v>
      </c>
      <c r="N1153" t="s">
        <v>991</v>
      </c>
      <c r="Q1153" s="4">
        <v>1</v>
      </c>
    </row>
    <row r="1154" spans="1:20" s="16" customFormat="1" ht="18.5" thickBot="1" x14ac:dyDescent="0.6">
      <c r="A1154" s="16" t="s">
        <v>4629</v>
      </c>
      <c r="C1154" s="16" t="s">
        <v>1779</v>
      </c>
      <c r="D1154" s="16" t="s">
        <v>1780</v>
      </c>
      <c r="E1154" s="16" t="s">
        <v>39</v>
      </c>
      <c r="F1154" s="16" t="s">
        <v>30</v>
      </c>
      <c r="G1154" s="16" t="s">
        <v>31</v>
      </c>
      <c r="H1154" s="16" t="s">
        <v>991</v>
      </c>
      <c r="I1154" s="16" t="s">
        <v>3781</v>
      </c>
      <c r="J1154" s="16" t="s">
        <v>3782</v>
      </c>
      <c r="K1154" s="16" t="s">
        <v>39</v>
      </c>
      <c r="L1154" s="16" t="s">
        <v>30</v>
      </c>
      <c r="M1154" s="16" t="s">
        <v>31</v>
      </c>
      <c r="N1154" s="16" t="s">
        <v>991</v>
      </c>
      <c r="Q1154" s="17">
        <f>S1154/T1154</f>
        <v>0.66666666666666663</v>
      </c>
      <c r="S1154" s="16">
        <f>MID(D1154,FIND("x",D1154)+7,4)*1</f>
        <v>4000</v>
      </c>
      <c r="T1154" s="16">
        <v>6000</v>
      </c>
    </row>
    <row r="1155" spans="1:20" x14ac:dyDescent="0.55000000000000004">
      <c r="A1155" t="s">
        <v>4630</v>
      </c>
      <c r="C1155" t="s">
        <v>919</v>
      </c>
      <c r="D1155" t="s">
        <v>920</v>
      </c>
      <c r="E1155" t="s">
        <v>35</v>
      </c>
      <c r="F1155" t="s">
        <v>30</v>
      </c>
      <c r="G1155" t="s">
        <v>31</v>
      </c>
      <c r="H1155" t="s">
        <v>36</v>
      </c>
      <c r="I1155" t="s">
        <v>921</v>
      </c>
      <c r="J1155" t="s">
        <v>922</v>
      </c>
      <c r="K1155" t="s">
        <v>39</v>
      </c>
      <c r="L1155" t="s">
        <v>30</v>
      </c>
      <c r="M1155" t="s">
        <v>31</v>
      </c>
      <c r="N1155" t="s">
        <v>4003</v>
      </c>
      <c r="Q1155" s="4">
        <v>1</v>
      </c>
    </row>
    <row r="1156" spans="1:20" x14ac:dyDescent="0.55000000000000004">
      <c r="A1156" t="s">
        <v>4631</v>
      </c>
      <c r="C1156" t="s">
        <v>921</v>
      </c>
      <c r="D1156" t="s">
        <v>922</v>
      </c>
      <c r="E1156" t="s">
        <v>39</v>
      </c>
      <c r="F1156" t="s">
        <v>30</v>
      </c>
      <c r="G1156" t="s">
        <v>31</v>
      </c>
      <c r="H1156" s="11" t="s">
        <v>991</v>
      </c>
      <c r="I1156" t="s">
        <v>1599</v>
      </c>
      <c r="J1156" t="s">
        <v>1600</v>
      </c>
      <c r="K1156" t="s">
        <v>362</v>
      </c>
      <c r="L1156" t="s">
        <v>30</v>
      </c>
      <c r="M1156" t="s">
        <v>31</v>
      </c>
      <c r="Q1156" s="4">
        <v>1</v>
      </c>
    </row>
    <row r="1157" spans="1:20" x14ac:dyDescent="0.55000000000000004">
      <c r="A1157" t="s">
        <v>4632</v>
      </c>
      <c r="C1157" t="s">
        <v>921</v>
      </c>
      <c r="D1157" t="s">
        <v>922</v>
      </c>
      <c r="E1157" t="s">
        <v>39</v>
      </c>
      <c r="F1157" t="s">
        <v>30</v>
      </c>
      <c r="G1157" t="s">
        <v>31</v>
      </c>
      <c r="H1157" s="11" t="s">
        <v>991</v>
      </c>
      <c r="I1157" t="s">
        <v>1785</v>
      </c>
      <c r="J1157" t="s">
        <v>1786</v>
      </c>
      <c r="K1157" t="s">
        <v>39</v>
      </c>
      <c r="L1157" t="s">
        <v>30</v>
      </c>
      <c r="M1157" t="s">
        <v>31</v>
      </c>
      <c r="N1157" t="s">
        <v>991</v>
      </c>
      <c r="Q1157" s="4">
        <v>1</v>
      </c>
    </row>
    <row r="1158" spans="1:20" s="16" customFormat="1" ht="18.5" thickBot="1" x14ac:dyDescent="0.6">
      <c r="A1158" s="16" t="s">
        <v>4633</v>
      </c>
      <c r="C1158" s="16" t="s">
        <v>1785</v>
      </c>
      <c r="D1158" s="16" t="s">
        <v>1786</v>
      </c>
      <c r="E1158" s="16" t="s">
        <v>39</v>
      </c>
      <c r="F1158" s="16" t="s">
        <v>30</v>
      </c>
      <c r="G1158" s="16" t="s">
        <v>31</v>
      </c>
      <c r="H1158" s="16" t="s">
        <v>991</v>
      </c>
      <c r="I1158" s="16" t="s">
        <v>3781</v>
      </c>
      <c r="J1158" s="16" t="s">
        <v>3782</v>
      </c>
      <c r="K1158" s="16" t="s">
        <v>39</v>
      </c>
      <c r="L1158" s="16" t="s">
        <v>30</v>
      </c>
      <c r="M1158" s="16" t="s">
        <v>31</v>
      </c>
      <c r="N1158" s="16" t="s">
        <v>991</v>
      </c>
      <c r="Q1158" s="17">
        <f>S1158/T1158</f>
        <v>0.68333333333333335</v>
      </c>
      <c r="S1158" s="16">
        <f>MID(D1158,FIND("x",D1158)+7,4)*1</f>
        <v>4100</v>
      </c>
      <c r="T1158" s="16">
        <v>6000</v>
      </c>
    </row>
    <row r="1159" spans="1:20" x14ac:dyDescent="0.55000000000000004">
      <c r="A1159" t="s">
        <v>4634</v>
      </c>
      <c r="C1159" t="s">
        <v>924</v>
      </c>
      <c r="D1159" t="s">
        <v>925</v>
      </c>
      <c r="E1159" t="s">
        <v>35</v>
      </c>
      <c r="F1159" t="s">
        <v>30</v>
      </c>
      <c r="G1159" t="s">
        <v>31</v>
      </c>
      <c r="H1159" t="s">
        <v>36</v>
      </c>
      <c r="I1159" t="s">
        <v>926</v>
      </c>
      <c r="J1159" t="s">
        <v>927</v>
      </c>
      <c r="K1159" t="s">
        <v>39</v>
      </c>
      <c r="L1159" t="s">
        <v>30</v>
      </c>
      <c r="M1159" t="s">
        <v>31</v>
      </c>
      <c r="N1159" t="s">
        <v>4003</v>
      </c>
      <c r="Q1159" s="4">
        <v>1</v>
      </c>
    </row>
    <row r="1160" spans="1:20" x14ac:dyDescent="0.55000000000000004">
      <c r="A1160" t="s">
        <v>4635</v>
      </c>
      <c r="C1160" t="s">
        <v>926</v>
      </c>
      <c r="D1160" t="s">
        <v>927</v>
      </c>
      <c r="E1160" t="s">
        <v>39</v>
      </c>
      <c r="F1160" t="s">
        <v>30</v>
      </c>
      <c r="G1160" t="s">
        <v>31</v>
      </c>
      <c r="H1160" s="11" t="s">
        <v>991</v>
      </c>
      <c r="I1160" t="s">
        <v>1599</v>
      </c>
      <c r="J1160" t="s">
        <v>1600</v>
      </c>
      <c r="K1160" t="s">
        <v>362</v>
      </c>
      <c r="L1160" t="s">
        <v>30</v>
      </c>
      <c r="M1160" t="s">
        <v>31</v>
      </c>
      <c r="Q1160" s="4">
        <v>1</v>
      </c>
    </row>
    <row r="1161" spans="1:20" x14ac:dyDescent="0.55000000000000004">
      <c r="A1161" t="s">
        <v>4636</v>
      </c>
      <c r="C1161" t="s">
        <v>926</v>
      </c>
      <c r="D1161" t="s">
        <v>927</v>
      </c>
      <c r="E1161" t="s">
        <v>39</v>
      </c>
      <c r="F1161" t="s">
        <v>30</v>
      </c>
      <c r="G1161" t="s">
        <v>31</v>
      </c>
      <c r="H1161" s="11" t="s">
        <v>991</v>
      </c>
      <c r="I1161" t="s">
        <v>1791</v>
      </c>
      <c r="J1161" t="s">
        <v>1792</v>
      </c>
      <c r="K1161" t="s">
        <v>39</v>
      </c>
      <c r="L1161" t="s">
        <v>30</v>
      </c>
      <c r="M1161" t="s">
        <v>31</v>
      </c>
      <c r="N1161" t="s">
        <v>991</v>
      </c>
      <c r="Q1161" s="4">
        <v>1</v>
      </c>
    </row>
    <row r="1162" spans="1:20" s="16" customFormat="1" ht="18.5" thickBot="1" x14ac:dyDescent="0.6">
      <c r="A1162" s="16" t="s">
        <v>2522</v>
      </c>
      <c r="C1162" s="16" t="s">
        <v>1791</v>
      </c>
      <c r="D1162" s="16" t="s">
        <v>1792</v>
      </c>
      <c r="E1162" s="16" t="s">
        <v>39</v>
      </c>
      <c r="F1162" s="16" t="s">
        <v>30</v>
      </c>
      <c r="G1162" s="16" t="s">
        <v>31</v>
      </c>
      <c r="H1162" s="16" t="s">
        <v>991</v>
      </c>
      <c r="I1162" s="16" t="s">
        <v>3781</v>
      </c>
      <c r="J1162" s="16" t="s">
        <v>3782</v>
      </c>
      <c r="K1162" s="16" t="s">
        <v>39</v>
      </c>
      <c r="L1162" s="16" t="s">
        <v>30</v>
      </c>
      <c r="M1162" s="16" t="s">
        <v>31</v>
      </c>
      <c r="N1162" s="16" t="s">
        <v>991</v>
      </c>
      <c r="Q1162" s="17">
        <f>S1162/T1162</f>
        <v>0.7</v>
      </c>
      <c r="S1162" s="16">
        <f>MID(D1162,FIND("x",D1162)+7,4)*1</f>
        <v>4200</v>
      </c>
      <c r="T1162" s="16">
        <v>6000</v>
      </c>
    </row>
    <row r="1163" spans="1:20" x14ac:dyDescent="0.55000000000000004">
      <c r="A1163" t="s">
        <v>2523</v>
      </c>
      <c r="C1163" t="s">
        <v>929</v>
      </c>
      <c r="D1163" t="s">
        <v>930</v>
      </c>
      <c r="E1163" t="s">
        <v>35</v>
      </c>
      <c r="F1163" t="s">
        <v>30</v>
      </c>
      <c r="G1163" t="s">
        <v>31</v>
      </c>
      <c r="H1163" t="s">
        <v>36</v>
      </c>
      <c r="I1163" t="s">
        <v>931</v>
      </c>
      <c r="J1163" t="s">
        <v>932</v>
      </c>
      <c r="K1163" t="s">
        <v>39</v>
      </c>
      <c r="L1163" t="s">
        <v>30</v>
      </c>
      <c r="M1163" t="s">
        <v>31</v>
      </c>
      <c r="N1163" t="s">
        <v>4003</v>
      </c>
      <c r="Q1163" s="4">
        <v>1</v>
      </c>
    </row>
    <row r="1164" spans="1:20" x14ac:dyDescent="0.55000000000000004">
      <c r="A1164" t="s">
        <v>2524</v>
      </c>
      <c r="C1164" t="s">
        <v>931</v>
      </c>
      <c r="D1164" t="s">
        <v>932</v>
      </c>
      <c r="E1164" t="s">
        <v>39</v>
      </c>
      <c r="F1164" t="s">
        <v>30</v>
      </c>
      <c r="G1164" t="s">
        <v>31</v>
      </c>
      <c r="H1164" s="11" t="s">
        <v>991</v>
      </c>
      <c r="I1164" t="s">
        <v>1599</v>
      </c>
      <c r="J1164" t="s">
        <v>1600</v>
      </c>
      <c r="K1164" t="s">
        <v>362</v>
      </c>
      <c r="L1164" t="s">
        <v>30</v>
      </c>
      <c r="M1164" t="s">
        <v>31</v>
      </c>
      <c r="Q1164" s="4">
        <v>1</v>
      </c>
    </row>
    <row r="1165" spans="1:20" x14ac:dyDescent="0.55000000000000004">
      <c r="A1165" t="s">
        <v>2525</v>
      </c>
      <c r="C1165" t="s">
        <v>931</v>
      </c>
      <c r="D1165" t="s">
        <v>932</v>
      </c>
      <c r="E1165" t="s">
        <v>39</v>
      </c>
      <c r="F1165" t="s">
        <v>30</v>
      </c>
      <c r="G1165" t="s">
        <v>31</v>
      </c>
      <c r="H1165" s="11" t="s">
        <v>991</v>
      </c>
      <c r="I1165" t="s">
        <v>1797</v>
      </c>
      <c r="J1165" t="s">
        <v>1798</v>
      </c>
      <c r="K1165" t="s">
        <v>39</v>
      </c>
      <c r="L1165" t="s">
        <v>30</v>
      </c>
      <c r="M1165" t="s">
        <v>31</v>
      </c>
      <c r="N1165" t="s">
        <v>991</v>
      </c>
      <c r="Q1165" s="4">
        <v>1</v>
      </c>
    </row>
    <row r="1166" spans="1:20" s="16" customFormat="1" ht="18.5" thickBot="1" x14ac:dyDescent="0.6">
      <c r="A1166" s="16" t="s">
        <v>2526</v>
      </c>
      <c r="C1166" s="16" t="s">
        <v>1797</v>
      </c>
      <c r="D1166" s="16" t="s">
        <v>1798</v>
      </c>
      <c r="E1166" s="16" t="s">
        <v>39</v>
      </c>
      <c r="F1166" s="16" t="s">
        <v>30</v>
      </c>
      <c r="G1166" s="16" t="s">
        <v>31</v>
      </c>
      <c r="H1166" s="16" t="s">
        <v>991</v>
      </c>
      <c r="I1166" s="16" t="s">
        <v>3781</v>
      </c>
      <c r="J1166" s="16" t="s">
        <v>3782</v>
      </c>
      <c r="K1166" s="16" t="s">
        <v>39</v>
      </c>
      <c r="L1166" s="16" t="s">
        <v>30</v>
      </c>
      <c r="M1166" s="16" t="s">
        <v>31</v>
      </c>
      <c r="N1166" s="16" t="s">
        <v>991</v>
      </c>
      <c r="Q1166" s="17">
        <f>S1166/T1166</f>
        <v>0.71666666666666667</v>
      </c>
      <c r="S1166" s="16">
        <f>MID(D1166,FIND("x",D1166)+7,4)*1</f>
        <v>4300</v>
      </c>
      <c r="T1166" s="16">
        <v>6000</v>
      </c>
    </row>
    <row r="1167" spans="1:20" x14ac:dyDescent="0.55000000000000004">
      <c r="A1167" t="s">
        <v>2527</v>
      </c>
      <c r="C1167" t="s">
        <v>934</v>
      </c>
      <c r="D1167" t="s">
        <v>935</v>
      </c>
      <c r="E1167" t="s">
        <v>35</v>
      </c>
      <c r="F1167" t="s">
        <v>30</v>
      </c>
      <c r="G1167" t="s">
        <v>31</v>
      </c>
      <c r="H1167" t="s">
        <v>36</v>
      </c>
      <c r="I1167" t="s">
        <v>936</v>
      </c>
      <c r="J1167" t="s">
        <v>937</v>
      </c>
      <c r="K1167" t="s">
        <v>39</v>
      </c>
      <c r="L1167" t="s">
        <v>30</v>
      </c>
      <c r="M1167" t="s">
        <v>31</v>
      </c>
      <c r="N1167" t="s">
        <v>4003</v>
      </c>
      <c r="Q1167" s="4">
        <v>1</v>
      </c>
    </row>
    <row r="1168" spans="1:20" x14ac:dyDescent="0.55000000000000004">
      <c r="A1168" t="s">
        <v>2528</v>
      </c>
      <c r="C1168" t="s">
        <v>936</v>
      </c>
      <c r="D1168" t="s">
        <v>937</v>
      </c>
      <c r="E1168" t="s">
        <v>39</v>
      </c>
      <c r="F1168" t="s">
        <v>30</v>
      </c>
      <c r="G1168" t="s">
        <v>31</v>
      </c>
      <c r="H1168" s="11" t="s">
        <v>991</v>
      </c>
      <c r="I1168" t="s">
        <v>1599</v>
      </c>
      <c r="J1168" t="s">
        <v>1600</v>
      </c>
      <c r="K1168" t="s">
        <v>362</v>
      </c>
      <c r="L1168" t="s">
        <v>30</v>
      </c>
      <c r="M1168" t="s">
        <v>31</v>
      </c>
      <c r="Q1168" s="4">
        <v>1</v>
      </c>
    </row>
    <row r="1169" spans="1:20" x14ac:dyDescent="0.55000000000000004">
      <c r="A1169" t="s">
        <v>2529</v>
      </c>
      <c r="C1169" t="s">
        <v>936</v>
      </c>
      <c r="D1169" t="s">
        <v>937</v>
      </c>
      <c r="E1169" t="s">
        <v>39</v>
      </c>
      <c r="F1169" t="s">
        <v>30</v>
      </c>
      <c r="G1169" t="s">
        <v>31</v>
      </c>
      <c r="H1169" s="11" t="s">
        <v>991</v>
      </c>
      <c r="I1169" t="s">
        <v>1803</v>
      </c>
      <c r="J1169" t="s">
        <v>1804</v>
      </c>
      <c r="K1169" t="s">
        <v>39</v>
      </c>
      <c r="L1169" t="s">
        <v>30</v>
      </c>
      <c r="M1169" t="s">
        <v>31</v>
      </c>
      <c r="N1169" t="s">
        <v>991</v>
      </c>
      <c r="Q1169" s="4">
        <v>1</v>
      </c>
    </row>
    <row r="1170" spans="1:20" s="16" customFormat="1" ht="18.5" thickBot="1" x14ac:dyDescent="0.6">
      <c r="A1170" s="16" t="s">
        <v>2530</v>
      </c>
      <c r="C1170" s="16" t="s">
        <v>1803</v>
      </c>
      <c r="D1170" s="16" t="s">
        <v>1804</v>
      </c>
      <c r="E1170" s="16" t="s">
        <v>39</v>
      </c>
      <c r="F1170" s="16" t="s">
        <v>30</v>
      </c>
      <c r="G1170" s="16" t="s">
        <v>31</v>
      </c>
      <c r="H1170" s="16" t="s">
        <v>991</v>
      </c>
      <c r="I1170" s="16" t="s">
        <v>3781</v>
      </c>
      <c r="J1170" s="16" t="s">
        <v>3782</v>
      </c>
      <c r="K1170" s="16" t="s">
        <v>39</v>
      </c>
      <c r="L1170" s="16" t="s">
        <v>30</v>
      </c>
      <c r="M1170" s="16" t="s">
        <v>31</v>
      </c>
      <c r="N1170" s="16" t="s">
        <v>991</v>
      </c>
      <c r="Q1170" s="17">
        <f>S1170/T1170</f>
        <v>0.73333333333333328</v>
      </c>
      <c r="S1170" s="16">
        <f>MID(D1170,FIND("x",D1170)+7,4)*1</f>
        <v>4400</v>
      </c>
      <c r="T1170" s="16">
        <v>6000</v>
      </c>
    </row>
    <row r="1171" spans="1:20" x14ac:dyDescent="0.55000000000000004">
      <c r="A1171" t="s">
        <v>2531</v>
      </c>
      <c r="C1171" t="s">
        <v>939</v>
      </c>
      <c r="D1171" t="s">
        <v>940</v>
      </c>
      <c r="E1171" t="s">
        <v>35</v>
      </c>
      <c r="F1171" t="s">
        <v>30</v>
      </c>
      <c r="G1171" t="s">
        <v>31</v>
      </c>
      <c r="H1171" t="s">
        <v>36</v>
      </c>
      <c r="I1171" t="s">
        <v>941</v>
      </c>
      <c r="J1171" t="s">
        <v>942</v>
      </c>
      <c r="K1171" t="s">
        <v>39</v>
      </c>
      <c r="L1171" t="s">
        <v>30</v>
      </c>
      <c r="M1171" t="s">
        <v>31</v>
      </c>
      <c r="N1171" t="s">
        <v>4003</v>
      </c>
      <c r="Q1171" s="4">
        <v>1</v>
      </c>
    </row>
    <row r="1172" spans="1:20" x14ac:dyDescent="0.55000000000000004">
      <c r="A1172" t="s">
        <v>2532</v>
      </c>
      <c r="C1172" t="s">
        <v>941</v>
      </c>
      <c r="D1172" t="s">
        <v>942</v>
      </c>
      <c r="E1172" t="s">
        <v>39</v>
      </c>
      <c r="F1172" t="s">
        <v>30</v>
      </c>
      <c r="G1172" t="s">
        <v>31</v>
      </c>
      <c r="H1172" s="11" t="s">
        <v>991</v>
      </c>
      <c r="I1172" t="s">
        <v>1599</v>
      </c>
      <c r="J1172" t="s">
        <v>1600</v>
      </c>
      <c r="K1172" t="s">
        <v>362</v>
      </c>
      <c r="L1172" t="s">
        <v>30</v>
      </c>
      <c r="M1172" t="s">
        <v>31</v>
      </c>
      <c r="Q1172" s="4">
        <v>1</v>
      </c>
    </row>
    <row r="1173" spans="1:20" x14ac:dyDescent="0.55000000000000004">
      <c r="A1173" t="s">
        <v>2533</v>
      </c>
      <c r="C1173" t="s">
        <v>941</v>
      </c>
      <c r="D1173" t="s">
        <v>942</v>
      </c>
      <c r="E1173" t="s">
        <v>39</v>
      </c>
      <c r="F1173" t="s">
        <v>30</v>
      </c>
      <c r="G1173" t="s">
        <v>31</v>
      </c>
      <c r="H1173" s="11" t="s">
        <v>991</v>
      </c>
      <c r="I1173" t="s">
        <v>1809</v>
      </c>
      <c r="J1173" t="s">
        <v>1810</v>
      </c>
      <c r="K1173" t="s">
        <v>39</v>
      </c>
      <c r="L1173" t="s">
        <v>30</v>
      </c>
      <c r="M1173" t="s">
        <v>31</v>
      </c>
      <c r="N1173" t="s">
        <v>991</v>
      </c>
      <c r="Q1173" s="4">
        <v>1</v>
      </c>
    </row>
    <row r="1174" spans="1:20" s="16" customFormat="1" ht="18.5" thickBot="1" x14ac:dyDescent="0.6">
      <c r="A1174" s="16" t="s">
        <v>2534</v>
      </c>
      <c r="C1174" s="16" t="s">
        <v>1809</v>
      </c>
      <c r="D1174" s="16" t="s">
        <v>1810</v>
      </c>
      <c r="E1174" s="16" t="s">
        <v>39</v>
      </c>
      <c r="F1174" s="16" t="s">
        <v>30</v>
      </c>
      <c r="G1174" s="16" t="s">
        <v>31</v>
      </c>
      <c r="H1174" s="16" t="s">
        <v>991</v>
      </c>
      <c r="I1174" s="16" t="s">
        <v>3781</v>
      </c>
      <c r="J1174" s="16" t="s">
        <v>3782</v>
      </c>
      <c r="K1174" s="16" t="s">
        <v>39</v>
      </c>
      <c r="L1174" s="16" t="s">
        <v>30</v>
      </c>
      <c r="M1174" s="16" t="s">
        <v>31</v>
      </c>
      <c r="N1174" s="16" t="s">
        <v>991</v>
      </c>
      <c r="Q1174" s="17">
        <f>S1174/T1174</f>
        <v>0.75</v>
      </c>
      <c r="S1174" s="16">
        <f>MID(D1174,FIND("x",D1174)+7,4)*1</f>
        <v>4500</v>
      </c>
      <c r="T1174" s="16">
        <v>6000</v>
      </c>
    </row>
    <row r="1175" spans="1:20" x14ac:dyDescent="0.55000000000000004">
      <c r="A1175" t="s">
        <v>2535</v>
      </c>
      <c r="C1175" t="s">
        <v>944</v>
      </c>
      <c r="D1175" t="s">
        <v>945</v>
      </c>
      <c r="E1175" t="s">
        <v>35</v>
      </c>
      <c r="F1175" t="s">
        <v>30</v>
      </c>
      <c r="G1175" t="s">
        <v>31</v>
      </c>
      <c r="H1175" t="s">
        <v>36</v>
      </c>
      <c r="I1175" t="s">
        <v>946</v>
      </c>
      <c r="J1175" t="s">
        <v>947</v>
      </c>
      <c r="K1175" t="s">
        <v>39</v>
      </c>
      <c r="L1175" t="s">
        <v>30</v>
      </c>
      <c r="M1175" t="s">
        <v>31</v>
      </c>
      <c r="N1175" t="s">
        <v>4003</v>
      </c>
      <c r="Q1175" s="4">
        <v>1</v>
      </c>
    </row>
    <row r="1176" spans="1:20" x14ac:dyDescent="0.55000000000000004">
      <c r="A1176" t="s">
        <v>2536</v>
      </c>
      <c r="C1176" t="s">
        <v>946</v>
      </c>
      <c r="D1176" t="s">
        <v>947</v>
      </c>
      <c r="E1176" t="s">
        <v>39</v>
      </c>
      <c r="F1176" t="s">
        <v>30</v>
      </c>
      <c r="G1176" t="s">
        <v>31</v>
      </c>
      <c r="H1176" s="11" t="s">
        <v>991</v>
      </c>
      <c r="I1176" t="s">
        <v>1599</v>
      </c>
      <c r="J1176" t="s">
        <v>1600</v>
      </c>
      <c r="K1176" t="s">
        <v>362</v>
      </c>
      <c r="L1176" t="s">
        <v>30</v>
      </c>
      <c r="M1176" t="s">
        <v>31</v>
      </c>
      <c r="Q1176" s="4">
        <v>1</v>
      </c>
    </row>
    <row r="1177" spans="1:20" x14ac:dyDescent="0.55000000000000004">
      <c r="A1177" t="s">
        <v>2537</v>
      </c>
      <c r="C1177" t="s">
        <v>946</v>
      </c>
      <c r="D1177" t="s">
        <v>947</v>
      </c>
      <c r="E1177" t="s">
        <v>39</v>
      </c>
      <c r="F1177" t="s">
        <v>30</v>
      </c>
      <c r="G1177" t="s">
        <v>31</v>
      </c>
      <c r="H1177" s="11" t="s">
        <v>991</v>
      </c>
      <c r="I1177" t="s">
        <v>1815</v>
      </c>
      <c r="J1177" t="s">
        <v>1816</v>
      </c>
      <c r="K1177" t="s">
        <v>39</v>
      </c>
      <c r="L1177" t="s">
        <v>30</v>
      </c>
      <c r="M1177" t="s">
        <v>31</v>
      </c>
      <c r="N1177" t="s">
        <v>991</v>
      </c>
      <c r="Q1177" s="4">
        <v>1</v>
      </c>
    </row>
    <row r="1178" spans="1:20" s="16" customFormat="1" ht="18.5" thickBot="1" x14ac:dyDescent="0.6">
      <c r="A1178" s="16" t="s">
        <v>2538</v>
      </c>
      <c r="C1178" s="16" t="s">
        <v>1815</v>
      </c>
      <c r="D1178" s="16" t="s">
        <v>1816</v>
      </c>
      <c r="E1178" s="16" t="s">
        <v>39</v>
      </c>
      <c r="F1178" s="16" t="s">
        <v>30</v>
      </c>
      <c r="G1178" s="16" t="s">
        <v>31</v>
      </c>
      <c r="H1178" s="16" t="s">
        <v>991</v>
      </c>
      <c r="I1178" s="16" t="s">
        <v>3781</v>
      </c>
      <c r="J1178" s="16" t="s">
        <v>3782</v>
      </c>
      <c r="K1178" s="16" t="s">
        <v>39</v>
      </c>
      <c r="L1178" s="16" t="s">
        <v>30</v>
      </c>
      <c r="M1178" s="16" t="s">
        <v>31</v>
      </c>
      <c r="N1178" s="16" t="s">
        <v>991</v>
      </c>
      <c r="Q1178" s="17">
        <f>S1178/T1178</f>
        <v>0.76666666666666672</v>
      </c>
      <c r="S1178" s="16">
        <f>MID(D1178,FIND("x",D1178)+7,4)*1</f>
        <v>4600</v>
      </c>
      <c r="T1178" s="16">
        <v>6000</v>
      </c>
    </row>
    <row r="1179" spans="1:20" x14ac:dyDescent="0.55000000000000004">
      <c r="A1179" t="s">
        <v>2539</v>
      </c>
      <c r="C1179" t="s">
        <v>949</v>
      </c>
      <c r="D1179" t="s">
        <v>950</v>
      </c>
      <c r="E1179" t="s">
        <v>35</v>
      </c>
      <c r="F1179" t="s">
        <v>30</v>
      </c>
      <c r="G1179" t="s">
        <v>31</v>
      </c>
      <c r="H1179" t="s">
        <v>36</v>
      </c>
      <c r="I1179" t="s">
        <v>951</v>
      </c>
      <c r="J1179" t="s">
        <v>952</v>
      </c>
      <c r="K1179" t="s">
        <v>39</v>
      </c>
      <c r="L1179" t="s">
        <v>30</v>
      </c>
      <c r="M1179" t="s">
        <v>31</v>
      </c>
      <c r="N1179" t="s">
        <v>4003</v>
      </c>
      <c r="Q1179" s="4">
        <v>1</v>
      </c>
    </row>
    <row r="1180" spans="1:20" x14ac:dyDescent="0.55000000000000004">
      <c r="A1180" t="s">
        <v>2540</v>
      </c>
      <c r="C1180" t="s">
        <v>951</v>
      </c>
      <c r="D1180" t="s">
        <v>952</v>
      </c>
      <c r="E1180" t="s">
        <v>39</v>
      </c>
      <c r="F1180" t="s">
        <v>30</v>
      </c>
      <c r="G1180" t="s">
        <v>31</v>
      </c>
      <c r="H1180" s="11" t="s">
        <v>991</v>
      </c>
      <c r="I1180" t="s">
        <v>1599</v>
      </c>
      <c r="J1180" t="s">
        <v>1600</v>
      </c>
      <c r="K1180" t="s">
        <v>362</v>
      </c>
      <c r="L1180" t="s">
        <v>30</v>
      </c>
      <c r="M1180" t="s">
        <v>31</v>
      </c>
      <c r="Q1180" s="4">
        <v>1</v>
      </c>
    </row>
    <row r="1181" spans="1:20" x14ac:dyDescent="0.55000000000000004">
      <c r="A1181" t="s">
        <v>2541</v>
      </c>
      <c r="C1181" t="s">
        <v>951</v>
      </c>
      <c r="D1181" t="s">
        <v>952</v>
      </c>
      <c r="E1181" t="s">
        <v>39</v>
      </c>
      <c r="F1181" t="s">
        <v>30</v>
      </c>
      <c r="G1181" t="s">
        <v>31</v>
      </c>
      <c r="H1181" s="11" t="s">
        <v>991</v>
      </c>
      <c r="I1181" t="s">
        <v>1821</v>
      </c>
      <c r="J1181" t="s">
        <v>1822</v>
      </c>
      <c r="K1181" t="s">
        <v>39</v>
      </c>
      <c r="L1181" t="s">
        <v>30</v>
      </c>
      <c r="M1181" t="s">
        <v>31</v>
      </c>
      <c r="N1181" t="s">
        <v>991</v>
      </c>
      <c r="Q1181" s="4">
        <v>1</v>
      </c>
    </row>
    <row r="1182" spans="1:20" s="16" customFormat="1" ht="18.5" thickBot="1" x14ac:dyDescent="0.6">
      <c r="A1182" s="16" t="s">
        <v>2542</v>
      </c>
      <c r="C1182" s="16" t="s">
        <v>1821</v>
      </c>
      <c r="D1182" s="16" t="s">
        <v>1822</v>
      </c>
      <c r="E1182" s="16" t="s">
        <v>39</v>
      </c>
      <c r="F1182" s="16" t="s">
        <v>30</v>
      </c>
      <c r="G1182" s="16" t="s">
        <v>31</v>
      </c>
      <c r="H1182" s="16" t="s">
        <v>991</v>
      </c>
      <c r="I1182" s="16" t="s">
        <v>3781</v>
      </c>
      <c r="J1182" s="16" t="s">
        <v>3782</v>
      </c>
      <c r="K1182" s="16" t="s">
        <v>39</v>
      </c>
      <c r="L1182" s="16" t="s">
        <v>30</v>
      </c>
      <c r="M1182" s="16" t="s">
        <v>31</v>
      </c>
      <c r="N1182" s="16" t="s">
        <v>991</v>
      </c>
      <c r="Q1182" s="17">
        <f>S1182/T1182</f>
        <v>0.78333333333333333</v>
      </c>
      <c r="S1182" s="16">
        <f>MID(D1182,FIND("x",D1182)+7,4)*1</f>
        <v>4700</v>
      </c>
      <c r="T1182" s="16">
        <v>6000</v>
      </c>
    </row>
    <row r="1183" spans="1:20" x14ac:dyDescent="0.55000000000000004">
      <c r="A1183" t="s">
        <v>2543</v>
      </c>
      <c r="C1183" t="s">
        <v>954</v>
      </c>
      <c r="D1183" t="s">
        <v>955</v>
      </c>
      <c r="E1183" t="s">
        <v>35</v>
      </c>
      <c r="F1183" t="s">
        <v>30</v>
      </c>
      <c r="G1183" t="s">
        <v>31</v>
      </c>
      <c r="H1183" t="s">
        <v>36</v>
      </c>
      <c r="I1183" t="s">
        <v>956</v>
      </c>
      <c r="J1183" t="s">
        <v>957</v>
      </c>
      <c r="K1183" t="s">
        <v>39</v>
      </c>
      <c r="L1183" t="s">
        <v>30</v>
      </c>
      <c r="M1183" t="s">
        <v>31</v>
      </c>
      <c r="N1183" t="s">
        <v>4003</v>
      </c>
      <c r="Q1183" s="4">
        <v>1</v>
      </c>
    </row>
    <row r="1184" spans="1:20" x14ac:dyDescent="0.55000000000000004">
      <c r="A1184" t="s">
        <v>2544</v>
      </c>
      <c r="C1184" t="s">
        <v>956</v>
      </c>
      <c r="D1184" t="s">
        <v>957</v>
      </c>
      <c r="E1184" t="s">
        <v>39</v>
      </c>
      <c r="F1184" t="s">
        <v>30</v>
      </c>
      <c r="G1184" t="s">
        <v>31</v>
      </c>
      <c r="H1184" s="11" t="s">
        <v>991</v>
      </c>
      <c r="I1184" t="s">
        <v>1599</v>
      </c>
      <c r="J1184" t="s">
        <v>1600</v>
      </c>
      <c r="K1184" t="s">
        <v>362</v>
      </c>
      <c r="L1184" t="s">
        <v>30</v>
      </c>
      <c r="M1184" t="s">
        <v>31</v>
      </c>
      <c r="Q1184" s="4">
        <v>1</v>
      </c>
    </row>
    <row r="1185" spans="1:20" x14ac:dyDescent="0.55000000000000004">
      <c r="A1185" t="s">
        <v>2545</v>
      </c>
      <c r="C1185" t="s">
        <v>956</v>
      </c>
      <c r="D1185" t="s">
        <v>957</v>
      </c>
      <c r="E1185" t="s">
        <v>39</v>
      </c>
      <c r="F1185" t="s">
        <v>30</v>
      </c>
      <c r="G1185" t="s">
        <v>31</v>
      </c>
      <c r="H1185" s="11" t="s">
        <v>991</v>
      </c>
      <c r="I1185" t="s">
        <v>1827</v>
      </c>
      <c r="J1185" t="s">
        <v>1828</v>
      </c>
      <c r="K1185" t="s">
        <v>39</v>
      </c>
      <c r="L1185" t="s">
        <v>30</v>
      </c>
      <c r="M1185" t="s">
        <v>31</v>
      </c>
      <c r="N1185" t="s">
        <v>991</v>
      </c>
      <c r="Q1185" s="4">
        <v>1</v>
      </c>
    </row>
    <row r="1186" spans="1:20" s="16" customFormat="1" ht="18.5" thickBot="1" x14ac:dyDescent="0.6">
      <c r="A1186" s="16" t="s">
        <v>2546</v>
      </c>
      <c r="C1186" s="16" t="s">
        <v>1827</v>
      </c>
      <c r="D1186" s="16" t="s">
        <v>1828</v>
      </c>
      <c r="E1186" s="16" t="s">
        <v>39</v>
      </c>
      <c r="F1186" s="16" t="s">
        <v>30</v>
      </c>
      <c r="G1186" s="16" t="s">
        <v>31</v>
      </c>
      <c r="H1186" s="16" t="s">
        <v>991</v>
      </c>
      <c r="I1186" s="16" t="s">
        <v>3781</v>
      </c>
      <c r="J1186" s="16" t="s">
        <v>3782</v>
      </c>
      <c r="K1186" s="16" t="s">
        <v>39</v>
      </c>
      <c r="L1186" s="16" t="s">
        <v>30</v>
      </c>
      <c r="M1186" s="16" t="s">
        <v>31</v>
      </c>
      <c r="N1186" s="16" t="s">
        <v>991</v>
      </c>
      <c r="Q1186" s="17">
        <f>S1186/T1186</f>
        <v>0.8</v>
      </c>
      <c r="S1186" s="16">
        <f>MID(D1186,FIND("x",D1186)+7,4)*1</f>
        <v>4800</v>
      </c>
      <c r="T1186" s="16">
        <v>6000</v>
      </c>
    </row>
    <row r="1187" spans="1:20" x14ac:dyDescent="0.55000000000000004">
      <c r="A1187" t="s">
        <v>2547</v>
      </c>
      <c r="C1187" t="s">
        <v>959</v>
      </c>
      <c r="D1187" t="s">
        <v>960</v>
      </c>
      <c r="E1187" t="s">
        <v>35</v>
      </c>
      <c r="F1187" t="s">
        <v>30</v>
      </c>
      <c r="G1187" t="s">
        <v>31</v>
      </c>
      <c r="H1187" t="s">
        <v>36</v>
      </c>
      <c r="I1187" t="s">
        <v>961</v>
      </c>
      <c r="J1187" t="s">
        <v>962</v>
      </c>
      <c r="K1187" t="s">
        <v>39</v>
      </c>
      <c r="L1187" t="s">
        <v>30</v>
      </c>
      <c r="M1187" t="s">
        <v>31</v>
      </c>
      <c r="N1187" t="s">
        <v>4003</v>
      </c>
      <c r="Q1187" s="4">
        <v>1</v>
      </c>
    </row>
    <row r="1188" spans="1:20" x14ac:dyDescent="0.55000000000000004">
      <c r="A1188" t="s">
        <v>2548</v>
      </c>
      <c r="C1188" t="s">
        <v>961</v>
      </c>
      <c r="D1188" t="s">
        <v>962</v>
      </c>
      <c r="E1188" t="s">
        <v>39</v>
      </c>
      <c r="F1188" t="s">
        <v>30</v>
      </c>
      <c r="G1188" t="s">
        <v>31</v>
      </c>
      <c r="H1188" s="11" t="s">
        <v>991</v>
      </c>
      <c r="I1188" t="s">
        <v>1599</v>
      </c>
      <c r="J1188" t="s">
        <v>1600</v>
      </c>
      <c r="K1188" t="s">
        <v>362</v>
      </c>
      <c r="L1188" t="s">
        <v>30</v>
      </c>
      <c r="M1188" t="s">
        <v>31</v>
      </c>
      <c r="Q1188" s="4">
        <v>1</v>
      </c>
    </row>
    <row r="1189" spans="1:20" x14ac:dyDescent="0.55000000000000004">
      <c r="A1189" t="s">
        <v>2549</v>
      </c>
      <c r="C1189" t="s">
        <v>961</v>
      </c>
      <c r="D1189" t="s">
        <v>962</v>
      </c>
      <c r="E1189" t="s">
        <v>39</v>
      </c>
      <c r="F1189" t="s">
        <v>30</v>
      </c>
      <c r="G1189" t="s">
        <v>31</v>
      </c>
      <c r="H1189" s="11" t="s">
        <v>991</v>
      </c>
      <c r="I1189" t="s">
        <v>1833</v>
      </c>
      <c r="J1189" t="s">
        <v>1834</v>
      </c>
      <c r="K1189" t="s">
        <v>39</v>
      </c>
      <c r="L1189" t="s">
        <v>30</v>
      </c>
      <c r="M1189" t="s">
        <v>31</v>
      </c>
      <c r="N1189" t="s">
        <v>991</v>
      </c>
      <c r="Q1189" s="4">
        <v>1</v>
      </c>
    </row>
    <row r="1190" spans="1:20" s="16" customFormat="1" ht="18.5" thickBot="1" x14ac:dyDescent="0.6">
      <c r="A1190" s="16" t="s">
        <v>2550</v>
      </c>
      <c r="C1190" s="16" t="s">
        <v>1833</v>
      </c>
      <c r="D1190" s="16" t="s">
        <v>1834</v>
      </c>
      <c r="E1190" s="16" t="s">
        <v>39</v>
      </c>
      <c r="F1190" s="16" t="s">
        <v>30</v>
      </c>
      <c r="G1190" s="16" t="s">
        <v>31</v>
      </c>
      <c r="H1190" s="16" t="s">
        <v>991</v>
      </c>
      <c r="I1190" s="16" t="s">
        <v>3781</v>
      </c>
      <c r="J1190" s="16" t="s">
        <v>3782</v>
      </c>
      <c r="K1190" s="16" t="s">
        <v>39</v>
      </c>
      <c r="L1190" s="16" t="s">
        <v>30</v>
      </c>
      <c r="M1190" s="16" t="s">
        <v>31</v>
      </c>
      <c r="N1190" s="16" t="s">
        <v>991</v>
      </c>
      <c r="Q1190" s="17">
        <f>S1190/T1190</f>
        <v>0.81666666666666665</v>
      </c>
      <c r="S1190" s="16">
        <f>MID(D1190,FIND("x",D1190)+7,4)*1</f>
        <v>4900</v>
      </c>
      <c r="T1190" s="16">
        <v>6000</v>
      </c>
    </row>
    <row r="1191" spans="1:20" x14ac:dyDescent="0.55000000000000004">
      <c r="A1191" t="s">
        <v>2551</v>
      </c>
      <c r="C1191" t="s">
        <v>964</v>
      </c>
      <c r="D1191" t="s">
        <v>965</v>
      </c>
      <c r="E1191" t="s">
        <v>35</v>
      </c>
      <c r="F1191" t="s">
        <v>30</v>
      </c>
      <c r="G1191" t="s">
        <v>31</v>
      </c>
      <c r="H1191" t="s">
        <v>36</v>
      </c>
      <c r="I1191" t="s">
        <v>966</v>
      </c>
      <c r="J1191" t="s">
        <v>967</v>
      </c>
      <c r="K1191" t="s">
        <v>39</v>
      </c>
      <c r="L1191" t="s">
        <v>30</v>
      </c>
      <c r="M1191" t="s">
        <v>31</v>
      </c>
      <c r="N1191" t="s">
        <v>4003</v>
      </c>
      <c r="Q1191" s="4">
        <v>1</v>
      </c>
    </row>
    <row r="1192" spans="1:20" x14ac:dyDescent="0.55000000000000004">
      <c r="A1192" t="s">
        <v>2552</v>
      </c>
      <c r="C1192" t="s">
        <v>966</v>
      </c>
      <c r="D1192" t="s">
        <v>967</v>
      </c>
      <c r="E1192" t="s">
        <v>39</v>
      </c>
      <c r="F1192" t="s">
        <v>30</v>
      </c>
      <c r="G1192" t="s">
        <v>31</v>
      </c>
      <c r="H1192" s="11" t="s">
        <v>991</v>
      </c>
      <c r="I1192" t="s">
        <v>1599</v>
      </c>
      <c r="J1192" t="s">
        <v>1600</v>
      </c>
      <c r="K1192" t="s">
        <v>362</v>
      </c>
      <c r="L1192" t="s">
        <v>30</v>
      </c>
      <c r="M1192" t="s">
        <v>31</v>
      </c>
      <c r="Q1192" s="4">
        <v>1</v>
      </c>
    </row>
    <row r="1193" spans="1:20" x14ac:dyDescent="0.55000000000000004">
      <c r="A1193" t="s">
        <v>2553</v>
      </c>
      <c r="C1193" t="s">
        <v>966</v>
      </c>
      <c r="D1193" t="s">
        <v>967</v>
      </c>
      <c r="E1193" t="s">
        <v>39</v>
      </c>
      <c r="F1193" t="s">
        <v>30</v>
      </c>
      <c r="G1193" t="s">
        <v>31</v>
      </c>
      <c r="H1193" s="11" t="s">
        <v>991</v>
      </c>
      <c r="I1193" t="s">
        <v>1839</v>
      </c>
      <c r="J1193" t="s">
        <v>1840</v>
      </c>
      <c r="K1193" t="s">
        <v>39</v>
      </c>
      <c r="L1193" t="s">
        <v>30</v>
      </c>
      <c r="M1193" t="s">
        <v>31</v>
      </c>
      <c r="N1193" t="s">
        <v>991</v>
      </c>
      <c r="Q1193" s="4">
        <v>1</v>
      </c>
    </row>
    <row r="1194" spans="1:20" s="16" customFormat="1" ht="18.5" thickBot="1" x14ac:dyDescent="0.6">
      <c r="A1194" s="16" t="s">
        <v>2554</v>
      </c>
      <c r="C1194" s="16" t="s">
        <v>1839</v>
      </c>
      <c r="D1194" s="16" t="s">
        <v>1840</v>
      </c>
      <c r="E1194" s="16" t="s">
        <v>39</v>
      </c>
      <c r="F1194" s="16" t="s">
        <v>30</v>
      </c>
      <c r="G1194" s="16" t="s">
        <v>31</v>
      </c>
      <c r="H1194" s="16" t="s">
        <v>991</v>
      </c>
      <c r="I1194" s="16" t="s">
        <v>3781</v>
      </c>
      <c r="J1194" s="16" t="s">
        <v>3782</v>
      </c>
      <c r="K1194" s="16" t="s">
        <v>39</v>
      </c>
      <c r="L1194" s="16" t="s">
        <v>30</v>
      </c>
      <c r="M1194" s="16" t="s">
        <v>31</v>
      </c>
      <c r="N1194" s="16" t="s">
        <v>991</v>
      </c>
      <c r="Q1194" s="17">
        <f>S1194/T1194</f>
        <v>0.83333333333333337</v>
      </c>
      <c r="S1194" s="16">
        <f>MID(D1194,FIND("x",D1194)+7,4)*1</f>
        <v>5000</v>
      </c>
      <c r="T1194" s="16">
        <v>6000</v>
      </c>
    </row>
    <row r="1195" spans="1:20" x14ac:dyDescent="0.55000000000000004">
      <c r="A1195" t="s">
        <v>2555</v>
      </c>
      <c r="C1195" t="s">
        <v>969</v>
      </c>
      <c r="D1195" t="s">
        <v>970</v>
      </c>
      <c r="E1195" t="s">
        <v>35</v>
      </c>
      <c r="F1195" t="s">
        <v>30</v>
      </c>
      <c r="G1195" t="s">
        <v>31</v>
      </c>
      <c r="H1195" t="s">
        <v>36</v>
      </c>
      <c r="I1195" t="s">
        <v>971</v>
      </c>
      <c r="J1195" t="s">
        <v>972</v>
      </c>
      <c r="K1195" t="s">
        <v>39</v>
      </c>
      <c r="L1195" t="s">
        <v>30</v>
      </c>
      <c r="M1195" t="s">
        <v>31</v>
      </c>
      <c r="N1195" t="s">
        <v>4003</v>
      </c>
      <c r="Q1195" s="4">
        <v>1</v>
      </c>
    </row>
    <row r="1196" spans="1:20" x14ac:dyDescent="0.55000000000000004">
      <c r="A1196" t="s">
        <v>2556</v>
      </c>
      <c r="C1196" t="s">
        <v>971</v>
      </c>
      <c r="D1196" t="s">
        <v>972</v>
      </c>
      <c r="E1196" t="s">
        <v>39</v>
      </c>
      <c r="F1196" t="s">
        <v>30</v>
      </c>
      <c r="G1196" t="s">
        <v>31</v>
      </c>
      <c r="H1196" s="11" t="s">
        <v>991</v>
      </c>
      <c r="I1196" t="s">
        <v>1599</v>
      </c>
      <c r="J1196" t="s">
        <v>1600</v>
      </c>
      <c r="K1196" t="s">
        <v>362</v>
      </c>
      <c r="L1196" t="s">
        <v>30</v>
      </c>
      <c r="M1196" t="s">
        <v>31</v>
      </c>
      <c r="Q1196" s="4">
        <v>1</v>
      </c>
    </row>
    <row r="1197" spans="1:20" x14ac:dyDescent="0.55000000000000004">
      <c r="A1197" t="s">
        <v>2557</v>
      </c>
      <c r="C1197" t="s">
        <v>971</v>
      </c>
      <c r="D1197" t="s">
        <v>972</v>
      </c>
      <c r="E1197" t="s">
        <v>39</v>
      </c>
      <c r="F1197" t="s">
        <v>30</v>
      </c>
      <c r="G1197" t="s">
        <v>31</v>
      </c>
      <c r="H1197" s="11" t="s">
        <v>991</v>
      </c>
      <c r="I1197" t="s">
        <v>1845</v>
      </c>
      <c r="J1197" t="s">
        <v>1846</v>
      </c>
      <c r="K1197" t="s">
        <v>39</v>
      </c>
      <c r="L1197" t="s">
        <v>30</v>
      </c>
      <c r="M1197" t="s">
        <v>31</v>
      </c>
      <c r="N1197" t="s">
        <v>991</v>
      </c>
      <c r="Q1197" s="4">
        <v>1</v>
      </c>
    </row>
    <row r="1198" spans="1:20" s="16" customFormat="1" ht="18.5" thickBot="1" x14ac:dyDescent="0.6">
      <c r="A1198" s="16" t="s">
        <v>2558</v>
      </c>
      <c r="C1198" s="16" t="s">
        <v>1845</v>
      </c>
      <c r="D1198" s="16" t="s">
        <v>1846</v>
      </c>
      <c r="E1198" s="16" t="s">
        <v>39</v>
      </c>
      <c r="F1198" s="16" t="s">
        <v>30</v>
      </c>
      <c r="G1198" s="16" t="s">
        <v>31</v>
      </c>
      <c r="H1198" s="16" t="s">
        <v>991</v>
      </c>
      <c r="I1198" s="16" t="s">
        <v>3781</v>
      </c>
      <c r="J1198" s="16" t="s">
        <v>3782</v>
      </c>
      <c r="K1198" s="16" t="s">
        <v>39</v>
      </c>
      <c r="L1198" s="16" t="s">
        <v>30</v>
      </c>
      <c r="M1198" s="16" t="s">
        <v>31</v>
      </c>
      <c r="N1198" s="16" t="s">
        <v>991</v>
      </c>
      <c r="Q1198" s="17">
        <f>S1198/T1198</f>
        <v>0.85</v>
      </c>
      <c r="S1198" s="16">
        <f>MID(D1198,FIND("x",D1198)+7,4)*1</f>
        <v>5100</v>
      </c>
      <c r="T1198" s="16">
        <v>6000</v>
      </c>
    </row>
    <row r="1199" spans="1:20" x14ac:dyDescent="0.55000000000000004">
      <c r="A1199" t="s">
        <v>2559</v>
      </c>
      <c r="C1199" t="s">
        <v>974</v>
      </c>
      <c r="D1199" t="s">
        <v>975</v>
      </c>
      <c r="E1199" t="s">
        <v>35</v>
      </c>
      <c r="F1199" t="s">
        <v>30</v>
      </c>
      <c r="G1199" t="s">
        <v>31</v>
      </c>
      <c r="H1199" t="s">
        <v>36</v>
      </c>
      <c r="I1199" t="s">
        <v>976</v>
      </c>
      <c r="J1199" t="s">
        <v>977</v>
      </c>
      <c r="K1199" t="s">
        <v>39</v>
      </c>
      <c r="L1199" t="s">
        <v>30</v>
      </c>
      <c r="M1199" t="s">
        <v>31</v>
      </c>
      <c r="N1199" t="s">
        <v>4003</v>
      </c>
      <c r="Q1199" s="4">
        <v>1</v>
      </c>
    </row>
    <row r="1200" spans="1:20" x14ac:dyDescent="0.55000000000000004">
      <c r="A1200" t="s">
        <v>2560</v>
      </c>
      <c r="C1200" t="s">
        <v>976</v>
      </c>
      <c r="D1200" t="s">
        <v>977</v>
      </c>
      <c r="E1200" t="s">
        <v>39</v>
      </c>
      <c r="F1200" t="s">
        <v>30</v>
      </c>
      <c r="G1200" t="s">
        <v>31</v>
      </c>
      <c r="H1200" s="11" t="s">
        <v>991</v>
      </c>
      <c r="I1200" t="s">
        <v>1599</v>
      </c>
      <c r="J1200" t="s">
        <v>1600</v>
      </c>
      <c r="K1200" t="s">
        <v>362</v>
      </c>
      <c r="L1200" t="s">
        <v>30</v>
      </c>
      <c r="M1200" t="s">
        <v>31</v>
      </c>
      <c r="Q1200" s="4">
        <v>1</v>
      </c>
    </row>
    <row r="1201" spans="1:20" x14ac:dyDescent="0.55000000000000004">
      <c r="A1201" t="s">
        <v>2561</v>
      </c>
      <c r="C1201" t="s">
        <v>976</v>
      </c>
      <c r="D1201" t="s">
        <v>977</v>
      </c>
      <c r="E1201" t="s">
        <v>39</v>
      </c>
      <c r="F1201" t="s">
        <v>30</v>
      </c>
      <c r="G1201" t="s">
        <v>31</v>
      </c>
      <c r="H1201" s="11" t="s">
        <v>991</v>
      </c>
      <c r="I1201" t="s">
        <v>1851</v>
      </c>
      <c r="J1201" t="s">
        <v>1852</v>
      </c>
      <c r="K1201" t="s">
        <v>39</v>
      </c>
      <c r="L1201" t="s">
        <v>30</v>
      </c>
      <c r="M1201" t="s">
        <v>31</v>
      </c>
      <c r="N1201" t="s">
        <v>991</v>
      </c>
      <c r="Q1201" s="4">
        <v>1</v>
      </c>
    </row>
    <row r="1202" spans="1:20" s="16" customFormat="1" ht="18.5" thickBot="1" x14ac:dyDescent="0.6">
      <c r="A1202" s="16" t="s">
        <v>2562</v>
      </c>
      <c r="C1202" s="16" t="s">
        <v>1851</v>
      </c>
      <c r="D1202" s="16" t="s">
        <v>1852</v>
      </c>
      <c r="E1202" s="16" t="s">
        <v>39</v>
      </c>
      <c r="F1202" s="16" t="s">
        <v>30</v>
      </c>
      <c r="G1202" s="16" t="s">
        <v>31</v>
      </c>
      <c r="H1202" s="16" t="s">
        <v>991</v>
      </c>
      <c r="I1202" s="16" t="s">
        <v>3781</v>
      </c>
      <c r="J1202" s="16" t="s">
        <v>3782</v>
      </c>
      <c r="K1202" s="16" t="s">
        <v>39</v>
      </c>
      <c r="L1202" s="16" t="s">
        <v>30</v>
      </c>
      <c r="M1202" s="16" t="s">
        <v>31</v>
      </c>
      <c r="N1202" s="16" t="s">
        <v>991</v>
      </c>
      <c r="Q1202" s="17">
        <f>S1202/T1202</f>
        <v>0.8666666666666667</v>
      </c>
      <c r="S1202" s="16">
        <f>MID(D1202,FIND("x",D1202)+7,4)*1</f>
        <v>5200</v>
      </c>
      <c r="T1202" s="16">
        <v>6000</v>
      </c>
    </row>
    <row r="1203" spans="1:20" x14ac:dyDescent="0.55000000000000004">
      <c r="A1203" t="s">
        <v>2563</v>
      </c>
      <c r="C1203" t="s">
        <v>979</v>
      </c>
      <c r="D1203" t="s">
        <v>980</v>
      </c>
      <c r="E1203" t="s">
        <v>35</v>
      </c>
      <c r="F1203" t="s">
        <v>30</v>
      </c>
      <c r="G1203" t="s">
        <v>31</v>
      </c>
      <c r="H1203" t="s">
        <v>36</v>
      </c>
      <c r="I1203" t="s">
        <v>981</v>
      </c>
      <c r="J1203" t="s">
        <v>982</v>
      </c>
      <c r="K1203" t="s">
        <v>39</v>
      </c>
      <c r="L1203" t="s">
        <v>30</v>
      </c>
      <c r="M1203" t="s">
        <v>31</v>
      </c>
      <c r="N1203" t="s">
        <v>4003</v>
      </c>
      <c r="Q1203" s="4">
        <v>1</v>
      </c>
    </row>
    <row r="1204" spans="1:20" x14ac:dyDescent="0.55000000000000004">
      <c r="A1204" t="s">
        <v>2564</v>
      </c>
      <c r="C1204" t="s">
        <v>981</v>
      </c>
      <c r="D1204" t="s">
        <v>982</v>
      </c>
      <c r="E1204" t="s">
        <v>39</v>
      </c>
      <c r="F1204" t="s">
        <v>30</v>
      </c>
      <c r="G1204" t="s">
        <v>31</v>
      </c>
      <c r="H1204" s="11" t="s">
        <v>991</v>
      </c>
      <c r="I1204" t="s">
        <v>1599</v>
      </c>
      <c r="J1204" t="s">
        <v>1600</v>
      </c>
      <c r="K1204" t="s">
        <v>362</v>
      </c>
      <c r="L1204" t="s">
        <v>30</v>
      </c>
      <c r="M1204" t="s">
        <v>31</v>
      </c>
      <c r="Q1204" s="4">
        <v>1</v>
      </c>
    </row>
    <row r="1205" spans="1:20" x14ac:dyDescent="0.55000000000000004">
      <c r="A1205" t="s">
        <v>2565</v>
      </c>
      <c r="C1205" t="s">
        <v>981</v>
      </c>
      <c r="D1205" t="s">
        <v>982</v>
      </c>
      <c r="E1205" t="s">
        <v>39</v>
      </c>
      <c r="F1205" t="s">
        <v>30</v>
      </c>
      <c r="G1205" t="s">
        <v>31</v>
      </c>
      <c r="H1205" s="11" t="s">
        <v>991</v>
      </c>
      <c r="I1205" t="s">
        <v>1857</v>
      </c>
      <c r="J1205" t="s">
        <v>1858</v>
      </c>
      <c r="K1205" t="s">
        <v>39</v>
      </c>
      <c r="L1205" t="s">
        <v>30</v>
      </c>
      <c r="M1205" t="s">
        <v>31</v>
      </c>
      <c r="N1205" t="s">
        <v>991</v>
      </c>
      <c r="Q1205" s="4">
        <v>1</v>
      </c>
    </row>
    <row r="1206" spans="1:20" s="16" customFormat="1" ht="18.5" thickBot="1" x14ac:dyDescent="0.6">
      <c r="A1206" s="16" t="s">
        <v>2566</v>
      </c>
      <c r="C1206" s="16" t="s">
        <v>1857</v>
      </c>
      <c r="D1206" s="16" t="s">
        <v>1858</v>
      </c>
      <c r="E1206" s="16" t="s">
        <v>39</v>
      </c>
      <c r="F1206" s="16" t="s">
        <v>30</v>
      </c>
      <c r="G1206" s="16" t="s">
        <v>31</v>
      </c>
      <c r="H1206" s="16" t="s">
        <v>991</v>
      </c>
      <c r="I1206" s="16" t="s">
        <v>3781</v>
      </c>
      <c r="J1206" s="16" t="s">
        <v>3782</v>
      </c>
      <c r="K1206" s="16" t="s">
        <v>39</v>
      </c>
      <c r="L1206" s="16" t="s">
        <v>30</v>
      </c>
      <c r="M1206" s="16" t="s">
        <v>31</v>
      </c>
      <c r="N1206" s="16" t="s">
        <v>991</v>
      </c>
      <c r="Q1206" s="17">
        <f>S1206/T1206</f>
        <v>0.8833333333333333</v>
      </c>
      <c r="S1206" s="16">
        <f>MID(D1206,FIND("x",D1206)+7,4)*1</f>
        <v>5300</v>
      </c>
      <c r="T1206" s="16">
        <v>6000</v>
      </c>
    </row>
    <row r="1207" spans="1:20" x14ac:dyDescent="0.55000000000000004">
      <c r="A1207" t="s">
        <v>2567</v>
      </c>
      <c r="C1207" t="s">
        <v>2912</v>
      </c>
      <c r="D1207" t="s">
        <v>2913</v>
      </c>
      <c r="E1207" t="s">
        <v>39</v>
      </c>
      <c r="F1207" t="s">
        <v>30</v>
      </c>
      <c r="G1207" t="s">
        <v>31</v>
      </c>
      <c r="H1207" t="s">
        <v>40</v>
      </c>
      <c r="I1207" t="s">
        <v>37</v>
      </c>
      <c r="J1207" t="s">
        <v>38</v>
      </c>
      <c r="K1207" t="s">
        <v>39</v>
      </c>
      <c r="L1207" t="s">
        <v>30</v>
      </c>
      <c r="M1207" t="s">
        <v>31</v>
      </c>
      <c r="N1207" t="s">
        <v>991</v>
      </c>
      <c r="Q1207" s="4">
        <v>1</v>
      </c>
    </row>
    <row r="1208" spans="1:20" x14ac:dyDescent="0.55000000000000004">
      <c r="A1208" t="s">
        <v>2568</v>
      </c>
      <c r="C1208" t="s">
        <v>2914</v>
      </c>
      <c r="D1208" t="s">
        <v>2915</v>
      </c>
      <c r="E1208" t="s">
        <v>39</v>
      </c>
      <c r="F1208" t="s">
        <v>30</v>
      </c>
      <c r="G1208" t="s">
        <v>31</v>
      </c>
      <c r="H1208" t="s">
        <v>40</v>
      </c>
      <c r="I1208" t="s">
        <v>44</v>
      </c>
      <c r="J1208" t="s">
        <v>45</v>
      </c>
      <c r="K1208" t="s">
        <v>39</v>
      </c>
      <c r="L1208" t="s">
        <v>30</v>
      </c>
      <c r="M1208" t="s">
        <v>31</v>
      </c>
      <c r="N1208" t="s">
        <v>991</v>
      </c>
      <c r="Q1208" s="4">
        <v>1</v>
      </c>
    </row>
    <row r="1209" spans="1:20" x14ac:dyDescent="0.55000000000000004">
      <c r="A1209" t="s">
        <v>2569</v>
      </c>
      <c r="C1209" t="s">
        <v>2916</v>
      </c>
      <c r="D1209" t="s">
        <v>2917</v>
      </c>
      <c r="E1209" t="s">
        <v>39</v>
      </c>
      <c r="F1209" t="s">
        <v>30</v>
      </c>
      <c r="G1209" t="s">
        <v>31</v>
      </c>
      <c r="H1209" t="s">
        <v>40</v>
      </c>
      <c r="I1209" t="s">
        <v>49</v>
      </c>
      <c r="J1209" t="s">
        <v>50</v>
      </c>
      <c r="K1209" t="s">
        <v>39</v>
      </c>
      <c r="L1209" t="s">
        <v>30</v>
      </c>
      <c r="M1209" t="s">
        <v>31</v>
      </c>
      <c r="N1209" t="s">
        <v>991</v>
      </c>
      <c r="Q1209" s="4">
        <v>1</v>
      </c>
    </row>
    <row r="1210" spans="1:20" x14ac:dyDescent="0.55000000000000004">
      <c r="A1210" t="s">
        <v>2570</v>
      </c>
      <c r="C1210" t="s">
        <v>2918</v>
      </c>
      <c r="D1210" t="s">
        <v>2919</v>
      </c>
      <c r="E1210" t="s">
        <v>39</v>
      </c>
      <c r="F1210" t="s">
        <v>30</v>
      </c>
      <c r="G1210" t="s">
        <v>31</v>
      </c>
      <c r="H1210" t="s">
        <v>40</v>
      </c>
      <c r="I1210" t="s">
        <v>54</v>
      </c>
      <c r="J1210" t="s">
        <v>55</v>
      </c>
      <c r="K1210" t="s">
        <v>39</v>
      </c>
      <c r="L1210" t="s">
        <v>30</v>
      </c>
      <c r="M1210" t="s">
        <v>31</v>
      </c>
      <c r="N1210" t="s">
        <v>991</v>
      </c>
      <c r="Q1210" s="4">
        <v>1</v>
      </c>
    </row>
    <row r="1211" spans="1:20" x14ac:dyDescent="0.55000000000000004">
      <c r="A1211" t="s">
        <v>2571</v>
      </c>
      <c r="C1211" t="s">
        <v>2920</v>
      </c>
      <c r="D1211" t="s">
        <v>2921</v>
      </c>
      <c r="E1211" t="s">
        <v>39</v>
      </c>
      <c r="F1211" t="s">
        <v>30</v>
      </c>
      <c r="G1211" t="s">
        <v>31</v>
      </c>
      <c r="H1211" t="s">
        <v>40</v>
      </c>
      <c r="I1211" t="s">
        <v>59</v>
      </c>
      <c r="J1211" t="s">
        <v>60</v>
      </c>
      <c r="K1211" t="s">
        <v>39</v>
      </c>
      <c r="L1211" t="s">
        <v>30</v>
      </c>
      <c r="M1211" t="s">
        <v>31</v>
      </c>
      <c r="N1211" t="s">
        <v>991</v>
      </c>
      <c r="Q1211" s="4">
        <v>1</v>
      </c>
    </row>
    <row r="1212" spans="1:20" x14ac:dyDescent="0.55000000000000004">
      <c r="A1212" t="s">
        <v>2572</v>
      </c>
      <c r="C1212" t="s">
        <v>2922</v>
      </c>
      <c r="D1212" t="s">
        <v>2923</v>
      </c>
      <c r="E1212" t="s">
        <v>39</v>
      </c>
      <c r="F1212" t="s">
        <v>30</v>
      </c>
      <c r="G1212" t="s">
        <v>31</v>
      </c>
      <c r="H1212" t="s">
        <v>40</v>
      </c>
      <c r="I1212" t="s">
        <v>64</v>
      </c>
      <c r="J1212" t="s">
        <v>65</v>
      </c>
      <c r="K1212" t="s">
        <v>39</v>
      </c>
      <c r="L1212" t="s">
        <v>30</v>
      </c>
      <c r="M1212" t="s">
        <v>31</v>
      </c>
      <c r="N1212" t="s">
        <v>991</v>
      </c>
      <c r="Q1212" s="4">
        <v>1</v>
      </c>
    </row>
    <row r="1213" spans="1:20" x14ac:dyDescent="0.55000000000000004">
      <c r="A1213" t="s">
        <v>2573</v>
      </c>
      <c r="C1213" t="s">
        <v>2924</v>
      </c>
      <c r="D1213" t="s">
        <v>2925</v>
      </c>
      <c r="E1213" t="s">
        <v>39</v>
      </c>
      <c r="F1213" t="s">
        <v>30</v>
      </c>
      <c r="G1213" t="s">
        <v>31</v>
      </c>
      <c r="H1213" t="s">
        <v>40</v>
      </c>
      <c r="I1213" t="s">
        <v>69</v>
      </c>
      <c r="J1213" t="s">
        <v>70</v>
      </c>
      <c r="K1213" t="s">
        <v>39</v>
      </c>
      <c r="L1213" t="s">
        <v>30</v>
      </c>
      <c r="M1213" t="s">
        <v>31</v>
      </c>
      <c r="N1213" t="s">
        <v>991</v>
      </c>
      <c r="Q1213" s="4">
        <v>1</v>
      </c>
    </row>
    <row r="1214" spans="1:20" x14ac:dyDescent="0.55000000000000004">
      <c r="A1214" t="s">
        <v>2574</v>
      </c>
      <c r="C1214" t="s">
        <v>2926</v>
      </c>
      <c r="D1214" t="s">
        <v>2927</v>
      </c>
      <c r="E1214" t="s">
        <v>39</v>
      </c>
      <c r="F1214" t="s">
        <v>30</v>
      </c>
      <c r="G1214" t="s">
        <v>31</v>
      </c>
      <c r="H1214" t="s">
        <v>40</v>
      </c>
      <c r="I1214" t="s">
        <v>74</v>
      </c>
      <c r="J1214" t="s">
        <v>75</v>
      </c>
      <c r="K1214" t="s">
        <v>39</v>
      </c>
      <c r="L1214" t="s">
        <v>30</v>
      </c>
      <c r="M1214" t="s">
        <v>31</v>
      </c>
      <c r="N1214" t="s">
        <v>991</v>
      </c>
      <c r="Q1214" s="4">
        <v>1</v>
      </c>
    </row>
    <row r="1215" spans="1:20" x14ac:dyDescent="0.55000000000000004">
      <c r="A1215" t="s">
        <v>2575</v>
      </c>
      <c r="C1215" t="s">
        <v>2928</v>
      </c>
      <c r="D1215" t="s">
        <v>2929</v>
      </c>
      <c r="E1215" t="s">
        <v>39</v>
      </c>
      <c r="F1215" t="s">
        <v>30</v>
      </c>
      <c r="G1215" t="s">
        <v>31</v>
      </c>
      <c r="H1215" t="s">
        <v>40</v>
      </c>
      <c r="I1215" t="s">
        <v>79</v>
      </c>
      <c r="J1215" t="s">
        <v>80</v>
      </c>
      <c r="K1215" t="s">
        <v>39</v>
      </c>
      <c r="L1215" t="s">
        <v>30</v>
      </c>
      <c r="M1215" t="s">
        <v>31</v>
      </c>
      <c r="N1215" t="s">
        <v>991</v>
      </c>
      <c r="Q1215" s="4">
        <v>1</v>
      </c>
    </row>
    <row r="1216" spans="1:20" x14ac:dyDescent="0.55000000000000004">
      <c r="A1216" t="s">
        <v>2576</v>
      </c>
      <c r="C1216" t="s">
        <v>2930</v>
      </c>
      <c r="D1216" t="s">
        <v>2931</v>
      </c>
      <c r="E1216" t="s">
        <v>39</v>
      </c>
      <c r="F1216" t="s">
        <v>30</v>
      </c>
      <c r="G1216" t="s">
        <v>31</v>
      </c>
      <c r="H1216" t="s">
        <v>40</v>
      </c>
      <c r="I1216" t="s">
        <v>84</v>
      </c>
      <c r="J1216" t="s">
        <v>85</v>
      </c>
      <c r="K1216" t="s">
        <v>39</v>
      </c>
      <c r="L1216" t="s">
        <v>30</v>
      </c>
      <c r="M1216" t="s">
        <v>31</v>
      </c>
      <c r="N1216" t="s">
        <v>991</v>
      </c>
      <c r="Q1216" s="4">
        <v>1</v>
      </c>
    </row>
    <row r="1217" spans="1:17" x14ac:dyDescent="0.55000000000000004">
      <c r="A1217" t="s">
        <v>2577</v>
      </c>
      <c r="C1217" t="s">
        <v>2932</v>
      </c>
      <c r="D1217" t="s">
        <v>2933</v>
      </c>
      <c r="E1217" t="s">
        <v>39</v>
      </c>
      <c r="F1217" t="s">
        <v>30</v>
      </c>
      <c r="G1217" t="s">
        <v>31</v>
      </c>
      <c r="H1217" t="s">
        <v>40</v>
      </c>
      <c r="I1217" t="s">
        <v>89</v>
      </c>
      <c r="J1217" t="s">
        <v>90</v>
      </c>
      <c r="K1217" t="s">
        <v>39</v>
      </c>
      <c r="L1217" t="s">
        <v>30</v>
      </c>
      <c r="M1217" t="s">
        <v>31</v>
      </c>
      <c r="N1217" t="s">
        <v>991</v>
      </c>
      <c r="Q1217" s="4">
        <v>1</v>
      </c>
    </row>
    <row r="1218" spans="1:17" x14ac:dyDescent="0.55000000000000004">
      <c r="A1218" t="s">
        <v>2578</v>
      </c>
      <c r="C1218" t="s">
        <v>3635</v>
      </c>
      <c r="D1218" t="s">
        <v>3636</v>
      </c>
      <c r="E1218" t="s">
        <v>39</v>
      </c>
      <c r="F1218" t="s">
        <v>30</v>
      </c>
      <c r="G1218" t="s">
        <v>31</v>
      </c>
      <c r="H1218" t="s">
        <v>40</v>
      </c>
      <c r="I1218" t="s">
        <v>3397</v>
      </c>
      <c r="J1218" t="s">
        <v>3398</v>
      </c>
      <c r="K1218" t="s">
        <v>39</v>
      </c>
      <c r="L1218" t="s">
        <v>30</v>
      </c>
      <c r="M1218" t="s">
        <v>31</v>
      </c>
      <c r="N1218" t="s">
        <v>991</v>
      </c>
      <c r="Q1218" s="4">
        <v>1</v>
      </c>
    </row>
    <row r="1219" spans="1:17" x14ac:dyDescent="0.55000000000000004">
      <c r="A1219" t="s">
        <v>2579</v>
      </c>
      <c r="C1219" t="s">
        <v>3637</v>
      </c>
      <c r="D1219" t="s">
        <v>3638</v>
      </c>
      <c r="E1219" t="s">
        <v>39</v>
      </c>
      <c r="F1219" t="s">
        <v>30</v>
      </c>
      <c r="G1219" t="s">
        <v>31</v>
      </c>
      <c r="H1219" t="s">
        <v>40</v>
      </c>
      <c r="I1219" t="s">
        <v>3401</v>
      </c>
      <c r="J1219" t="s">
        <v>3402</v>
      </c>
      <c r="K1219" t="s">
        <v>39</v>
      </c>
      <c r="L1219" t="s">
        <v>30</v>
      </c>
      <c r="M1219" t="s">
        <v>31</v>
      </c>
      <c r="N1219" t="s">
        <v>991</v>
      </c>
      <c r="Q1219" s="4">
        <v>1</v>
      </c>
    </row>
    <row r="1220" spans="1:17" x14ac:dyDescent="0.55000000000000004">
      <c r="A1220" t="s">
        <v>2580</v>
      </c>
      <c r="C1220" t="s">
        <v>3639</v>
      </c>
      <c r="D1220" t="s">
        <v>3640</v>
      </c>
      <c r="E1220" t="s">
        <v>39</v>
      </c>
      <c r="F1220" t="s">
        <v>30</v>
      </c>
      <c r="G1220" t="s">
        <v>31</v>
      </c>
      <c r="H1220" t="s">
        <v>40</v>
      </c>
      <c r="I1220" t="s">
        <v>3405</v>
      </c>
      <c r="J1220" t="s">
        <v>3406</v>
      </c>
      <c r="K1220" t="s">
        <v>39</v>
      </c>
      <c r="L1220" t="s">
        <v>30</v>
      </c>
      <c r="M1220" t="s">
        <v>31</v>
      </c>
      <c r="N1220" t="s">
        <v>991</v>
      </c>
      <c r="Q1220" s="4">
        <v>1</v>
      </c>
    </row>
    <row r="1221" spans="1:17" x14ac:dyDescent="0.55000000000000004">
      <c r="A1221" t="s">
        <v>2581</v>
      </c>
      <c r="C1221" t="s">
        <v>3641</v>
      </c>
      <c r="D1221" t="s">
        <v>3642</v>
      </c>
      <c r="E1221" t="s">
        <v>39</v>
      </c>
      <c r="F1221" t="s">
        <v>30</v>
      </c>
      <c r="G1221" t="s">
        <v>31</v>
      </c>
      <c r="H1221" t="s">
        <v>40</v>
      </c>
      <c r="I1221" t="s">
        <v>3409</v>
      </c>
      <c r="J1221" t="s">
        <v>3410</v>
      </c>
      <c r="K1221" t="s">
        <v>39</v>
      </c>
      <c r="L1221" t="s">
        <v>30</v>
      </c>
      <c r="M1221" t="s">
        <v>31</v>
      </c>
      <c r="N1221" t="s">
        <v>991</v>
      </c>
      <c r="Q1221" s="4">
        <v>1</v>
      </c>
    </row>
    <row r="1222" spans="1:17" x14ac:dyDescent="0.55000000000000004">
      <c r="A1222" t="s">
        <v>2582</v>
      </c>
      <c r="C1222" t="s">
        <v>3643</v>
      </c>
      <c r="D1222" t="s">
        <v>3644</v>
      </c>
      <c r="E1222" t="s">
        <v>39</v>
      </c>
      <c r="F1222" t="s">
        <v>30</v>
      </c>
      <c r="G1222" t="s">
        <v>31</v>
      </c>
      <c r="H1222" t="s">
        <v>40</v>
      </c>
      <c r="I1222" t="s">
        <v>3413</v>
      </c>
      <c r="J1222" t="s">
        <v>3414</v>
      </c>
      <c r="K1222" t="s">
        <v>39</v>
      </c>
      <c r="L1222" t="s">
        <v>30</v>
      </c>
      <c r="M1222" t="s">
        <v>31</v>
      </c>
      <c r="N1222" t="s">
        <v>991</v>
      </c>
      <c r="Q1222" s="4">
        <v>1</v>
      </c>
    </row>
    <row r="1223" spans="1:17" x14ac:dyDescent="0.55000000000000004">
      <c r="A1223" t="s">
        <v>2583</v>
      </c>
      <c r="C1223" t="s">
        <v>3645</v>
      </c>
      <c r="D1223" t="s">
        <v>3646</v>
      </c>
      <c r="E1223" t="s">
        <v>39</v>
      </c>
      <c r="F1223" t="s">
        <v>30</v>
      </c>
      <c r="G1223" t="s">
        <v>31</v>
      </c>
      <c r="H1223" t="s">
        <v>40</v>
      </c>
      <c r="I1223" t="s">
        <v>3417</v>
      </c>
      <c r="J1223" t="s">
        <v>3418</v>
      </c>
      <c r="K1223" t="s">
        <v>39</v>
      </c>
      <c r="L1223" t="s">
        <v>30</v>
      </c>
      <c r="M1223" t="s">
        <v>31</v>
      </c>
      <c r="N1223" t="s">
        <v>991</v>
      </c>
      <c r="Q1223" s="4">
        <v>1</v>
      </c>
    </row>
    <row r="1224" spans="1:17" x14ac:dyDescent="0.55000000000000004">
      <c r="A1224" t="s">
        <v>2584</v>
      </c>
      <c r="C1224" t="s">
        <v>3647</v>
      </c>
      <c r="D1224" t="s">
        <v>3648</v>
      </c>
      <c r="E1224" t="s">
        <v>39</v>
      </c>
      <c r="F1224" t="s">
        <v>30</v>
      </c>
      <c r="G1224" t="s">
        <v>31</v>
      </c>
      <c r="H1224" t="s">
        <v>40</v>
      </c>
      <c r="I1224" t="s">
        <v>3421</v>
      </c>
      <c r="J1224" t="s">
        <v>3422</v>
      </c>
      <c r="K1224" t="s">
        <v>39</v>
      </c>
      <c r="L1224" t="s">
        <v>30</v>
      </c>
      <c r="M1224" t="s">
        <v>31</v>
      </c>
      <c r="N1224" t="s">
        <v>991</v>
      </c>
      <c r="Q1224" s="4">
        <v>1</v>
      </c>
    </row>
    <row r="1225" spans="1:17" x14ac:dyDescent="0.55000000000000004">
      <c r="A1225" t="s">
        <v>2585</v>
      </c>
      <c r="C1225" t="s">
        <v>3649</v>
      </c>
      <c r="D1225" t="s">
        <v>3650</v>
      </c>
      <c r="E1225" t="s">
        <v>39</v>
      </c>
      <c r="F1225" t="s">
        <v>30</v>
      </c>
      <c r="G1225" t="s">
        <v>31</v>
      </c>
      <c r="H1225" t="s">
        <v>40</v>
      </c>
      <c r="I1225" t="s">
        <v>3425</v>
      </c>
      <c r="J1225" t="s">
        <v>3426</v>
      </c>
      <c r="K1225" t="s">
        <v>39</v>
      </c>
      <c r="L1225" t="s">
        <v>30</v>
      </c>
      <c r="M1225" t="s">
        <v>31</v>
      </c>
      <c r="N1225" t="s">
        <v>991</v>
      </c>
      <c r="Q1225" s="4">
        <v>1</v>
      </c>
    </row>
    <row r="1226" spans="1:17" x14ac:dyDescent="0.55000000000000004">
      <c r="A1226" t="s">
        <v>2586</v>
      </c>
      <c r="C1226" t="s">
        <v>3651</v>
      </c>
      <c r="D1226" t="s">
        <v>3652</v>
      </c>
      <c r="E1226" t="s">
        <v>39</v>
      </c>
      <c r="F1226" t="s">
        <v>30</v>
      </c>
      <c r="G1226" t="s">
        <v>31</v>
      </c>
      <c r="H1226" t="s">
        <v>40</v>
      </c>
      <c r="I1226" t="s">
        <v>3429</v>
      </c>
      <c r="J1226" t="s">
        <v>3430</v>
      </c>
      <c r="K1226" t="s">
        <v>39</v>
      </c>
      <c r="L1226" t="s">
        <v>30</v>
      </c>
      <c r="M1226" t="s">
        <v>31</v>
      </c>
      <c r="N1226" t="s">
        <v>991</v>
      </c>
      <c r="Q1226" s="4">
        <v>1</v>
      </c>
    </row>
    <row r="1227" spans="1:17" x14ac:dyDescent="0.55000000000000004">
      <c r="A1227" t="s">
        <v>2587</v>
      </c>
      <c r="C1227" t="s">
        <v>3653</v>
      </c>
      <c r="D1227" t="s">
        <v>3654</v>
      </c>
      <c r="E1227" t="s">
        <v>39</v>
      </c>
      <c r="F1227" t="s">
        <v>30</v>
      </c>
      <c r="G1227" t="s">
        <v>31</v>
      </c>
      <c r="H1227" t="s">
        <v>40</v>
      </c>
      <c r="I1227" t="s">
        <v>3433</v>
      </c>
      <c r="J1227" t="s">
        <v>3434</v>
      </c>
      <c r="K1227" t="s">
        <v>39</v>
      </c>
      <c r="L1227" t="s">
        <v>30</v>
      </c>
      <c r="M1227" t="s">
        <v>31</v>
      </c>
      <c r="N1227" t="s">
        <v>991</v>
      </c>
      <c r="Q1227" s="4">
        <v>1</v>
      </c>
    </row>
    <row r="1228" spans="1:17" x14ac:dyDescent="0.55000000000000004">
      <c r="A1228" t="s">
        <v>2588</v>
      </c>
      <c r="C1228" t="s">
        <v>3655</v>
      </c>
      <c r="D1228" t="s">
        <v>3656</v>
      </c>
      <c r="E1228" t="s">
        <v>39</v>
      </c>
      <c r="F1228" t="s">
        <v>30</v>
      </c>
      <c r="G1228" t="s">
        <v>31</v>
      </c>
      <c r="H1228" t="s">
        <v>40</v>
      </c>
      <c r="I1228" t="s">
        <v>3437</v>
      </c>
      <c r="J1228" t="s">
        <v>3438</v>
      </c>
      <c r="K1228" t="s">
        <v>39</v>
      </c>
      <c r="L1228" t="s">
        <v>30</v>
      </c>
      <c r="M1228" t="s">
        <v>31</v>
      </c>
      <c r="N1228" t="s">
        <v>991</v>
      </c>
      <c r="Q1228" s="4">
        <v>1</v>
      </c>
    </row>
    <row r="1229" spans="1:17" x14ac:dyDescent="0.55000000000000004">
      <c r="A1229" t="s">
        <v>2589</v>
      </c>
      <c r="C1229" t="s">
        <v>3657</v>
      </c>
      <c r="D1229" t="s">
        <v>3658</v>
      </c>
      <c r="E1229" t="s">
        <v>39</v>
      </c>
      <c r="F1229" t="s">
        <v>30</v>
      </c>
      <c r="G1229" t="s">
        <v>31</v>
      </c>
      <c r="H1229" t="s">
        <v>40</v>
      </c>
      <c r="I1229" t="s">
        <v>3441</v>
      </c>
      <c r="J1229" t="s">
        <v>3442</v>
      </c>
      <c r="K1229" t="s">
        <v>39</v>
      </c>
      <c r="L1229" t="s">
        <v>30</v>
      </c>
      <c r="M1229" t="s">
        <v>31</v>
      </c>
      <c r="N1229" t="s">
        <v>991</v>
      </c>
      <c r="Q1229" s="4">
        <v>1</v>
      </c>
    </row>
    <row r="1230" spans="1:17" x14ac:dyDescent="0.55000000000000004">
      <c r="A1230" t="s">
        <v>2590</v>
      </c>
      <c r="C1230" t="s">
        <v>3659</v>
      </c>
      <c r="D1230" t="s">
        <v>3660</v>
      </c>
      <c r="E1230" t="s">
        <v>39</v>
      </c>
      <c r="F1230" t="s">
        <v>30</v>
      </c>
      <c r="G1230" t="s">
        <v>31</v>
      </c>
      <c r="H1230" t="s">
        <v>40</v>
      </c>
      <c r="I1230" t="s">
        <v>3445</v>
      </c>
      <c r="J1230" t="s">
        <v>3446</v>
      </c>
      <c r="K1230" t="s">
        <v>39</v>
      </c>
      <c r="L1230" t="s">
        <v>30</v>
      </c>
      <c r="M1230" t="s">
        <v>31</v>
      </c>
      <c r="N1230" t="s">
        <v>991</v>
      </c>
      <c r="Q1230" s="4">
        <v>1</v>
      </c>
    </row>
    <row r="1231" spans="1:17" x14ac:dyDescent="0.55000000000000004">
      <c r="A1231" t="s">
        <v>2591</v>
      </c>
      <c r="C1231" t="s">
        <v>3661</v>
      </c>
      <c r="D1231" t="s">
        <v>3662</v>
      </c>
      <c r="E1231" t="s">
        <v>39</v>
      </c>
      <c r="F1231" t="s">
        <v>30</v>
      </c>
      <c r="G1231" t="s">
        <v>31</v>
      </c>
      <c r="H1231" t="s">
        <v>40</v>
      </c>
      <c r="I1231" t="s">
        <v>3449</v>
      </c>
      <c r="J1231" t="s">
        <v>3450</v>
      </c>
      <c r="K1231" t="s">
        <v>39</v>
      </c>
      <c r="L1231" t="s">
        <v>30</v>
      </c>
      <c r="M1231" t="s">
        <v>31</v>
      </c>
      <c r="N1231" t="s">
        <v>991</v>
      </c>
      <c r="Q1231" s="4">
        <v>1</v>
      </c>
    </row>
    <row r="1232" spans="1:17" x14ac:dyDescent="0.55000000000000004">
      <c r="A1232" t="s">
        <v>2592</v>
      </c>
      <c r="C1232" t="s">
        <v>3663</v>
      </c>
      <c r="D1232" t="s">
        <v>3664</v>
      </c>
      <c r="E1232" t="s">
        <v>39</v>
      </c>
      <c r="F1232" t="s">
        <v>30</v>
      </c>
      <c r="G1232" t="s">
        <v>31</v>
      </c>
      <c r="H1232" t="s">
        <v>40</v>
      </c>
      <c r="I1232" t="s">
        <v>3453</v>
      </c>
      <c r="J1232" t="s">
        <v>3454</v>
      </c>
      <c r="K1232" t="s">
        <v>39</v>
      </c>
      <c r="L1232" t="s">
        <v>30</v>
      </c>
      <c r="M1232" t="s">
        <v>31</v>
      </c>
      <c r="N1232" t="s">
        <v>991</v>
      </c>
      <c r="Q1232" s="4">
        <v>1</v>
      </c>
    </row>
    <row r="1233" spans="1:17" x14ac:dyDescent="0.55000000000000004">
      <c r="A1233" t="s">
        <v>2593</v>
      </c>
      <c r="C1233" t="s">
        <v>3665</v>
      </c>
      <c r="D1233" t="s">
        <v>3666</v>
      </c>
      <c r="E1233" t="s">
        <v>39</v>
      </c>
      <c r="F1233" t="s">
        <v>30</v>
      </c>
      <c r="G1233" t="s">
        <v>31</v>
      </c>
      <c r="H1233" t="s">
        <v>40</v>
      </c>
      <c r="I1233" t="s">
        <v>3457</v>
      </c>
      <c r="J1233" t="s">
        <v>3458</v>
      </c>
      <c r="K1233" t="s">
        <v>39</v>
      </c>
      <c r="L1233" t="s">
        <v>30</v>
      </c>
      <c r="M1233" t="s">
        <v>31</v>
      </c>
      <c r="N1233" t="s">
        <v>991</v>
      </c>
      <c r="Q1233" s="4">
        <v>1</v>
      </c>
    </row>
    <row r="1234" spans="1:17" x14ac:dyDescent="0.55000000000000004">
      <c r="A1234" t="s">
        <v>2594</v>
      </c>
      <c r="C1234" t="s">
        <v>3667</v>
      </c>
      <c r="D1234" t="s">
        <v>3668</v>
      </c>
      <c r="E1234" t="s">
        <v>39</v>
      </c>
      <c r="F1234" t="s">
        <v>30</v>
      </c>
      <c r="G1234" t="s">
        <v>31</v>
      </c>
      <c r="H1234" t="s">
        <v>40</v>
      </c>
      <c r="I1234" t="s">
        <v>3461</v>
      </c>
      <c r="J1234" t="s">
        <v>3462</v>
      </c>
      <c r="K1234" t="s">
        <v>39</v>
      </c>
      <c r="L1234" t="s">
        <v>30</v>
      </c>
      <c r="M1234" t="s">
        <v>31</v>
      </c>
      <c r="N1234" t="s">
        <v>991</v>
      </c>
      <c r="Q1234" s="4">
        <v>1</v>
      </c>
    </row>
    <row r="1235" spans="1:17" x14ac:dyDescent="0.55000000000000004">
      <c r="A1235" t="s">
        <v>2595</v>
      </c>
      <c r="C1235" t="s">
        <v>3669</v>
      </c>
      <c r="D1235" t="s">
        <v>3670</v>
      </c>
      <c r="E1235" t="s">
        <v>39</v>
      </c>
      <c r="F1235" t="s">
        <v>30</v>
      </c>
      <c r="G1235" t="s">
        <v>31</v>
      </c>
      <c r="H1235" t="s">
        <v>40</v>
      </c>
      <c r="I1235" t="s">
        <v>3465</v>
      </c>
      <c r="J1235" t="s">
        <v>3466</v>
      </c>
      <c r="K1235" t="s">
        <v>39</v>
      </c>
      <c r="L1235" t="s">
        <v>30</v>
      </c>
      <c r="M1235" t="s">
        <v>31</v>
      </c>
      <c r="N1235" t="s">
        <v>991</v>
      </c>
      <c r="Q1235" s="4">
        <v>1</v>
      </c>
    </row>
    <row r="1236" spans="1:17" x14ac:dyDescent="0.55000000000000004">
      <c r="A1236" t="s">
        <v>2596</v>
      </c>
      <c r="C1236" t="s">
        <v>2934</v>
      </c>
      <c r="D1236" t="s">
        <v>2935</v>
      </c>
      <c r="E1236" t="s">
        <v>39</v>
      </c>
      <c r="F1236" t="s">
        <v>30</v>
      </c>
      <c r="G1236" t="s">
        <v>31</v>
      </c>
      <c r="H1236" t="s">
        <v>40</v>
      </c>
      <c r="I1236" t="s">
        <v>94</v>
      </c>
      <c r="J1236" t="s">
        <v>95</v>
      </c>
      <c r="K1236" t="s">
        <v>39</v>
      </c>
      <c r="L1236" t="s">
        <v>30</v>
      </c>
      <c r="M1236" t="s">
        <v>31</v>
      </c>
      <c r="N1236" t="s">
        <v>991</v>
      </c>
      <c r="Q1236" s="4">
        <v>1</v>
      </c>
    </row>
    <row r="1237" spans="1:17" x14ac:dyDescent="0.55000000000000004">
      <c r="A1237" t="s">
        <v>2597</v>
      </c>
      <c r="C1237" t="s">
        <v>2936</v>
      </c>
      <c r="D1237" t="s">
        <v>2937</v>
      </c>
      <c r="E1237" t="s">
        <v>39</v>
      </c>
      <c r="F1237" t="s">
        <v>30</v>
      </c>
      <c r="G1237" t="s">
        <v>31</v>
      </c>
      <c r="H1237" t="s">
        <v>40</v>
      </c>
      <c r="I1237" t="s">
        <v>99</v>
      </c>
      <c r="J1237" t="s">
        <v>100</v>
      </c>
      <c r="K1237" t="s">
        <v>39</v>
      </c>
      <c r="L1237" t="s">
        <v>30</v>
      </c>
      <c r="M1237" t="s">
        <v>31</v>
      </c>
      <c r="N1237" t="s">
        <v>991</v>
      </c>
      <c r="Q1237" s="4">
        <v>1</v>
      </c>
    </row>
    <row r="1238" spans="1:17" x14ac:dyDescent="0.55000000000000004">
      <c r="A1238" t="s">
        <v>2598</v>
      </c>
      <c r="C1238" t="s">
        <v>2938</v>
      </c>
      <c r="D1238" t="s">
        <v>2939</v>
      </c>
      <c r="E1238" t="s">
        <v>39</v>
      </c>
      <c r="F1238" t="s">
        <v>30</v>
      </c>
      <c r="G1238" t="s">
        <v>31</v>
      </c>
      <c r="H1238" t="s">
        <v>40</v>
      </c>
      <c r="I1238" t="s">
        <v>104</v>
      </c>
      <c r="J1238" t="s">
        <v>105</v>
      </c>
      <c r="K1238" t="s">
        <v>39</v>
      </c>
      <c r="L1238" t="s">
        <v>30</v>
      </c>
      <c r="M1238" t="s">
        <v>31</v>
      </c>
      <c r="N1238" t="s">
        <v>991</v>
      </c>
      <c r="Q1238" s="4">
        <v>1</v>
      </c>
    </row>
    <row r="1239" spans="1:17" x14ac:dyDescent="0.55000000000000004">
      <c r="A1239" t="s">
        <v>2599</v>
      </c>
      <c r="C1239" t="s">
        <v>2940</v>
      </c>
      <c r="D1239" t="s">
        <v>2941</v>
      </c>
      <c r="E1239" t="s">
        <v>39</v>
      </c>
      <c r="F1239" t="s">
        <v>30</v>
      </c>
      <c r="G1239" t="s">
        <v>31</v>
      </c>
      <c r="H1239" t="s">
        <v>40</v>
      </c>
      <c r="I1239" t="s">
        <v>109</v>
      </c>
      <c r="J1239" t="s">
        <v>110</v>
      </c>
      <c r="K1239" t="s">
        <v>39</v>
      </c>
      <c r="L1239" t="s">
        <v>30</v>
      </c>
      <c r="M1239" t="s">
        <v>31</v>
      </c>
      <c r="N1239" t="s">
        <v>991</v>
      </c>
      <c r="Q1239" s="4">
        <v>1</v>
      </c>
    </row>
    <row r="1240" spans="1:17" x14ac:dyDescent="0.55000000000000004">
      <c r="A1240" t="s">
        <v>2600</v>
      </c>
      <c r="C1240" t="s">
        <v>2942</v>
      </c>
      <c r="D1240" t="s">
        <v>2943</v>
      </c>
      <c r="E1240" t="s">
        <v>39</v>
      </c>
      <c r="F1240" t="s">
        <v>30</v>
      </c>
      <c r="G1240" t="s">
        <v>31</v>
      </c>
      <c r="H1240" t="s">
        <v>40</v>
      </c>
      <c r="I1240" t="s">
        <v>114</v>
      </c>
      <c r="J1240" t="s">
        <v>115</v>
      </c>
      <c r="K1240" t="s">
        <v>39</v>
      </c>
      <c r="L1240" t="s">
        <v>30</v>
      </c>
      <c r="M1240" t="s">
        <v>31</v>
      </c>
      <c r="N1240" t="s">
        <v>991</v>
      </c>
      <c r="Q1240" s="4">
        <v>1</v>
      </c>
    </row>
    <row r="1241" spans="1:17" x14ac:dyDescent="0.55000000000000004">
      <c r="A1241" t="s">
        <v>2601</v>
      </c>
      <c r="C1241" t="s">
        <v>2944</v>
      </c>
      <c r="D1241" t="s">
        <v>2945</v>
      </c>
      <c r="E1241" t="s">
        <v>39</v>
      </c>
      <c r="F1241" t="s">
        <v>30</v>
      </c>
      <c r="G1241" t="s">
        <v>31</v>
      </c>
      <c r="H1241" t="s">
        <v>40</v>
      </c>
      <c r="I1241" t="s">
        <v>119</v>
      </c>
      <c r="J1241" t="s">
        <v>120</v>
      </c>
      <c r="K1241" t="s">
        <v>39</v>
      </c>
      <c r="L1241" t="s">
        <v>30</v>
      </c>
      <c r="M1241" t="s">
        <v>31</v>
      </c>
      <c r="N1241" t="s">
        <v>991</v>
      </c>
      <c r="Q1241" s="4">
        <v>1</v>
      </c>
    </row>
    <row r="1242" spans="1:17" x14ac:dyDescent="0.55000000000000004">
      <c r="A1242" t="s">
        <v>2602</v>
      </c>
      <c r="C1242" t="s">
        <v>2946</v>
      </c>
      <c r="D1242" t="s">
        <v>2947</v>
      </c>
      <c r="E1242" t="s">
        <v>39</v>
      </c>
      <c r="F1242" t="s">
        <v>30</v>
      </c>
      <c r="G1242" t="s">
        <v>31</v>
      </c>
      <c r="H1242" t="s">
        <v>40</v>
      </c>
      <c r="I1242" t="s">
        <v>124</v>
      </c>
      <c r="J1242" t="s">
        <v>125</v>
      </c>
      <c r="K1242" t="s">
        <v>39</v>
      </c>
      <c r="L1242" t="s">
        <v>30</v>
      </c>
      <c r="M1242" t="s">
        <v>31</v>
      </c>
      <c r="N1242" t="s">
        <v>991</v>
      </c>
      <c r="Q1242" s="4">
        <v>1</v>
      </c>
    </row>
    <row r="1243" spans="1:17" x14ac:dyDescent="0.55000000000000004">
      <c r="A1243" t="s">
        <v>2603</v>
      </c>
      <c r="C1243" t="s">
        <v>2948</v>
      </c>
      <c r="D1243" t="s">
        <v>2949</v>
      </c>
      <c r="E1243" t="s">
        <v>39</v>
      </c>
      <c r="F1243" t="s">
        <v>30</v>
      </c>
      <c r="G1243" t="s">
        <v>31</v>
      </c>
      <c r="H1243" t="s">
        <v>40</v>
      </c>
      <c r="I1243" t="s">
        <v>129</v>
      </c>
      <c r="J1243" t="s">
        <v>130</v>
      </c>
      <c r="K1243" t="s">
        <v>39</v>
      </c>
      <c r="L1243" t="s">
        <v>30</v>
      </c>
      <c r="M1243" t="s">
        <v>31</v>
      </c>
      <c r="N1243" t="s">
        <v>991</v>
      </c>
      <c r="Q1243" s="4">
        <v>1</v>
      </c>
    </row>
    <row r="1244" spans="1:17" x14ac:dyDescent="0.55000000000000004">
      <c r="A1244" t="s">
        <v>2604</v>
      </c>
      <c r="C1244" t="s">
        <v>2950</v>
      </c>
      <c r="D1244" t="s">
        <v>2951</v>
      </c>
      <c r="E1244" t="s">
        <v>39</v>
      </c>
      <c r="F1244" t="s">
        <v>30</v>
      </c>
      <c r="G1244" t="s">
        <v>31</v>
      </c>
      <c r="H1244" t="s">
        <v>40</v>
      </c>
      <c r="I1244" t="s">
        <v>134</v>
      </c>
      <c r="J1244" t="s">
        <v>135</v>
      </c>
      <c r="K1244" t="s">
        <v>39</v>
      </c>
      <c r="L1244" t="s">
        <v>30</v>
      </c>
      <c r="M1244" t="s">
        <v>31</v>
      </c>
      <c r="N1244" t="s">
        <v>991</v>
      </c>
      <c r="Q1244" s="4">
        <v>1</v>
      </c>
    </row>
    <row r="1245" spans="1:17" x14ac:dyDescent="0.55000000000000004">
      <c r="A1245" t="s">
        <v>2605</v>
      </c>
      <c r="C1245" t="s">
        <v>2952</v>
      </c>
      <c r="D1245" t="s">
        <v>2953</v>
      </c>
      <c r="E1245" t="s">
        <v>39</v>
      </c>
      <c r="F1245" t="s">
        <v>30</v>
      </c>
      <c r="G1245" t="s">
        <v>31</v>
      </c>
      <c r="H1245" t="s">
        <v>40</v>
      </c>
      <c r="I1245" t="s">
        <v>139</v>
      </c>
      <c r="J1245" t="s">
        <v>140</v>
      </c>
      <c r="K1245" t="s">
        <v>39</v>
      </c>
      <c r="L1245" t="s">
        <v>30</v>
      </c>
      <c r="M1245" t="s">
        <v>31</v>
      </c>
      <c r="N1245" t="s">
        <v>991</v>
      </c>
      <c r="Q1245" s="4">
        <v>1</v>
      </c>
    </row>
    <row r="1246" spans="1:17" x14ac:dyDescent="0.55000000000000004">
      <c r="A1246" t="s">
        <v>2606</v>
      </c>
      <c r="C1246" t="s">
        <v>2954</v>
      </c>
      <c r="D1246" t="s">
        <v>2955</v>
      </c>
      <c r="E1246" t="s">
        <v>39</v>
      </c>
      <c r="F1246" t="s">
        <v>30</v>
      </c>
      <c r="G1246" t="s">
        <v>31</v>
      </c>
      <c r="H1246" t="s">
        <v>40</v>
      </c>
      <c r="I1246" t="s">
        <v>144</v>
      </c>
      <c r="J1246" t="s">
        <v>145</v>
      </c>
      <c r="K1246" t="s">
        <v>39</v>
      </c>
      <c r="L1246" t="s">
        <v>30</v>
      </c>
      <c r="M1246" t="s">
        <v>31</v>
      </c>
      <c r="N1246" t="s">
        <v>991</v>
      </c>
      <c r="Q1246" s="4">
        <v>1</v>
      </c>
    </row>
    <row r="1247" spans="1:17" x14ac:dyDescent="0.55000000000000004">
      <c r="A1247" t="s">
        <v>2607</v>
      </c>
      <c r="C1247" t="s">
        <v>3671</v>
      </c>
      <c r="D1247" t="s">
        <v>3672</v>
      </c>
      <c r="E1247" t="s">
        <v>39</v>
      </c>
      <c r="F1247" t="s">
        <v>30</v>
      </c>
      <c r="G1247" t="s">
        <v>31</v>
      </c>
      <c r="H1247" t="s">
        <v>40</v>
      </c>
      <c r="I1247" t="s">
        <v>3469</v>
      </c>
      <c r="J1247" t="s">
        <v>3470</v>
      </c>
      <c r="K1247" t="s">
        <v>39</v>
      </c>
      <c r="L1247" t="s">
        <v>30</v>
      </c>
      <c r="M1247" t="s">
        <v>31</v>
      </c>
      <c r="N1247" t="s">
        <v>991</v>
      </c>
      <c r="Q1247" s="4">
        <v>1</v>
      </c>
    </row>
    <row r="1248" spans="1:17" x14ac:dyDescent="0.55000000000000004">
      <c r="A1248" t="s">
        <v>2608</v>
      </c>
      <c r="C1248" t="s">
        <v>3673</v>
      </c>
      <c r="D1248" t="s">
        <v>3674</v>
      </c>
      <c r="E1248" t="s">
        <v>39</v>
      </c>
      <c r="F1248" t="s">
        <v>30</v>
      </c>
      <c r="G1248" t="s">
        <v>31</v>
      </c>
      <c r="H1248" t="s">
        <v>40</v>
      </c>
      <c r="I1248" t="s">
        <v>3473</v>
      </c>
      <c r="J1248" t="s">
        <v>3474</v>
      </c>
      <c r="K1248" t="s">
        <v>39</v>
      </c>
      <c r="L1248" t="s">
        <v>30</v>
      </c>
      <c r="M1248" t="s">
        <v>31</v>
      </c>
      <c r="N1248" t="s">
        <v>991</v>
      </c>
      <c r="Q1248" s="4">
        <v>1</v>
      </c>
    </row>
    <row r="1249" spans="1:17" x14ac:dyDescent="0.55000000000000004">
      <c r="A1249" t="s">
        <v>2609</v>
      </c>
      <c r="C1249" t="s">
        <v>3675</v>
      </c>
      <c r="D1249" t="s">
        <v>3676</v>
      </c>
      <c r="E1249" t="s">
        <v>39</v>
      </c>
      <c r="F1249" t="s">
        <v>30</v>
      </c>
      <c r="G1249" t="s">
        <v>31</v>
      </c>
      <c r="H1249" t="s">
        <v>40</v>
      </c>
      <c r="I1249" t="s">
        <v>3477</v>
      </c>
      <c r="J1249" t="s">
        <v>3478</v>
      </c>
      <c r="K1249" t="s">
        <v>39</v>
      </c>
      <c r="L1249" t="s">
        <v>30</v>
      </c>
      <c r="M1249" t="s">
        <v>31</v>
      </c>
      <c r="N1249" t="s">
        <v>991</v>
      </c>
      <c r="Q1249" s="4">
        <v>1</v>
      </c>
    </row>
    <row r="1250" spans="1:17" x14ac:dyDescent="0.55000000000000004">
      <c r="A1250" t="s">
        <v>2610</v>
      </c>
      <c r="C1250" t="s">
        <v>3677</v>
      </c>
      <c r="D1250" t="s">
        <v>3678</v>
      </c>
      <c r="E1250" t="s">
        <v>39</v>
      </c>
      <c r="F1250" t="s">
        <v>30</v>
      </c>
      <c r="G1250" t="s">
        <v>31</v>
      </c>
      <c r="H1250" t="s">
        <v>40</v>
      </c>
      <c r="I1250" t="s">
        <v>3481</v>
      </c>
      <c r="J1250" t="s">
        <v>3482</v>
      </c>
      <c r="K1250" t="s">
        <v>39</v>
      </c>
      <c r="L1250" t="s">
        <v>30</v>
      </c>
      <c r="M1250" t="s">
        <v>31</v>
      </c>
      <c r="N1250" t="s">
        <v>991</v>
      </c>
      <c r="Q1250" s="4">
        <v>1</v>
      </c>
    </row>
    <row r="1251" spans="1:17" x14ac:dyDescent="0.55000000000000004">
      <c r="A1251" t="s">
        <v>2611</v>
      </c>
      <c r="C1251" t="s">
        <v>3679</v>
      </c>
      <c r="D1251" t="s">
        <v>3680</v>
      </c>
      <c r="E1251" t="s">
        <v>39</v>
      </c>
      <c r="F1251" t="s">
        <v>30</v>
      </c>
      <c r="G1251" t="s">
        <v>31</v>
      </c>
      <c r="H1251" t="s">
        <v>40</v>
      </c>
      <c r="I1251" t="s">
        <v>3485</v>
      </c>
      <c r="J1251" t="s">
        <v>3486</v>
      </c>
      <c r="K1251" t="s">
        <v>39</v>
      </c>
      <c r="L1251" t="s">
        <v>30</v>
      </c>
      <c r="M1251" t="s">
        <v>31</v>
      </c>
      <c r="N1251" t="s">
        <v>991</v>
      </c>
      <c r="Q1251" s="4">
        <v>1</v>
      </c>
    </row>
    <row r="1252" spans="1:17" x14ac:dyDescent="0.55000000000000004">
      <c r="A1252" t="s">
        <v>2612</v>
      </c>
      <c r="C1252" t="s">
        <v>3681</v>
      </c>
      <c r="D1252" t="s">
        <v>3682</v>
      </c>
      <c r="E1252" t="s">
        <v>39</v>
      </c>
      <c r="F1252" t="s">
        <v>30</v>
      </c>
      <c r="G1252" t="s">
        <v>31</v>
      </c>
      <c r="H1252" t="s">
        <v>40</v>
      </c>
      <c r="I1252" t="s">
        <v>3489</v>
      </c>
      <c r="J1252" t="s">
        <v>3490</v>
      </c>
      <c r="K1252" t="s">
        <v>39</v>
      </c>
      <c r="L1252" t="s">
        <v>30</v>
      </c>
      <c r="M1252" t="s">
        <v>31</v>
      </c>
      <c r="N1252" t="s">
        <v>991</v>
      </c>
      <c r="Q1252" s="4">
        <v>1</v>
      </c>
    </row>
    <row r="1253" spans="1:17" x14ac:dyDescent="0.55000000000000004">
      <c r="A1253" t="s">
        <v>2613</v>
      </c>
      <c r="C1253" t="s">
        <v>3683</v>
      </c>
      <c r="D1253" t="s">
        <v>3684</v>
      </c>
      <c r="E1253" t="s">
        <v>39</v>
      </c>
      <c r="F1253" t="s">
        <v>30</v>
      </c>
      <c r="G1253" t="s">
        <v>31</v>
      </c>
      <c r="H1253" t="s">
        <v>40</v>
      </c>
      <c r="I1253" t="s">
        <v>3493</v>
      </c>
      <c r="J1253" t="s">
        <v>3494</v>
      </c>
      <c r="K1253" t="s">
        <v>39</v>
      </c>
      <c r="L1253" t="s">
        <v>30</v>
      </c>
      <c r="M1253" t="s">
        <v>31</v>
      </c>
      <c r="N1253" t="s">
        <v>991</v>
      </c>
      <c r="Q1253" s="4">
        <v>1</v>
      </c>
    </row>
    <row r="1254" spans="1:17" x14ac:dyDescent="0.55000000000000004">
      <c r="A1254" t="s">
        <v>2614</v>
      </c>
      <c r="C1254" t="s">
        <v>3685</v>
      </c>
      <c r="D1254" t="s">
        <v>3686</v>
      </c>
      <c r="E1254" t="s">
        <v>39</v>
      </c>
      <c r="F1254" t="s">
        <v>30</v>
      </c>
      <c r="G1254" t="s">
        <v>31</v>
      </c>
      <c r="H1254" t="s">
        <v>40</v>
      </c>
      <c r="I1254" t="s">
        <v>3497</v>
      </c>
      <c r="J1254" t="s">
        <v>3498</v>
      </c>
      <c r="K1254" t="s">
        <v>39</v>
      </c>
      <c r="L1254" t="s">
        <v>30</v>
      </c>
      <c r="M1254" t="s">
        <v>31</v>
      </c>
      <c r="N1254" t="s">
        <v>991</v>
      </c>
      <c r="Q1254" s="4">
        <v>1</v>
      </c>
    </row>
    <row r="1255" spans="1:17" x14ac:dyDescent="0.55000000000000004">
      <c r="A1255" t="s">
        <v>2615</v>
      </c>
      <c r="C1255" t="s">
        <v>3687</v>
      </c>
      <c r="D1255" t="s">
        <v>3688</v>
      </c>
      <c r="E1255" t="s">
        <v>39</v>
      </c>
      <c r="F1255" t="s">
        <v>30</v>
      </c>
      <c r="G1255" t="s">
        <v>31</v>
      </c>
      <c r="H1255" t="s">
        <v>40</v>
      </c>
      <c r="I1255" t="s">
        <v>3501</v>
      </c>
      <c r="J1255" t="s">
        <v>3502</v>
      </c>
      <c r="K1255" t="s">
        <v>39</v>
      </c>
      <c r="L1255" t="s">
        <v>30</v>
      </c>
      <c r="M1255" t="s">
        <v>31</v>
      </c>
      <c r="N1255" t="s">
        <v>991</v>
      </c>
      <c r="Q1255" s="4">
        <v>1</v>
      </c>
    </row>
    <row r="1256" spans="1:17" x14ac:dyDescent="0.55000000000000004">
      <c r="A1256" t="s">
        <v>2616</v>
      </c>
      <c r="C1256" t="s">
        <v>3689</v>
      </c>
      <c r="D1256" t="s">
        <v>3690</v>
      </c>
      <c r="E1256" t="s">
        <v>39</v>
      </c>
      <c r="F1256" t="s">
        <v>30</v>
      </c>
      <c r="G1256" t="s">
        <v>31</v>
      </c>
      <c r="H1256" t="s">
        <v>40</v>
      </c>
      <c r="I1256" t="s">
        <v>3505</v>
      </c>
      <c r="J1256" t="s">
        <v>3506</v>
      </c>
      <c r="K1256" t="s">
        <v>39</v>
      </c>
      <c r="L1256" t="s">
        <v>30</v>
      </c>
      <c r="M1256" t="s">
        <v>31</v>
      </c>
      <c r="N1256" t="s">
        <v>991</v>
      </c>
      <c r="Q1256" s="4">
        <v>1</v>
      </c>
    </row>
    <row r="1257" spans="1:17" x14ac:dyDescent="0.55000000000000004">
      <c r="A1257" t="s">
        <v>2617</v>
      </c>
      <c r="C1257" t="s">
        <v>3691</v>
      </c>
      <c r="D1257" t="s">
        <v>3692</v>
      </c>
      <c r="E1257" t="s">
        <v>39</v>
      </c>
      <c r="F1257" t="s">
        <v>30</v>
      </c>
      <c r="G1257" t="s">
        <v>31</v>
      </c>
      <c r="H1257" t="s">
        <v>40</v>
      </c>
      <c r="I1257" t="s">
        <v>3509</v>
      </c>
      <c r="J1257" t="s">
        <v>3510</v>
      </c>
      <c r="K1257" t="s">
        <v>39</v>
      </c>
      <c r="L1257" t="s">
        <v>30</v>
      </c>
      <c r="M1257" t="s">
        <v>31</v>
      </c>
      <c r="N1257" t="s">
        <v>991</v>
      </c>
      <c r="Q1257" s="4">
        <v>1</v>
      </c>
    </row>
    <row r="1258" spans="1:17" x14ac:dyDescent="0.55000000000000004">
      <c r="A1258" t="s">
        <v>2618</v>
      </c>
      <c r="C1258" t="s">
        <v>3693</v>
      </c>
      <c r="D1258" t="s">
        <v>3694</v>
      </c>
      <c r="E1258" t="s">
        <v>39</v>
      </c>
      <c r="F1258" t="s">
        <v>30</v>
      </c>
      <c r="G1258" t="s">
        <v>31</v>
      </c>
      <c r="H1258" t="s">
        <v>40</v>
      </c>
      <c r="I1258" t="s">
        <v>3513</v>
      </c>
      <c r="J1258" t="s">
        <v>3514</v>
      </c>
      <c r="K1258" t="s">
        <v>39</v>
      </c>
      <c r="L1258" t="s">
        <v>30</v>
      </c>
      <c r="M1258" t="s">
        <v>31</v>
      </c>
      <c r="N1258" t="s">
        <v>991</v>
      </c>
      <c r="Q1258" s="4">
        <v>1</v>
      </c>
    </row>
    <row r="1259" spans="1:17" x14ac:dyDescent="0.55000000000000004">
      <c r="A1259" t="s">
        <v>2619</v>
      </c>
      <c r="C1259" t="s">
        <v>3695</v>
      </c>
      <c r="D1259" t="s">
        <v>3696</v>
      </c>
      <c r="E1259" t="s">
        <v>39</v>
      </c>
      <c r="F1259" t="s">
        <v>30</v>
      </c>
      <c r="G1259" t="s">
        <v>31</v>
      </c>
      <c r="H1259" t="s">
        <v>40</v>
      </c>
      <c r="I1259" t="s">
        <v>3517</v>
      </c>
      <c r="J1259" t="s">
        <v>3518</v>
      </c>
      <c r="K1259" t="s">
        <v>39</v>
      </c>
      <c r="L1259" t="s">
        <v>30</v>
      </c>
      <c r="M1259" t="s">
        <v>31</v>
      </c>
      <c r="N1259" t="s">
        <v>991</v>
      </c>
      <c r="Q1259" s="4">
        <v>1</v>
      </c>
    </row>
    <row r="1260" spans="1:17" x14ac:dyDescent="0.55000000000000004">
      <c r="A1260" t="s">
        <v>2620</v>
      </c>
      <c r="C1260" t="s">
        <v>3697</v>
      </c>
      <c r="D1260" t="s">
        <v>3698</v>
      </c>
      <c r="E1260" t="s">
        <v>39</v>
      </c>
      <c r="F1260" t="s">
        <v>30</v>
      </c>
      <c r="G1260" t="s">
        <v>31</v>
      </c>
      <c r="H1260" t="s">
        <v>40</v>
      </c>
      <c r="I1260" t="s">
        <v>3521</v>
      </c>
      <c r="J1260" t="s">
        <v>3522</v>
      </c>
      <c r="K1260" t="s">
        <v>39</v>
      </c>
      <c r="L1260" t="s">
        <v>30</v>
      </c>
      <c r="M1260" t="s">
        <v>31</v>
      </c>
      <c r="N1260" t="s">
        <v>991</v>
      </c>
      <c r="Q1260" s="4">
        <v>1</v>
      </c>
    </row>
    <row r="1261" spans="1:17" x14ac:dyDescent="0.55000000000000004">
      <c r="A1261" t="s">
        <v>2621</v>
      </c>
      <c r="C1261" t="s">
        <v>3699</v>
      </c>
      <c r="D1261" t="s">
        <v>3700</v>
      </c>
      <c r="E1261" t="s">
        <v>39</v>
      </c>
      <c r="F1261" t="s">
        <v>30</v>
      </c>
      <c r="G1261" t="s">
        <v>31</v>
      </c>
      <c r="H1261" t="s">
        <v>40</v>
      </c>
      <c r="I1261" t="s">
        <v>3525</v>
      </c>
      <c r="J1261" t="s">
        <v>3526</v>
      </c>
      <c r="K1261" t="s">
        <v>39</v>
      </c>
      <c r="L1261" t="s">
        <v>30</v>
      </c>
      <c r="M1261" t="s">
        <v>31</v>
      </c>
      <c r="N1261" t="s">
        <v>991</v>
      </c>
      <c r="Q1261" s="4">
        <v>1</v>
      </c>
    </row>
    <row r="1262" spans="1:17" x14ac:dyDescent="0.55000000000000004">
      <c r="A1262" t="s">
        <v>2622</v>
      </c>
      <c r="C1262" t="s">
        <v>3701</v>
      </c>
      <c r="D1262" t="s">
        <v>3702</v>
      </c>
      <c r="E1262" t="s">
        <v>39</v>
      </c>
      <c r="F1262" t="s">
        <v>30</v>
      </c>
      <c r="G1262" t="s">
        <v>31</v>
      </c>
      <c r="H1262" t="s">
        <v>40</v>
      </c>
      <c r="I1262" t="s">
        <v>3529</v>
      </c>
      <c r="J1262" t="s">
        <v>3530</v>
      </c>
      <c r="K1262" t="s">
        <v>39</v>
      </c>
      <c r="L1262" t="s">
        <v>30</v>
      </c>
      <c r="M1262" t="s">
        <v>31</v>
      </c>
      <c r="N1262" t="s">
        <v>991</v>
      </c>
      <c r="Q1262" s="4">
        <v>1</v>
      </c>
    </row>
    <row r="1263" spans="1:17" x14ac:dyDescent="0.55000000000000004">
      <c r="A1263" t="s">
        <v>2623</v>
      </c>
      <c r="C1263" t="s">
        <v>3703</v>
      </c>
      <c r="D1263" t="s">
        <v>3704</v>
      </c>
      <c r="E1263" t="s">
        <v>39</v>
      </c>
      <c r="F1263" t="s">
        <v>30</v>
      </c>
      <c r="G1263" t="s">
        <v>31</v>
      </c>
      <c r="H1263" t="s">
        <v>40</v>
      </c>
      <c r="I1263" t="s">
        <v>3533</v>
      </c>
      <c r="J1263" t="s">
        <v>3534</v>
      </c>
      <c r="K1263" t="s">
        <v>39</v>
      </c>
      <c r="L1263" t="s">
        <v>30</v>
      </c>
      <c r="M1263" t="s">
        <v>31</v>
      </c>
      <c r="N1263" t="s">
        <v>991</v>
      </c>
      <c r="Q1263" s="4">
        <v>1</v>
      </c>
    </row>
    <row r="1264" spans="1:17" s="16" customFormat="1" ht="18.5" thickBot="1" x14ac:dyDescent="0.6">
      <c r="A1264" s="16" t="s">
        <v>2624</v>
      </c>
      <c r="C1264" s="16" t="s">
        <v>3705</v>
      </c>
      <c r="D1264" s="16" t="s">
        <v>3706</v>
      </c>
      <c r="E1264" s="16" t="s">
        <v>39</v>
      </c>
      <c r="F1264" s="16" t="s">
        <v>30</v>
      </c>
      <c r="G1264" s="16" t="s">
        <v>31</v>
      </c>
      <c r="H1264" s="16" t="s">
        <v>40</v>
      </c>
      <c r="I1264" s="16" t="s">
        <v>3537</v>
      </c>
      <c r="J1264" s="16" t="s">
        <v>3538</v>
      </c>
      <c r="K1264" s="16" t="s">
        <v>39</v>
      </c>
      <c r="L1264" s="16" t="s">
        <v>30</v>
      </c>
      <c r="M1264" s="16" t="s">
        <v>31</v>
      </c>
      <c r="N1264" s="16" t="s">
        <v>991</v>
      </c>
      <c r="Q1264" s="18">
        <v>1</v>
      </c>
    </row>
    <row r="1265" spans="1:17" x14ac:dyDescent="0.55000000000000004">
      <c r="A1265" t="s">
        <v>2625</v>
      </c>
      <c r="C1265" t="s">
        <v>3539</v>
      </c>
      <c r="D1265" t="s">
        <v>3540</v>
      </c>
      <c r="E1265" t="s">
        <v>39</v>
      </c>
      <c r="F1265" t="s">
        <v>30</v>
      </c>
      <c r="G1265" t="s">
        <v>31</v>
      </c>
      <c r="H1265" t="s">
        <v>40</v>
      </c>
      <c r="I1265" t="s">
        <v>3205</v>
      </c>
      <c r="J1265" t="s">
        <v>3206</v>
      </c>
      <c r="K1265" t="s">
        <v>362</v>
      </c>
      <c r="L1265" t="s">
        <v>30</v>
      </c>
      <c r="M1265" t="s">
        <v>31</v>
      </c>
      <c r="Q1265" s="4">
        <v>1</v>
      </c>
    </row>
    <row r="1266" spans="1:17" x14ac:dyDescent="0.55000000000000004">
      <c r="A1266" t="s">
        <v>2626</v>
      </c>
      <c r="C1266" t="s">
        <v>3541</v>
      </c>
      <c r="D1266" t="s">
        <v>3542</v>
      </c>
      <c r="E1266" t="s">
        <v>39</v>
      </c>
      <c r="F1266" t="s">
        <v>30</v>
      </c>
      <c r="G1266" t="s">
        <v>31</v>
      </c>
      <c r="H1266" t="s">
        <v>40</v>
      </c>
      <c r="I1266" t="s">
        <v>3209</v>
      </c>
      <c r="J1266" t="s">
        <v>3210</v>
      </c>
      <c r="K1266" t="s">
        <v>362</v>
      </c>
      <c r="L1266" t="s">
        <v>30</v>
      </c>
      <c r="M1266" t="s">
        <v>31</v>
      </c>
      <c r="Q1266" s="4">
        <v>1</v>
      </c>
    </row>
    <row r="1267" spans="1:17" x14ac:dyDescent="0.55000000000000004">
      <c r="A1267" t="s">
        <v>2627</v>
      </c>
      <c r="C1267" t="s">
        <v>3543</v>
      </c>
      <c r="D1267" t="s">
        <v>3544</v>
      </c>
      <c r="E1267" t="s">
        <v>39</v>
      </c>
      <c r="F1267" t="s">
        <v>30</v>
      </c>
      <c r="G1267" t="s">
        <v>31</v>
      </c>
      <c r="H1267" t="s">
        <v>40</v>
      </c>
      <c r="I1267" t="s">
        <v>3213</v>
      </c>
      <c r="J1267" t="s">
        <v>3214</v>
      </c>
      <c r="K1267" t="s">
        <v>362</v>
      </c>
      <c r="L1267" t="s">
        <v>30</v>
      </c>
      <c r="M1267" t="s">
        <v>31</v>
      </c>
      <c r="Q1267" s="4">
        <v>1</v>
      </c>
    </row>
    <row r="1268" spans="1:17" x14ac:dyDescent="0.55000000000000004">
      <c r="A1268" t="s">
        <v>2628</v>
      </c>
      <c r="C1268" t="s">
        <v>3545</v>
      </c>
      <c r="D1268" t="s">
        <v>3546</v>
      </c>
      <c r="E1268" t="s">
        <v>39</v>
      </c>
      <c r="F1268" t="s">
        <v>30</v>
      </c>
      <c r="G1268" t="s">
        <v>31</v>
      </c>
      <c r="H1268" t="s">
        <v>40</v>
      </c>
      <c r="I1268" t="s">
        <v>3217</v>
      </c>
      <c r="J1268" t="s">
        <v>3218</v>
      </c>
      <c r="K1268" t="s">
        <v>362</v>
      </c>
      <c r="L1268" t="s">
        <v>30</v>
      </c>
      <c r="M1268" t="s">
        <v>31</v>
      </c>
      <c r="Q1268" s="4">
        <v>1</v>
      </c>
    </row>
    <row r="1269" spans="1:17" x14ac:dyDescent="0.55000000000000004">
      <c r="A1269" t="s">
        <v>2629</v>
      </c>
      <c r="C1269" t="s">
        <v>3547</v>
      </c>
      <c r="D1269" t="s">
        <v>3548</v>
      </c>
      <c r="E1269" t="s">
        <v>39</v>
      </c>
      <c r="F1269" t="s">
        <v>30</v>
      </c>
      <c r="G1269" t="s">
        <v>31</v>
      </c>
      <c r="H1269" t="s">
        <v>40</v>
      </c>
      <c r="I1269" t="s">
        <v>3221</v>
      </c>
      <c r="J1269" t="s">
        <v>3222</v>
      </c>
      <c r="K1269" t="s">
        <v>362</v>
      </c>
      <c r="L1269" t="s">
        <v>30</v>
      </c>
      <c r="M1269" t="s">
        <v>31</v>
      </c>
      <c r="Q1269" s="4">
        <v>1</v>
      </c>
    </row>
    <row r="1270" spans="1:17" x14ac:dyDescent="0.55000000000000004">
      <c r="A1270" t="s">
        <v>2630</v>
      </c>
      <c r="C1270" t="s">
        <v>3549</v>
      </c>
      <c r="D1270" t="s">
        <v>3550</v>
      </c>
      <c r="E1270" t="s">
        <v>39</v>
      </c>
      <c r="F1270" t="s">
        <v>30</v>
      </c>
      <c r="G1270" t="s">
        <v>31</v>
      </c>
      <c r="H1270" t="s">
        <v>40</v>
      </c>
      <c r="I1270" t="s">
        <v>3225</v>
      </c>
      <c r="J1270" t="s">
        <v>3226</v>
      </c>
      <c r="K1270" t="s">
        <v>362</v>
      </c>
      <c r="L1270" t="s">
        <v>30</v>
      </c>
      <c r="M1270" t="s">
        <v>31</v>
      </c>
      <c r="Q1270" s="4">
        <v>1</v>
      </c>
    </row>
    <row r="1271" spans="1:17" x14ac:dyDescent="0.55000000000000004">
      <c r="A1271" t="s">
        <v>2631</v>
      </c>
      <c r="C1271" t="s">
        <v>3551</v>
      </c>
      <c r="D1271" t="s">
        <v>3552</v>
      </c>
      <c r="E1271" t="s">
        <v>39</v>
      </c>
      <c r="F1271" t="s">
        <v>30</v>
      </c>
      <c r="G1271" t="s">
        <v>31</v>
      </c>
      <c r="H1271" t="s">
        <v>40</v>
      </c>
      <c r="I1271" t="s">
        <v>3229</v>
      </c>
      <c r="J1271" t="s">
        <v>3230</v>
      </c>
      <c r="K1271" t="s">
        <v>362</v>
      </c>
      <c r="L1271" t="s">
        <v>30</v>
      </c>
      <c r="M1271" t="s">
        <v>31</v>
      </c>
      <c r="Q1271" s="4">
        <v>1</v>
      </c>
    </row>
    <row r="1272" spans="1:17" x14ac:dyDescent="0.55000000000000004">
      <c r="A1272" t="s">
        <v>2632</v>
      </c>
      <c r="C1272" t="s">
        <v>3553</v>
      </c>
      <c r="D1272" t="s">
        <v>3554</v>
      </c>
      <c r="E1272" t="s">
        <v>39</v>
      </c>
      <c r="F1272" t="s">
        <v>30</v>
      </c>
      <c r="G1272" t="s">
        <v>31</v>
      </c>
      <c r="H1272" t="s">
        <v>40</v>
      </c>
      <c r="I1272" t="s">
        <v>3233</v>
      </c>
      <c r="J1272" t="s">
        <v>3234</v>
      </c>
      <c r="K1272" t="s">
        <v>362</v>
      </c>
      <c r="L1272" t="s">
        <v>30</v>
      </c>
      <c r="M1272" t="s">
        <v>31</v>
      </c>
      <c r="Q1272" s="4">
        <v>1</v>
      </c>
    </row>
    <row r="1273" spans="1:17" x14ac:dyDescent="0.55000000000000004">
      <c r="A1273" t="s">
        <v>2633</v>
      </c>
      <c r="C1273" t="s">
        <v>3555</v>
      </c>
      <c r="D1273" t="s">
        <v>3556</v>
      </c>
      <c r="E1273" t="s">
        <v>39</v>
      </c>
      <c r="F1273" t="s">
        <v>30</v>
      </c>
      <c r="G1273" t="s">
        <v>31</v>
      </c>
      <c r="H1273" t="s">
        <v>40</v>
      </c>
      <c r="I1273" t="s">
        <v>3237</v>
      </c>
      <c r="J1273" t="s">
        <v>3238</v>
      </c>
      <c r="K1273" t="s">
        <v>362</v>
      </c>
      <c r="L1273" t="s">
        <v>30</v>
      </c>
      <c r="M1273" t="s">
        <v>31</v>
      </c>
      <c r="Q1273" s="4">
        <v>1</v>
      </c>
    </row>
    <row r="1274" spans="1:17" x14ac:dyDescent="0.55000000000000004">
      <c r="A1274" t="s">
        <v>2634</v>
      </c>
      <c r="C1274" t="s">
        <v>3557</v>
      </c>
      <c r="D1274" t="s">
        <v>3558</v>
      </c>
      <c r="E1274" t="s">
        <v>39</v>
      </c>
      <c r="F1274" t="s">
        <v>30</v>
      </c>
      <c r="G1274" t="s">
        <v>31</v>
      </c>
      <c r="H1274" t="s">
        <v>40</v>
      </c>
      <c r="I1274" t="s">
        <v>3241</v>
      </c>
      <c r="J1274" t="s">
        <v>3242</v>
      </c>
      <c r="K1274" t="s">
        <v>362</v>
      </c>
      <c r="L1274" t="s">
        <v>30</v>
      </c>
      <c r="M1274" t="s">
        <v>31</v>
      </c>
      <c r="Q1274" s="4">
        <v>1</v>
      </c>
    </row>
    <row r="1275" spans="1:17" x14ac:dyDescent="0.55000000000000004">
      <c r="A1275" t="s">
        <v>2635</v>
      </c>
      <c r="C1275" t="s">
        <v>3559</v>
      </c>
      <c r="D1275" t="s">
        <v>3560</v>
      </c>
      <c r="E1275" t="s">
        <v>39</v>
      </c>
      <c r="F1275" t="s">
        <v>30</v>
      </c>
      <c r="G1275" t="s">
        <v>31</v>
      </c>
      <c r="H1275" t="s">
        <v>40</v>
      </c>
      <c r="I1275" t="s">
        <v>3245</v>
      </c>
      <c r="J1275" t="s">
        <v>3246</v>
      </c>
      <c r="K1275" t="s">
        <v>362</v>
      </c>
      <c r="L1275" t="s">
        <v>30</v>
      </c>
      <c r="M1275" t="s">
        <v>31</v>
      </c>
      <c r="Q1275" s="4">
        <v>1</v>
      </c>
    </row>
    <row r="1276" spans="1:17" x14ac:dyDescent="0.55000000000000004">
      <c r="A1276" t="s">
        <v>2636</v>
      </c>
      <c r="C1276" t="s">
        <v>3561</v>
      </c>
      <c r="D1276" t="s">
        <v>3562</v>
      </c>
      <c r="E1276" t="s">
        <v>39</v>
      </c>
      <c r="F1276" t="s">
        <v>30</v>
      </c>
      <c r="G1276" t="s">
        <v>31</v>
      </c>
      <c r="H1276" t="s">
        <v>40</v>
      </c>
      <c r="I1276" t="s">
        <v>3249</v>
      </c>
      <c r="J1276" t="s">
        <v>3250</v>
      </c>
      <c r="K1276" t="s">
        <v>362</v>
      </c>
      <c r="L1276" t="s">
        <v>30</v>
      </c>
      <c r="M1276" t="s">
        <v>31</v>
      </c>
      <c r="Q1276" s="4">
        <v>1</v>
      </c>
    </row>
    <row r="1277" spans="1:17" x14ac:dyDescent="0.55000000000000004">
      <c r="A1277" t="s">
        <v>2637</v>
      </c>
      <c r="C1277" t="s">
        <v>3563</v>
      </c>
      <c r="D1277" t="s">
        <v>3564</v>
      </c>
      <c r="E1277" t="s">
        <v>39</v>
      </c>
      <c r="F1277" t="s">
        <v>30</v>
      </c>
      <c r="G1277" t="s">
        <v>31</v>
      </c>
      <c r="H1277" t="s">
        <v>40</v>
      </c>
      <c r="I1277" t="s">
        <v>3253</v>
      </c>
      <c r="J1277" t="s">
        <v>3254</v>
      </c>
      <c r="K1277" t="s">
        <v>362</v>
      </c>
      <c r="L1277" t="s">
        <v>30</v>
      </c>
      <c r="M1277" t="s">
        <v>31</v>
      </c>
      <c r="Q1277" s="4">
        <v>1</v>
      </c>
    </row>
    <row r="1278" spans="1:17" x14ac:dyDescent="0.55000000000000004">
      <c r="A1278" t="s">
        <v>2638</v>
      </c>
      <c r="C1278" t="s">
        <v>3565</v>
      </c>
      <c r="D1278" t="s">
        <v>3566</v>
      </c>
      <c r="E1278" t="s">
        <v>39</v>
      </c>
      <c r="F1278" t="s">
        <v>30</v>
      </c>
      <c r="G1278" t="s">
        <v>31</v>
      </c>
      <c r="H1278" t="s">
        <v>40</v>
      </c>
      <c r="I1278" t="s">
        <v>3257</v>
      </c>
      <c r="J1278" t="s">
        <v>3258</v>
      </c>
      <c r="K1278" t="s">
        <v>362</v>
      </c>
      <c r="L1278" t="s">
        <v>30</v>
      </c>
      <c r="M1278" t="s">
        <v>31</v>
      </c>
      <c r="Q1278" s="4">
        <v>1</v>
      </c>
    </row>
    <row r="1279" spans="1:17" x14ac:dyDescent="0.55000000000000004">
      <c r="A1279" t="s">
        <v>2639</v>
      </c>
      <c r="C1279" t="s">
        <v>3567</v>
      </c>
      <c r="D1279" t="s">
        <v>3568</v>
      </c>
      <c r="E1279" t="s">
        <v>39</v>
      </c>
      <c r="F1279" t="s">
        <v>30</v>
      </c>
      <c r="G1279" t="s">
        <v>31</v>
      </c>
      <c r="H1279" t="s">
        <v>40</v>
      </c>
      <c r="I1279" t="s">
        <v>3261</v>
      </c>
      <c r="J1279" t="s">
        <v>3262</v>
      </c>
      <c r="K1279" t="s">
        <v>362</v>
      </c>
      <c r="L1279" t="s">
        <v>30</v>
      </c>
      <c r="M1279" t="s">
        <v>31</v>
      </c>
      <c r="Q1279" s="4">
        <v>1</v>
      </c>
    </row>
    <row r="1280" spans="1:17" x14ac:dyDescent="0.55000000000000004">
      <c r="A1280" t="s">
        <v>2640</v>
      </c>
      <c r="C1280" t="s">
        <v>3569</v>
      </c>
      <c r="D1280" t="s">
        <v>3570</v>
      </c>
      <c r="E1280" t="s">
        <v>39</v>
      </c>
      <c r="F1280" t="s">
        <v>30</v>
      </c>
      <c r="G1280" t="s">
        <v>31</v>
      </c>
      <c r="H1280" t="s">
        <v>40</v>
      </c>
      <c r="I1280" t="s">
        <v>3265</v>
      </c>
      <c r="J1280" t="s">
        <v>3266</v>
      </c>
      <c r="K1280" t="s">
        <v>362</v>
      </c>
      <c r="L1280" t="s">
        <v>30</v>
      </c>
      <c r="M1280" t="s">
        <v>31</v>
      </c>
      <c r="Q1280" s="4">
        <v>1</v>
      </c>
    </row>
    <row r="1281" spans="1:17" x14ac:dyDescent="0.55000000000000004">
      <c r="A1281" t="s">
        <v>2641</v>
      </c>
      <c r="C1281" t="s">
        <v>3571</v>
      </c>
      <c r="D1281" t="s">
        <v>3572</v>
      </c>
      <c r="E1281" t="s">
        <v>39</v>
      </c>
      <c r="F1281" t="s">
        <v>30</v>
      </c>
      <c r="G1281" t="s">
        <v>31</v>
      </c>
      <c r="H1281" t="s">
        <v>40</v>
      </c>
      <c r="I1281" t="s">
        <v>3269</v>
      </c>
      <c r="J1281" t="s">
        <v>3270</v>
      </c>
      <c r="K1281" t="s">
        <v>362</v>
      </c>
      <c r="L1281" t="s">
        <v>30</v>
      </c>
      <c r="M1281" t="s">
        <v>31</v>
      </c>
      <c r="Q1281" s="4">
        <v>1</v>
      </c>
    </row>
    <row r="1282" spans="1:17" x14ac:dyDescent="0.55000000000000004">
      <c r="A1282" t="s">
        <v>2642</v>
      </c>
      <c r="C1282" t="s">
        <v>3573</v>
      </c>
      <c r="D1282" t="s">
        <v>3574</v>
      </c>
      <c r="E1282" t="s">
        <v>39</v>
      </c>
      <c r="F1282" t="s">
        <v>30</v>
      </c>
      <c r="G1282" t="s">
        <v>31</v>
      </c>
      <c r="H1282" t="s">
        <v>40</v>
      </c>
      <c r="I1282" t="s">
        <v>3273</v>
      </c>
      <c r="J1282" t="s">
        <v>3274</v>
      </c>
      <c r="K1282" t="s">
        <v>362</v>
      </c>
      <c r="L1282" t="s">
        <v>30</v>
      </c>
      <c r="M1282" t="s">
        <v>31</v>
      </c>
      <c r="Q1282" s="4">
        <v>1</v>
      </c>
    </row>
    <row r="1283" spans="1:17" x14ac:dyDescent="0.55000000000000004">
      <c r="A1283" t="s">
        <v>2643</v>
      </c>
      <c r="C1283" t="s">
        <v>3575</v>
      </c>
      <c r="D1283" t="s">
        <v>3576</v>
      </c>
      <c r="E1283" t="s">
        <v>39</v>
      </c>
      <c r="F1283" t="s">
        <v>30</v>
      </c>
      <c r="G1283" t="s">
        <v>31</v>
      </c>
      <c r="H1283" t="s">
        <v>40</v>
      </c>
      <c r="I1283" t="s">
        <v>3277</v>
      </c>
      <c r="J1283" t="s">
        <v>3278</v>
      </c>
      <c r="K1283" t="s">
        <v>362</v>
      </c>
      <c r="L1283" t="s">
        <v>30</v>
      </c>
      <c r="M1283" t="s">
        <v>31</v>
      </c>
      <c r="Q1283" s="4">
        <v>1</v>
      </c>
    </row>
    <row r="1284" spans="1:17" x14ac:dyDescent="0.55000000000000004">
      <c r="A1284" t="s">
        <v>2644</v>
      </c>
      <c r="C1284" t="s">
        <v>3577</v>
      </c>
      <c r="D1284" t="s">
        <v>3578</v>
      </c>
      <c r="E1284" t="s">
        <v>39</v>
      </c>
      <c r="F1284" t="s">
        <v>30</v>
      </c>
      <c r="G1284" t="s">
        <v>31</v>
      </c>
      <c r="H1284" t="s">
        <v>40</v>
      </c>
      <c r="I1284" t="s">
        <v>3281</v>
      </c>
      <c r="J1284" t="s">
        <v>3282</v>
      </c>
      <c r="K1284" t="s">
        <v>362</v>
      </c>
      <c r="L1284" t="s">
        <v>30</v>
      </c>
      <c r="M1284" t="s">
        <v>31</v>
      </c>
      <c r="Q1284" s="4">
        <v>1</v>
      </c>
    </row>
    <row r="1285" spans="1:17" x14ac:dyDescent="0.55000000000000004">
      <c r="A1285" t="s">
        <v>2645</v>
      </c>
      <c r="C1285" t="s">
        <v>3579</v>
      </c>
      <c r="D1285" t="s">
        <v>3580</v>
      </c>
      <c r="E1285" t="s">
        <v>39</v>
      </c>
      <c r="F1285" t="s">
        <v>30</v>
      </c>
      <c r="G1285" t="s">
        <v>31</v>
      </c>
      <c r="H1285" t="s">
        <v>40</v>
      </c>
      <c r="I1285" t="s">
        <v>3285</v>
      </c>
      <c r="J1285" t="s">
        <v>3286</v>
      </c>
      <c r="K1285" t="s">
        <v>362</v>
      </c>
      <c r="L1285" t="s">
        <v>30</v>
      </c>
      <c r="M1285" t="s">
        <v>31</v>
      </c>
      <c r="Q1285" s="4">
        <v>1</v>
      </c>
    </row>
    <row r="1286" spans="1:17" x14ac:dyDescent="0.55000000000000004">
      <c r="A1286" t="s">
        <v>2646</v>
      </c>
      <c r="C1286" t="s">
        <v>3581</v>
      </c>
      <c r="D1286" t="s">
        <v>3582</v>
      </c>
      <c r="E1286" t="s">
        <v>39</v>
      </c>
      <c r="F1286" t="s">
        <v>30</v>
      </c>
      <c r="G1286" t="s">
        <v>31</v>
      </c>
      <c r="H1286" t="s">
        <v>40</v>
      </c>
      <c r="I1286" t="s">
        <v>3289</v>
      </c>
      <c r="J1286" t="s">
        <v>3290</v>
      </c>
      <c r="K1286" t="s">
        <v>362</v>
      </c>
      <c r="L1286" t="s">
        <v>30</v>
      </c>
      <c r="M1286" t="s">
        <v>31</v>
      </c>
      <c r="Q1286" s="4">
        <v>1</v>
      </c>
    </row>
    <row r="1287" spans="1:17" x14ac:dyDescent="0.55000000000000004">
      <c r="A1287" t="s">
        <v>2647</v>
      </c>
      <c r="C1287" t="s">
        <v>3583</v>
      </c>
      <c r="D1287" t="s">
        <v>3584</v>
      </c>
      <c r="E1287" t="s">
        <v>39</v>
      </c>
      <c r="F1287" t="s">
        <v>30</v>
      </c>
      <c r="G1287" t="s">
        <v>31</v>
      </c>
      <c r="H1287" t="s">
        <v>40</v>
      </c>
      <c r="I1287" t="s">
        <v>3293</v>
      </c>
      <c r="J1287" t="s">
        <v>3294</v>
      </c>
      <c r="K1287" t="s">
        <v>362</v>
      </c>
      <c r="L1287" t="s">
        <v>30</v>
      </c>
      <c r="M1287" t="s">
        <v>31</v>
      </c>
      <c r="Q1287" s="4">
        <v>1</v>
      </c>
    </row>
    <row r="1288" spans="1:17" x14ac:dyDescent="0.55000000000000004">
      <c r="A1288" t="s">
        <v>2648</v>
      </c>
      <c r="C1288" t="s">
        <v>3585</v>
      </c>
      <c r="D1288" t="s">
        <v>3586</v>
      </c>
      <c r="E1288" t="s">
        <v>39</v>
      </c>
      <c r="F1288" t="s">
        <v>30</v>
      </c>
      <c r="G1288" t="s">
        <v>31</v>
      </c>
      <c r="H1288" t="s">
        <v>40</v>
      </c>
      <c r="I1288" t="s">
        <v>3297</v>
      </c>
      <c r="J1288" t="s">
        <v>3298</v>
      </c>
      <c r="K1288" t="s">
        <v>362</v>
      </c>
      <c r="L1288" t="s">
        <v>30</v>
      </c>
      <c r="M1288" t="s">
        <v>31</v>
      </c>
      <c r="Q1288" s="4">
        <v>1</v>
      </c>
    </row>
    <row r="1289" spans="1:17" x14ac:dyDescent="0.55000000000000004">
      <c r="A1289" t="s">
        <v>2649</v>
      </c>
      <c r="C1289" t="s">
        <v>3587</v>
      </c>
      <c r="D1289" t="s">
        <v>3588</v>
      </c>
      <c r="E1289" t="s">
        <v>39</v>
      </c>
      <c r="F1289" t="s">
        <v>30</v>
      </c>
      <c r="G1289" t="s">
        <v>31</v>
      </c>
      <c r="H1289" t="s">
        <v>40</v>
      </c>
      <c r="I1289" t="s">
        <v>3301</v>
      </c>
      <c r="J1289" t="s">
        <v>3302</v>
      </c>
      <c r="K1289" t="s">
        <v>362</v>
      </c>
      <c r="L1289" t="s">
        <v>30</v>
      </c>
      <c r="M1289" t="s">
        <v>31</v>
      </c>
      <c r="Q1289" s="4">
        <v>1</v>
      </c>
    </row>
    <row r="1290" spans="1:17" x14ac:dyDescent="0.55000000000000004">
      <c r="A1290" t="s">
        <v>2650</v>
      </c>
      <c r="C1290" t="s">
        <v>3589</v>
      </c>
      <c r="D1290" t="s">
        <v>3590</v>
      </c>
      <c r="E1290" t="s">
        <v>39</v>
      </c>
      <c r="F1290" t="s">
        <v>30</v>
      </c>
      <c r="G1290" t="s">
        <v>31</v>
      </c>
      <c r="H1290" t="s">
        <v>40</v>
      </c>
      <c r="I1290" t="s">
        <v>3305</v>
      </c>
      <c r="J1290" t="s">
        <v>3306</v>
      </c>
      <c r="K1290" t="s">
        <v>362</v>
      </c>
      <c r="L1290" t="s">
        <v>30</v>
      </c>
      <c r="M1290" t="s">
        <v>31</v>
      </c>
      <c r="Q1290" s="4">
        <v>1</v>
      </c>
    </row>
    <row r="1291" spans="1:17" x14ac:dyDescent="0.55000000000000004">
      <c r="A1291" t="s">
        <v>2651</v>
      </c>
      <c r="C1291" t="s">
        <v>3591</v>
      </c>
      <c r="D1291" t="s">
        <v>3592</v>
      </c>
      <c r="E1291" t="s">
        <v>39</v>
      </c>
      <c r="F1291" t="s">
        <v>30</v>
      </c>
      <c r="G1291" t="s">
        <v>31</v>
      </c>
      <c r="H1291" t="s">
        <v>40</v>
      </c>
      <c r="I1291" t="s">
        <v>3309</v>
      </c>
      <c r="J1291" t="s">
        <v>3310</v>
      </c>
      <c r="K1291" t="s">
        <v>362</v>
      </c>
      <c r="L1291" t="s">
        <v>30</v>
      </c>
      <c r="M1291" t="s">
        <v>31</v>
      </c>
      <c r="Q1291" s="4">
        <v>1</v>
      </c>
    </row>
    <row r="1292" spans="1:17" x14ac:dyDescent="0.55000000000000004">
      <c r="A1292" t="s">
        <v>2652</v>
      </c>
      <c r="C1292" t="s">
        <v>3593</v>
      </c>
      <c r="D1292" t="s">
        <v>3594</v>
      </c>
      <c r="E1292" t="s">
        <v>39</v>
      </c>
      <c r="F1292" t="s">
        <v>30</v>
      </c>
      <c r="G1292" t="s">
        <v>31</v>
      </c>
      <c r="H1292" t="s">
        <v>40</v>
      </c>
      <c r="I1292" t="s">
        <v>3313</v>
      </c>
      <c r="J1292" t="s">
        <v>3314</v>
      </c>
      <c r="K1292" t="s">
        <v>362</v>
      </c>
      <c r="L1292" t="s">
        <v>30</v>
      </c>
      <c r="M1292" t="s">
        <v>31</v>
      </c>
      <c r="Q1292" s="4">
        <v>1</v>
      </c>
    </row>
    <row r="1293" spans="1:17" x14ac:dyDescent="0.55000000000000004">
      <c r="A1293" t="s">
        <v>2653</v>
      </c>
      <c r="C1293" t="s">
        <v>3595</v>
      </c>
      <c r="D1293" t="s">
        <v>3596</v>
      </c>
      <c r="E1293" t="s">
        <v>39</v>
      </c>
      <c r="F1293" t="s">
        <v>30</v>
      </c>
      <c r="G1293" t="s">
        <v>31</v>
      </c>
      <c r="H1293" t="s">
        <v>40</v>
      </c>
      <c r="I1293" t="s">
        <v>3317</v>
      </c>
      <c r="J1293" t="s">
        <v>3318</v>
      </c>
      <c r="K1293" t="s">
        <v>362</v>
      </c>
      <c r="L1293" t="s">
        <v>30</v>
      </c>
      <c r="M1293" t="s">
        <v>31</v>
      </c>
      <c r="Q1293" s="4">
        <v>1</v>
      </c>
    </row>
    <row r="1294" spans="1:17" x14ac:dyDescent="0.55000000000000004">
      <c r="A1294" t="s">
        <v>2654</v>
      </c>
      <c r="C1294" t="s">
        <v>3597</v>
      </c>
      <c r="D1294" t="s">
        <v>3598</v>
      </c>
      <c r="E1294" t="s">
        <v>39</v>
      </c>
      <c r="F1294" t="s">
        <v>30</v>
      </c>
      <c r="G1294" t="s">
        <v>31</v>
      </c>
      <c r="H1294" t="s">
        <v>40</v>
      </c>
      <c r="I1294" t="s">
        <v>3321</v>
      </c>
      <c r="J1294" t="s">
        <v>3322</v>
      </c>
      <c r="K1294" t="s">
        <v>362</v>
      </c>
      <c r="L1294" t="s">
        <v>30</v>
      </c>
      <c r="M1294" t="s">
        <v>31</v>
      </c>
      <c r="Q1294" s="4">
        <v>1</v>
      </c>
    </row>
    <row r="1295" spans="1:17" x14ac:dyDescent="0.55000000000000004">
      <c r="A1295" t="s">
        <v>2655</v>
      </c>
      <c r="C1295" t="s">
        <v>3599</v>
      </c>
      <c r="D1295" t="s">
        <v>3600</v>
      </c>
      <c r="E1295" t="s">
        <v>39</v>
      </c>
      <c r="F1295" t="s">
        <v>30</v>
      </c>
      <c r="G1295" t="s">
        <v>31</v>
      </c>
      <c r="H1295" t="s">
        <v>40</v>
      </c>
      <c r="I1295" t="s">
        <v>3325</v>
      </c>
      <c r="J1295" t="s">
        <v>3326</v>
      </c>
      <c r="K1295" t="s">
        <v>362</v>
      </c>
      <c r="L1295" t="s">
        <v>30</v>
      </c>
      <c r="M1295" t="s">
        <v>31</v>
      </c>
      <c r="Q1295" s="4">
        <v>1</v>
      </c>
    </row>
    <row r="1296" spans="1:17" x14ac:dyDescent="0.55000000000000004">
      <c r="A1296" t="s">
        <v>2656</v>
      </c>
      <c r="C1296" t="s">
        <v>3601</v>
      </c>
      <c r="D1296" t="s">
        <v>3602</v>
      </c>
      <c r="E1296" t="s">
        <v>39</v>
      </c>
      <c r="F1296" t="s">
        <v>30</v>
      </c>
      <c r="G1296" t="s">
        <v>31</v>
      </c>
      <c r="H1296" t="s">
        <v>40</v>
      </c>
      <c r="I1296" t="s">
        <v>3329</v>
      </c>
      <c r="J1296" t="s">
        <v>3330</v>
      </c>
      <c r="K1296" t="s">
        <v>362</v>
      </c>
      <c r="L1296" t="s">
        <v>30</v>
      </c>
      <c r="M1296" t="s">
        <v>31</v>
      </c>
      <c r="Q1296" s="4">
        <v>1</v>
      </c>
    </row>
    <row r="1297" spans="1:17" x14ac:dyDescent="0.55000000000000004">
      <c r="A1297" t="s">
        <v>2657</v>
      </c>
      <c r="C1297" t="s">
        <v>3603</v>
      </c>
      <c r="D1297" t="s">
        <v>3604</v>
      </c>
      <c r="E1297" t="s">
        <v>39</v>
      </c>
      <c r="F1297" t="s">
        <v>30</v>
      </c>
      <c r="G1297" t="s">
        <v>31</v>
      </c>
      <c r="H1297" t="s">
        <v>40</v>
      </c>
      <c r="I1297" t="s">
        <v>3333</v>
      </c>
      <c r="J1297" t="s">
        <v>3334</v>
      </c>
      <c r="K1297" t="s">
        <v>362</v>
      </c>
      <c r="L1297" t="s">
        <v>30</v>
      </c>
      <c r="M1297" t="s">
        <v>31</v>
      </c>
      <c r="Q1297" s="4">
        <v>1</v>
      </c>
    </row>
    <row r="1298" spans="1:17" x14ac:dyDescent="0.55000000000000004">
      <c r="A1298" t="s">
        <v>2658</v>
      </c>
      <c r="C1298" t="s">
        <v>3605</v>
      </c>
      <c r="D1298" t="s">
        <v>3606</v>
      </c>
      <c r="E1298" t="s">
        <v>39</v>
      </c>
      <c r="F1298" t="s">
        <v>30</v>
      </c>
      <c r="G1298" t="s">
        <v>31</v>
      </c>
      <c r="H1298" t="s">
        <v>40</v>
      </c>
      <c r="I1298" t="s">
        <v>3337</v>
      </c>
      <c r="J1298" t="s">
        <v>3338</v>
      </c>
      <c r="K1298" t="s">
        <v>362</v>
      </c>
      <c r="L1298" t="s">
        <v>30</v>
      </c>
      <c r="M1298" t="s">
        <v>31</v>
      </c>
      <c r="Q1298" s="4">
        <v>1</v>
      </c>
    </row>
    <row r="1299" spans="1:17" x14ac:dyDescent="0.55000000000000004">
      <c r="A1299" t="s">
        <v>2659</v>
      </c>
      <c r="C1299" t="s">
        <v>3607</v>
      </c>
      <c r="D1299" t="s">
        <v>3608</v>
      </c>
      <c r="E1299" t="s">
        <v>39</v>
      </c>
      <c r="F1299" t="s">
        <v>30</v>
      </c>
      <c r="G1299" t="s">
        <v>31</v>
      </c>
      <c r="H1299" t="s">
        <v>40</v>
      </c>
      <c r="I1299" t="s">
        <v>3341</v>
      </c>
      <c r="J1299" t="s">
        <v>3342</v>
      </c>
      <c r="K1299" t="s">
        <v>362</v>
      </c>
      <c r="L1299" t="s">
        <v>30</v>
      </c>
      <c r="M1299" t="s">
        <v>31</v>
      </c>
      <c r="Q1299" s="4">
        <v>1</v>
      </c>
    </row>
    <row r="1300" spans="1:17" x14ac:dyDescent="0.55000000000000004">
      <c r="A1300" t="s">
        <v>2660</v>
      </c>
      <c r="C1300" t="s">
        <v>3609</v>
      </c>
      <c r="D1300" t="s">
        <v>3610</v>
      </c>
      <c r="E1300" t="s">
        <v>39</v>
      </c>
      <c r="F1300" t="s">
        <v>30</v>
      </c>
      <c r="G1300" t="s">
        <v>31</v>
      </c>
      <c r="H1300" t="s">
        <v>40</v>
      </c>
      <c r="I1300" t="s">
        <v>3345</v>
      </c>
      <c r="J1300" t="s">
        <v>3346</v>
      </c>
      <c r="K1300" t="s">
        <v>362</v>
      </c>
      <c r="L1300" t="s">
        <v>30</v>
      </c>
      <c r="M1300" t="s">
        <v>31</v>
      </c>
      <c r="Q1300" s="4">
        <v>1</v>
      </c>
    </row>
    <row r="1301" spans="1:17" x14ac:dyDescent="0.55000000000000004">
      <c r="A1301" t="s">
        <v>2661</v>
      </c>
      <c r="C1301" t="s">
        <v>3611</v>
      </c>
      <c r="D1301" t="s">
        <v>3612</v>
      </c>
      <c r="E1301" t="s">
        <v>39</v>
      </c>
      <c r="F1301" t="s">
        <v>30</v>
      </c>
      <c r="G1301" t="s">
        <v>31</v>
      </c>
      <c r="H1301" t="s">
        <v>40</v>
      </c>
      <c r="I1301" t="s">
        <v>3349</v>
      </c>
      <c r="J1301" t="s">
        <v>3350</v>
      </c>
      <c r="K1301" t="s">
        <v>362</v>
      </c>
      <c r="L1301" t="s">
        <v>30</v>
      </c>
      <c r="M1301" t="s">
        <v>31</v>
      </c>
      <c r="Q1301" s="4">
        <v>1</v>
      </c>
    </row>
    <row r="1302" spans="1:17" x14ac:dyDescent="0.55000000000000004">
      <c r="A1302" t="s">
        <v>2662</v>
      </c>
      <c r="C1302" t="s">
        <v>3613</v>
      </c>
      <c r="D1302" t="s">
        <v>3614</v>
      </c>
      <c r="E1302" t="s">
        <v>39</v>
      </c>
      <c r="F1302" t="s">
        <v>30</v>
      </c>
      <c r="G1302" t="s">
        <v>31</v>
      </c>
      <c r="H1302" t="s">
        <v>40</v>
      </c>
      <c r="I1302" t="s">
        <v>3353</v>
      </c>
      <c r="J1302" t="s">
        <v>3354</v>
      </c>
      <c r="K1302" t="s">
        <v>362</v>
      </c>
      <c r="L1302" t="s">
        <v>30</v>
      </c>
      <c r="M1302" t="s">
        <v>31</v>
      </c>
      <c r="Q1302" s="4">
        <v>1</v>
      </c>
    </row>
    <row r="1303" spans="1:17" x14ac:dyDescent="0.55000000000000004">
      <c r="A1303" t="s">
        <v>2663</v>
      </c>
      <c r="C1303" t="s">
        <v>3615</v>
      </c>
      <c r="D1303" t="s">
        <v>3616</v>
      </c>
      <c r="E1303" t="s">
        <v>39</v>
      </c>
      <c r="F1303" t="s">
        <v>30</v>
      </c>
      <c r="G1303" t="s">
        <v>31</v>
      </c>
      <c r="H1303" t="s">
        <v>40</v>
      </c>
      <c r="I1303" t="s">
        <v>3357</v>
      </c>
      <c r="J1303" t="s">
        <v>3358</v>
      </c>
      <c r="K1303" t="s">
        <v>362</v>
      </c>
      <c r="L1303" t="s">
        <v>30</v>
      </c>
      <c r="M1303" t="s">
        <v>31</v>
      </c>
      <c r="Q1303" s="4">
        <v>1</v>
      </c>
    </row>
    <row r="1304" spans="1:17" x14ac:dyDescent="0.55000000000000004">
      <c r="A1304" t="s">
        <v>2664</v>
      </c>
      <c r="C1304" t="s">
        <v>3617</v>
      </c>
      <c r="D1304" t="s">
        <v>3618</v>
      </c>
      <c r="E1304" t="s">
        <v>39</v>
      </c>
      <c r="F1304" t="s">
        <v>30</v>
      </c>
      <c r="G1304" t="s">
        <v>31</v>
      </c>
      <c r="H1304" t="s">
        <v>40</v>
      </c>
      <c r="I1304" t="s">
        <v>3361</v>
      </c>
      <c r="J1304" t="s">
        <v>3362</v>
      </c>
      <c r="K1304" t="s">
        <v>362</v>
      </c>
      <c r="L1304" t="s">
        <v>30</v>
      </c>
      <c r="M1304" t="s">
        <v>31</v>
      </c>
      <c r="Q1304" s="4">
        <v>1</v>
      </c>
    </row>
    <row r="1305" spans="1:17" x14ac:dyDescent="0.55000000000000004">
      <c r="A1305" t="s">
        <v>2665</v>
      </c>
      <c r="C1305" t="s">
        <v>3619</v>
      </c>
      <c r="D1305" t="s">
        <v>3620</v>
      </c>
      <c r="E1305" t="s">
        <v>39</v>
      </c>
      <c r="F1305" t="s">
        <v>30</v>
      </c>
      <c r="G1305" t="s">
        <v>31</v>
      </c>
      <c r="H1305" t="s">
        <v>40</v>
      </c>
      <c r="I1305" t="s">
        <v>3365</v>
      </c>
      <c r="J1305" t="s">
        <v>3366</v>
      </c>
      <c r="K1305" t="s">
        <v>362</v>
      </c>
      <c r="L1305" t="s">
        <v>30</v>
      </c>
      <c r="M1305" t="s">
        <v>31</v>
      </c>
      <c r="Q1305" s="4">
        <v>1</v>
      </c>
    </row>
    <row r="1306" spans="1:17" x14ac:dyDescent="0.55000000000000004">
      <c r="A1306" t="s">
        <v>2666</v>
      </c>
      <c r="C1306" t="s">
        <v>3621</v>
      </c>
      <c r="D1306" t="s">
        <v>3622</v>
      </c>
      <c r="E1306" t="s">
        <v>39</v>
      </c>
      <c r="F1306" t="s">
        <v>30</v>
      </c>
      <c r="G1306" t="s">
        <v>31</v>
      </c>
      <c r="H1306" t="s">
        <v>40</v>
      </c>
      <c r="I1306" t="s">
        <v>3369</v>
      </c>
      <c r="J1306" t="s">
        <v>3370</v>
      </c>
      <c r="K1306" t="s">
        <v>362</v>
      </c>
      <c r="L1306" t="s">
        <v>30</v>
      </c>
      <c r="M1306" t="s">
        <v>31</v>
      </c>
      <c r="Q1306" s="4">
        <v>1</v>
      </c>
    </row>
    <row r="1307" spans="1:17" x14ac:dyDescent="0.55000000000000004">
      <c r="A1307" t="s">
        <v>3783</v>
      </c>
      <c r="C1307" t="s">
        <v>3623</v>
      </c>
      <c r="D1307" t="s">
        <v>3624</v>
      </c>
      <c r="E1307" t="s">
        <v>39</v>
      </c>
      <c r="F1307" t="s">
        <v>30</v>
      </c>
      <c r="G1307" t="s">
        <v>31</v>
      </c>
      <c r="H1307" t="s">
        <v>40</v>
      </c>
      <c r="I1307" t="s">
        <v>3373</v>
      </c>
      <c r="J1307" t="s">
        <v>3374</v>
      </c>
      <c r="K1307" t="s">
        <v>362</v>
      </c>
      <c r="L1307" t="s">
        <v>30</v>
      </c>
      <c r="M1307" t="s">
        <v>31</v>
      </c>
      <c r="Q1307" s="4">
        <v>1</v>
      </c>
    </row>
    <row r="1308" spans="1:17" x14ac:dyDescent="0.55000000000000004">
      <c r="A1308" t="s">
        <v>3784</v>
      </c>
      <c r="C1308" t="s">
        <v>3625</v>
      </c>
      <c r="D1308" t="s">
        <v>3626</v>
      </c>
      <c r="E1308" t="s">
        <v>39</v>
      </c>
      <c r="F1308" t="s">
        <v>30</v>
      </c>
      <c r="G1308" t="s">
        <v>31</v>
      </c>
      <c r="H1308" t="s">
        <v>40</v>
      </c>
      <c r="I1308" t="s">
        <v>3377</v>
      </c>
      <c r="J1308" t="s">
        <v>3378</v>
      </c>
      <c r="K1308" t="s">
        <v>362</v>
      </c>
      <c r="L1308" t="s">
        <v>30</v>
      </c>
      <c r="M1308" t="s">
        <v>31</v>
      </c>
      <c r="Q1308" s="4">
        <v>1</v>
      </c>
    </row>
    <row r="1309" spans="1:17" x14ac:dyDescent="0.55000000000000004">
      <c r="A1309" t="s">
        <v>3785</v>
      </c>
      <c r="C1309" t="s">
        <v>3627</v>
      </c>
      <c r="D1309" t="s">
        <v>3628</v>
      </c>
      <c r="E1309" t="s">
        <v>39</v>
      </c>
      <c r="F1309" t="s">
        <v>30</v>
      </c>
      <c r="G1309" t="s">
        <v>31</v>
      </c>
      <c r="H1309" t="s">
        <v>40</v>
      </c>
      <c r="I1309" t="s">
        <v>3381</v>
      </c>
      <c r="J1309" t="s">
        <v>3382</v>
      </c>
      <c r="K1309" t="s">
        <v>362</v>
      </c>
      <c r="L1309" t="s">
        <v>30</v>
      </c>
      <c r="M1309" t="s">
        <v>31</v>
      </c>
      <c r="Q1309" s="4">
        <v>1</v>
      </c>
    </row>
    <row r="1310" spans="1:17" x14ac:dyDescent="0.55000000000000004">
      <c r="A1310" t="s">
        <v>3786</v>
      </c>
      <c r="C1310" t="s">
        <v>3629</v>
      </c>
      <c r="D1310" t="s">
        <v>3630</v>
      </c>
      <c r="E1310" t="s">
        <v>39</v>
      </c>
      <c r="F1310" t="s">
        <v>30</v>
      </c>
      <c r="G1310" t="s">
        <v>31</v>
      </c>
      <c r="H1310" t="s">
        <v>40</v>
      </c>
      <c r="I1310" t="s">
        <v>3385</v>
      </c>
      <c r="J1310" t="s">
        <v>3386</v>
      </c>
      <c r="K1310" t="s">
        <v>362</v>
      </c>
      <c r="L1310" t="s">
        <v>30</v>
      </c>
      <c r="M1310" t="s">
        <v>31</v>
      </c>
      <c r="Q1310" s="4">
        <v>1</v>
      </c>
    </row>
    <row r="1311" spans="1:17" x14ac:dyDescent="0.55000000000000004">
      <c r="A1311" t="s">
        <v>3787</v>
      </c>
      <c r="C1311" t="s">
        <v>3631</v>
      </c>
      <c r="D1311" t="s">
        <v>3632</v>
      </c>
      <c r="E1311" t="s">
        <v>39</v>
      </c>
      <c r="F1311" t="s">
        <v>30</v>
      </c>
      <c r="G1311" t="s">
        <v>31</v>
      </c>
      <c r="H1311" t="s">
        <v>40</v>
      </c>
      <c r="I1311" t="s">
        <v>3389</v>
      </c>
      <c r="J1311" t="s">
        <v>3390</v>
      </c>
      <c r="K1311" t="s">
        <v>362</v>
      </c>
      <c r="L1311" t="s">
        <v>30</v>
      </c>
      <c r="M1311" t="s">
        <v>31</v>
      </c>
      <c r="Q1311" s="4">
        <v>1</v>
      </c>
    </row>
    <row r="1312" spans="1:17" s="16" customFormat="1" ht="18.5" thickBot="1" x14ac:dyDescent="0.6">
      <c r="A1312" s="16" t="s">
        <v>3788</v>
      </c>
      <c r="C1312" s="16" t="s">
        <v>3633</v>
      </c>
      <c r="D1312" s="16" t="s">
        <v>3634</v>
      </c>
      <c r="E1312" s="16" t="s">
        <v>39</v>
      </c>
      <c r="F1312" s="16" t="s">
        <v>30</v>
      </c>
      <c r="G1312" s="16" t="s">
        <v>31</v>
      </c>
      <c r="H1312" s="16" t="s">
        <v>40</v>
      </c>
      <c r="I1312" s="16" t="s">
        <v>3393</v>
      </c>
      <c r="J1312" s="16" t="s">
        <v>3394</v>
      </c>
      <c r="K1312" s="16" t="s">
        <v>362</v>
      </c>
      <c r="L1312" s="16" t="s">
        <v>30</v>
      </c>
      <c r="M1312" s="16" t="s">
        <v>31</v>
      </c>
      <c r="Q1312" s="18">
        <v>1</v>
      </c>
    </row>
    <row r="1313" spans="1:17" x14ac:dyDescent="0.55000000000000004">
      <c r="A1313" t="s">
        <v>3789</v>
      </c>
      <c r="C1313" t="s">
        <v>2956</v>
      </c>
      <c r="D1313" t="s">
        <v>2957</v>
      </c>
      <c r="E1313" t="s">
        <v>39</v>
      </c>
      <c r="F1313" t="s">
        <v>30</v>
      </c>
      <c r="G1313" t="s">
        <v>31</v>
      </c>
      <c r="H1313" t="s">
        <v>4005</v>
      </c>
      <c r="I1313" t="s">
        <v>2670</v>
      </c>
      <c r="J1313" t="s">
        <v>2671</v>
      </c>
      <c r="K1313" t="s">
        <v>39</v>
      </c>
      <c r="L1313" t="s">
        <v>30</v>
      </c>
      <c r="M1313" t="s">
        <v>31</v>
      </c>
      <c r="N1313" t="s">
        <v>991</v>
      </c>
      <c r="Q1313" s="4">
        <v>1</v>
      </c>
    </row>
    <row r="1314" spans="1:17" x14ac:dyDescent="0.55000000000000004">
      <c r="A1314" t="s">
        <v>3790</v>
      </c>
      <c r="C1314" t="s">
        <v>2958</v>
      </c>
      <c r="D1314" t="s">
        <v>2959</v>
      </c>
      <c r="E1314" t="s">
        <v>39</v>
      </c>
      <c r="F1314" t="s">
        <v>30</v>
      </c>
      <c r="G1314" t="s">
        <v>31</v>
      </c>
      <c r="H1314" t="s">
        <v>40</v>
      </c>
      <c r="I1314" t="s">
        <v>2674</v>
      </c>
      <c r="J1314" t="s">
        <v>2675</v>
      </c>
      <c r="K1314" t="s">
        <v>39</v>
      </c>
      <c r="L1314" t="s">
        <v>30</v>
      </c>
      <c r="M1314" t="s">
        <v>31</v>
      </c>
      <c r="N1314" t="s">
        <v>991</v>
      </c>
      <c r="Q1314" s="4">
        <v>1</v>
      </c>
    </row>
    <row r="1315" spans="1:17" x14ac:dyDescent="0.55000000000000004">
      <c r="A1315" t="s">
        <v>3791</v>
      </c>
      <c r="C1315" t="s">
        <v>2960</v>
      </c>
      <c r="D1315" t="s">
        <v>2961</v>
      </c>
      <c r="E1315" t="s">
        <v>39</v>
      </c>
      <c r="F1315" t="s">
        <v>30</v>
      </c>
      <c r="G1315" t="s">
        <v>31</v>
      </c>
      <c r="H1315" t="s">
        <v>40</v>
      </c>
      <c r="I1315" t="s">
        <v>2678</v>
      </c>
      <c r="J1315" t="s">
        <v>2679</v>
      </c>
      <c r="K1315" t="s">
        <v>39</v>
      </c>
      <c r="L1315" t="s">
        <v>30</v>
      </c>
      <c r="M1315" t="s">
        <v>31</v>
      </c>
      <c r="N1315" t="s">
        <v>991</v>
      </c>
      <c r="Q1315" s="4">
        <v>1</v>
      </c>
    </row>
    <row r="1316" spans="1:17" x14ac:dyDescent="0.55000000000000004">
      <c r="A1316" t="s">
        <v>3792</v>
      </c>
      <c r="C1316" t="s">
        <v>2962</v>
      </c>
      <c r="D1316" t="s">
        <v>2963</v>
      </c>
      <c r="E1316" t="s">
        <v>39</v>
      </c>
      <c r="F1316" t="s">
        <v>30</v>
      </c>
      <c r="G1316" t="s">
        <v>31</v>
      </c>
      <c r="H1316" t="s">
        <v>40</v>
      </c>
      <c r="I1316" t="s">
        <v>2682</v>
      </c>
      <c r="J1316" t="s">
        <v>2683</v>
      </c>
      <c r="K1316" t="s">
        <v>39</v>
      </c>
      <c r="L1316" t="s">
        <v>30</v>
      </c>
      <c r="M1316" t="s">
        <v>31</v>
      </c>
      <c r="N1316" t="s">
        <v>991</v>
      </c>
      <c r="Q1316" s="4">
        <v>1</v>
      </c>
    </row>
    <row r="1317" spans="1:17" x14ac:dyDescent="0.55000000000000004">
      <c r="A1317" t="s">
        <v>3793</v>
      </c>
      <c r="C1317" t="s">
        <v>2964</v>
      </c>
      <c r="D1317" t="s">
        <v>2965</v>
      </c>
      <c r="E1317" t="s">
        <v>39</v>
      </c>
      <c r="F1317" t="s">
        <v>30</v>
      </c>
      <c r="G1317" t="s">
        <v>31</v>
      </c>
      <c r="H1317" t="s">
        <v>40</v>
      </c>
      <c r="I1317" t="s">
        <v>2686</v>
      </c>
      <c r="J1317" t="s">
        <v>2687</v>
      </c>
      <c r="K1317" t="s">
        <v>39</v>
      </c>
      <c r="L1317" t="s">
        <v>30</v>
      </c>
      <c r="M1317" t="s">
        <v>31</v>
      </c>
      <c r="N1317" t="s">
        <v>991</v>
      </c>
      <c r="Q1317" s="4">
        <v>1</v>
      </c>
    </row>
    <row r="1318" spans="1:17" x14ac:dyDescent="0.55000000000000004">
      <c r="A1318" t="s">
        <v>4637</v>
      </c>
      <c r="C1318" t="s">
        <v>2966</v>
      </c>
      <c r="D1318" t="s">
        <v>2967</v>
      </c>
      <c r="E1318" t="s">
        <v>39</v>
      </c>
      <c r="F1318" t="s">
        <v>30</v>
      </c>
      <c r="G1318" t="s">
        <v>31</v>
      </c>
      <c r="H1318" t="s">
        <v>40</v>
      </c>
      <c r="I1318" t="s">
        <v>2690</v>
      </c>
      <c r="J1318" t="s">
        <v>2691</v>
      </c>
      <c r="K1318" t="s">
        <v>39</v>
      </c>
      <c r="L1318" t="s">
        <v>30</v>
      </c>
      <c r="M1318" t="s">
        <v>31</v>
      </c>
      <c r="N1318" t="s">
        <v>991</v>
      </c>
      <c r="Q1318" s="4">
        <v>1</v>
      </c>
    </row>
    <row r="1319" spans="1:17" x14ac:dyDescent="0.55000000000000004">
      <c r="A1319" t="s">
        <v>4638</v>
      </c>
      <c r="C1319" t="s">
        <v>2968</v>
      </c>
      <c r="D1319" t="s">
        <v>2969</v>
      </c>
      <c r="E1319" t="s">
        <v>39</v>
      </c>
      <c r="F1319" t="s">
        <v>30</v>
      </c>
      <c r="G1319" t="s">
        <v>31</v>
      </c>
      <c r="H1319" t="s">
        <v>40</v>
      </c>
      <c r="I1319" t="s">
        <v>2694</v>
      </c>
      <c r="J1319" t="s">
        <v>2695</v>
      </c>
      <c r="K1319" t="s">
        <v>39</v>
      </c>
      <c r="L1319" t="s">
        <v>30</v>
      </c>
      <c r="M1319" t="s">
        <v>31</v>
      </c>
      <c r="N1319" t="s">
        <v>991</v>
      </c>
      <c r="Q1319" s="4">
        <v>1</v>
      </c>
    </row>
    <row r="1320" spans="1:17" x14ac:dyDescent="0.55000000000000004">
      <c r="A1320" t="s">
        <v>4639</v>
      </c>
      <c r="C1320" t="s">
        <v>2970</v>
      </c>
      <c r="D1320" t="s">
        <v>2971</v>
      </c>
      <c r="E1320" t="s">
        <v>39</v>
      </c>
      <c r="F1320" t="s">
        <v>30</v>
      </c>
      <c r="G1320" t="s">
        <v>31</v>
      </c>
      <c r="H1320" t="s">
        <v>40</v>
      </c>
      <c r="I1320" t="s">
        <v>2698</v>
      </c>
      <c r="J1320" t="s">
        <v>2699</v>
      </c>
      <c r="K1320" t="s">
        <v>39</v>
      </c>
      <c r="L1320" t="s">
        <v>30</v>
      </c>
      <c r="M1320" t="s">
        <v>31</v>
      </c>
      <c r="N1320" t="s">
        <v>991</v>
      </c>
      <c r="Q1320" s="4">
        <v>1</v>
      </c>
    </row>
    <row r="1321" spans="1:17" x14ac:dyDescent="0.55000000000000004">
      <c r="A1321" t="s">
        <v>4640</v>
      </c>
      <c r="C1321" t="s">
        <v>2972</v>
      </c>
      <c r="D1321" t="s">
        <v>2973</v>
      </c>
      <c r="E1321" t="s">
        <v>39</v>
      </c>
      <c r="F1321" t="s">
        <v>30</v>
      </c>
      <c r="G1321" t="s">
        <v>31</v>
      </c>
      <c r="H1321" t="s">
        <v>40</v>
      </c>
      <c r="I1321" t="s">
        <v>2702</v>
      </c>
      <c r="J1321" t="s">
        <v>2703</v>
      </c>
      <c r="K1321" t="s">
        <v>39</v>
      </c>
      <c r="L1321" t="s">
        <v>30</v>
      </c>
      <c r="M1321" t="s">
        <v>31</v>
      </c>
      <c r="N1321" t="s">
        <v>991</v>
      </c>
      <c r="Q1321" s="4">
        <v>1</v>
      </c>
    </row>
    <row r="1322" spans="1:17" x14ac:dyDescent="0.55000000000000004">
      <c r="A1322" t="s">
        <v>3794</v>
      </c>
      <c r="C1322" t="s">
        <v>2974</v>
      </c>
      <c r="D1322" t="s">
        <v>2975</v>
      </c>
      <c r="E1322" t="s">
        <v>39</v>
      </c>
      <c r="F1322" t="s">
        <v>30</v>
      </c>
      <c r="G1322" t="s">
        <v>31</v>
      </c>
      <c r="H1322" t="s">
        <v>40</v>
      </c>
      <c r="I1322" t="s">
        <v>2706</v>
      </c>
      <c r="J1322" t="s">
        <v>2707</v>
      </c>
      <c r="K1322" t="s">
        <v>39</v>
      </c>
      <c r="L1322" t="s">
        <v>30</v>
      </c>
      <c r="M1322" t="s">
        <v>31</v>
      </c>
      <c r="N1322" t="s">
        <v>991</v>
      </c>
      <c r="Q1322" s="4">
        <v>1</v>
      </c>
    </row>
    <row r="1323" spans="1:17" x14ac:dyDescent="0.55000000000000004">
      <c r="A1323" t="s">
        <v>3797</v>
      </c>
      <c r="C1323" t="s">
        <v>2976</v>
      </c>
      <c r="D1323" t="s">
        <v>2977</v>
      </c>
      <c r="E1323" t="s">
        <v>39</v>
      </c>
      <c r="F1323" t="s">
        <v>30</v>
      </c>
      <c r="G1323" t="s">
        <v>31</v>
      </c>
      <c r="H1323" t="s">
        <v>40</v>
      </c>
      <c r="I1323" t="s">
        <v>2710</v>
      </c>
      <c r="J1323" t="s">
        <v>2711</v>
      </c>
      <c r="K1323" t="s">
        <v>39</v>
      </c>
      <c r="L1323" t="s">
        <v>30</v>
      </c>
      <c r="M1323" t="s">
        <v>31</v>
      </c>
      <c r="N1323" t="s">
        <v>991</v>
      </c>
      <c r="Q1323" s="4">
        <v>1</v>
      </c>
    </row>
    <row r="1324" spans="1:17" x14ac:dyDescent="0.55000000000000004">
      <c r="A1324" t="s">
        <v>4641</v>
      </c>
      <c r="C1324" t="s">
        <v>2978</v>
      </c>
      <c r="D1324" t="s">
        <v>2979</v>
      </c>
      <c r="E1324" t="s">
        <v>39</v>
      </c>
      <c r="F1324" t="s">
        <v>30</v>
      </c>
      <c r="G1324" t="s">
        <v>31</v>
      </c>
      <c r="H1324" t="s">
        <v>40</v>
      </c>
      <c r="I1324" t="s">
        <v>2714</v>
      </c>
      <c r="J1324" t="s">
        <v>2715</v>
      </c>
      <c r="K1324" t="s">
        <v>39</v>
      </c>
      <c r="L1324" t="s">
        <v>30</v>
      </c>
      <c r="M1324" t="s">
        <v>31</v>
      </c>
      <c r="N1324" t="s">
        <v>991</v>
      </c>
      <c r="Q1324" s="4">
        <v>1</v>
      </c>
    </row>
    <row r="1325" spans="1:17" x14ac:dyDescent="0.55000000000000004">
      <c r="A1325" t="s">
        <v>4642</v>
      </c>
      <c r="C1325" t="s">
        <v>2980</v>
      </c>
      <c r="D1325" t="s">
        <v>2981</v>
      </c>
      <c r="E1325" t="s">
        <v>39</v>
      </c>
      <c r="F1325" t="s">
        <v>30</v>
      </c>
      <c r="G1325" t="s">
        <v>31</v>
      </c>
      <c r="H1325" t="s">
        <v>40</v>
      </c>
      <c r="I1325" t="s">
        <v>2718</v>
      </c>
      <c r="J1325" t="s">
        <v>2719</v>
      </c>
      <c r="K1325" t="s">
        <v>39</v>
      </c>
      <c r="L1325" t="s">
        <v>30</v>
      </c>
      <c r="M1325" t="s">
        <v>31</v>
      </c>
      <c r="N1325" t="s">
        <v>991</v>
      </c>
      <c r="Q1325" s="4">
        <v>1</v>
      </c>
    </row>
    <row r="1326" spans="1:17" x14ac:dyDescent="0.55000000000000004">
      <c r="A1326" t="s">
        <v>4643</v>
      </c>
      <c r="C1326" t="s">
        <v>2982</v>
      </c>
      <c r="D1326" t="s">
        <v>2983</v>
      </c>
      <c r="E1326" t="s">
        <v>39</v>
      </c>
      <c r="F1326" t="s">
        <v>30</v>
      </c>
      <c r="G1326" t="s">
        <v>31</v>
      </c>
      <c r="H1326" t="s">
        <v>40</v>
      </c>
      <c r="I1326" t="s">
        <v>2722</v>
      </c>
      <c r="J1326" t="s">
        <v>2723</v>
      </c>
      <c r="K1326" t="s">
        <v>39</v>
      </c>
      <c r="L1326" t="s">
        <v>30</v>
      </c>
      <c r="M1326" t="s">
        <v>31</v>
      </c>
      <c r="N1326" t="s">
        <v>991</v>
      </c>
      <c r="Q1326" s="4">
        <v>1</v>
      </c>
    </row>
    <row r="1327" spans="1:17" x14ac:dyDescent="0.55000000000000004">
      <c r="A1327" t="s">
        <v>4644</v>
      </c>
      <c r="C1327" t="s">
        <v>2984</v>
      </c>
      <c r="D1327" t="s">
        <v>2985</v>
      </c>
      <c r="E1327" t="s">
        <v>39</v>
      </c>
      <c r="F1327" t="s">
        <v>30</v>
      </c>
      <c r="G1327" t="s">
        <v>31</v>
      </c>
      <c r="H1327" t="s">
        <v>40</v>
      </c>
      <c r="I1327" t="s">
        <v>2726</v>
      </c>
      <c r="J1327" t="s">
        <v>2727</v>
      </c>
      <c r="K1327" t="s">
        <v>39</v>
      </c>
      <c r="L1327" t="s">
        <v>30</v>
      </c>
      <c r="M1327" t="s">
        <v>31</v>
      </c>
      <c r="N1327" t="s">
        <v>991</v>
      </c>
      <c r="Q1327" s="4">
        <v>1</v>
      </c>
    </row>
    <row r="1328" spans="1:17" x14ac:dyDescent="0.55000000000000004">
      <c r="A1328" t="s">
        <v>4645</v>
      </c>
      <c r="C1328" t="s">
        <v>2986</v>
      </c>
      <c r="D1328" t="s">
        <v>2987</v>
      </c>
      <c r="E1328" t="s">
        <v>39</v>
      </c>
      <c r="F1328" t="s">
        <v>30</v>
      </c>
      <c r="G1328" t="s">
        <v>31</v>
      </c>
      <c r="H1328" t="s">
        <v>40</v>
      </c>
      <c r="I1328" t="s">
        <v>2730</v>
      </c>
      <c r="J1328" t="s">
        <v>2731</v>
      </c>
      <c r="K1328" t="s">
        <v>39</v>
      </c>
      <c r="L1328" t="s">
        <v>30</v>
      </c>
      <c r="M1328" t="s">
        <v>31</v>
      </c>
      <c r="N1328" t="s">
        <v>991</v>
      </c>
      <c r="Q1328" s="4">
        <v>1</v>
      </c>
    </row>
    <row r="1329" spans="1:17" x14ac:dyDescent="0.55000000000000004">
      <c r="A1329" t="s">
        <v>4646</v>
      </c>
      <c r="C1329" t="s">
        <v>2988</v>
      </c>
      <c r="D1329" t="s">
        <v>2989</v>
      </c>
      <c r="E1329" t="s">
        <v>39</v>
      </c>
      <c r="F1329" t="s">
        <v>30</v>
      </c>
      <c r="G1329" t="s">
        <v>31</v>
      </c>
      <c r="H1329" t="s">
        <v>40</v>
      </c>
      <c r="I1329" t="s">
        <v>2734</v>
      </c>
      <c r="J1329" t="s">
        <v>2735</v>
      </c>
      <c r="K1329" t="s">
        <v>39</v>
      </c>
      <c r="L1329" t="s">
        <v>30</v>
      </c>
      <c r="M1329" t="s">
        <v>31</v>
      </c>
      <c r="N1329" t="s">
        <v>991</v>
      </c>
      <c r="Q1329" s="4">
        <v>1</v>
      </c>
    </row>
    <row r="1330" spans="1:17" x14ac:dyDescent="0.55000000000000004">
      <c r="A1330" t="s">
        <v>4647</v>
      </c>
      <c r="C1330" t="s">
        <v>2990</v>
      </c>
      <c r="D1330" t="s">
        <v>2991</v>
      </c>
      <c r="E1330" t="s">
        <v>39</v>
      </c>
      <c r="F1330" t="s">
        <v>30</v>
      </c>
      <c r="G1330" t="s">
        <v>31</v>
      </c>
      <c r="H1330" t="s">
        <v>40</v>
      </c>
      <c r="I1330" t="s">
        <v>2738</v>
      </c>
      <c r="J1330" t="s">
        <v>2739</v>
      </c>
      <c r="K1330" t="s">
        <v>39</v>
      </c>
      <c r="L1330" t="s">
        <v>30</v>
      </c>
      <c r="M1330" t="s">
        <v>31</v>
      </c>
      <c r="N1330" t="s">
        <v>991</v>
      </c>
      <c r="Q1330" s="4">
        <v>1</v>
      </c>
    </row>
    <row r="1331" spans="1:17" x14ac:dyDescent="0.55000000000000004">
      <c r="A1331" t="s">
        <v>4648</v>
      </c>
      <c r="C1331" t="s">
        <v>2992</v>
      </c>
      <c r="D1331" t="s">
        <v>2993</v>
      </c>
      <c r="E1331" t="s">
        <v>39</v>
      </c>
      <c r="F1331" t="s">
        <v>30</v>
      </c>
      <c r="G1331" t="s">
        <v>31</v>
      </c>
      <c r="H1331" t="s">
        <v>40</v>
      </c>
      <c r="I1331" t="s">
        <v>2742</v>
      </c>
      <c r="J1331" t="s">
        <v>2743</v>
      </c>
      <c r="K1331" t="s">
        <v>39</v>
      </c>
      <c r="L1331" t="s">
        <v>30</v>
      </c>
      <c r="M1331" t="s">
        <v>31</v>
      </c>
      <c r="N1331" t="s">
        <v>991</v>
      </c>
      <c r="Q1331" s="4">
        <v>1</v>
      </c>
    </row>
    <row r="1332" spans="1:17" x14ac:dyDescent="0.55000000000000004">
      <c r="A1332" t="s">
        <v>4649</v>
      </c>
      <c r="C1332" t="s">
        <v>2994</v>
      </c>
      <c r="D1332" t="s">
        <v>2995</v>
      </c>
      <c r="E1332" t="s">
        <v>39</v>
      </c>
      <c r="F1332" t="s">
        <v>30</v>
      </c>
      <c r="G1332" t="s">
        <v>31</v>
      </c>
      <c r="H1332" t="s">
        <v>40</v>
      </c>
      <c r="I1332" t="s">
        <v>2746</v>
      </c>
      <c r="J1332" t="s">
        <v>2747</v>
      </c>
      <c r="K1332" t="s">
        <v>39</v>
      </c>
      <c r="L1332" t="s">
        <v>30</v>
      </c>
      <c r="M1332" t="s">
        <v>31</v>
      </c>
      <c r="N1332" t="s">
        <v>991</v>
      </c>
      <c r="Q1332" s="4">
        <v>1</v>
      </c>
    </row>
    <row r="1333" spans="1:17" x14ac:dyDescent="0.55000000000000004">
      <c r="A1333" t="s">
        <v>4650</v>
      </c>
      <c r="C1333" t="s">
        <v>2996</v>
      </c>
      <c r="D1333" t="s">
        <v>2997</v>
      </c>
      <c r="E1333" t="s">
        <v>39</v>
      </c>
      <c r="F1333" t="s">
        <v>30</v>
      </c>
      <c r="G1333" t="s">
        <v>31</v>
      </c>
      <c r="H1333" t="s">
        <v>40</v>
      </c>
      <c r="I1333" t="s">
        <v>2750</v>
      </c>
      <c r="J1333" t="s">
        <v>2751</v>
      </c>
      <c r="K1333" t="s">
        <v>39</v>
      </c>
      <c r="L1333" t="s">
        <v>30</v>
      </c>
      <c r="M1333" t="s">
        <v>31</v>
      </c>
      <c r="N1333" t="s">
        <v>991</v>
      </c>
      <c r="Q1333" s="4">
        <v>1</v>
      </c>
    </row>
    <row r="1334" spans="1:17" x14ac:dyDescent="0.55000000000000004">
      <c r="A1334" t="s">
        <v>4651</v>
      </c>
      <c r="C1334" t="s">
        <v>2998</v>
      </c>
      <c r="D1334" t="s">
        <v>2999</v>
      </c>
      <c r="E1334" t="s">
        <v>39</v>
      </c>
      <c r="F1334" t="s">
        <v>30</v>
      </c>
      <c r="G1334" t="s">
        <v>31</v>
      </c>
      <c r="H1334" t="s">
        <v>40</v>
      </c>
      <c r="I1334" t="s">
        <v>2754</v>
      </c>
      <c r="J1334" t="s">
        <v>2755</v>
      </c>
      <c r="K1334" t="s">
        <v>39</v>
      </c>
      <c r="L1334" t="s">
        <v>30</v>
      </c>
      <c r="M1334" t="s">
        <v>31</v>
      </c>
      <c r="N1334" t="s">
        <v>991</v>
      </c>
      <c r="Q1334" s="4">
        <v>1</v>
      </c>
    </row>
    <row r="1335" spans="1:17" x14ac:dyDescent="0.55000000000000004">
      <c r="A1335" t="s">
        <v>4652</v>
      </c>
      <c r="C1335" t="s">
        <v>3000</v>
      </c>
      <c r="D1335" t="s">
        <v>3001</v>
      </c>
      <c r="E1335" t="s">
        <v>39</v>
      </c>
      <c r="F1335" t="s">
        <v>30</v>
      </c>
      <c r="G1335" t="s">
        <v>31</v>
      </c>
      <c r="H1335" t="s">
        <v>40</v>
      </c>
      <c r="I1335" t="s">
        <v>2758</v>
      </c>
      <c r="J1335" t="s">
        <v>2759</v>
      </c>
      <c r="K1335" t="s">
        <v>39</v>
      </c>
      <c r="L1335" t="s">
        <v>30</v>
      </c>
      <c r="M1335" t="s">
        <v>31</v>
      </c>
      <c r="N1335" t="s">
        <v>991</v>
      </c>
      <c r="Q1335" s="4">
        <v>1</v>
      </c>
    </row>
    <row r="1336" spans="1:17" x14ac:dyDescent="0.55000000000000004">
      <c r="A1336" t="s">
        <v>4653</v>
      </c>
      <c r="C1336" t="s">
        <v>3002</v>
      </c>
      <c r="D1336" t="s">
        <v>3003</v>
      </c>
      <c r="E1336" t="s">
        <v>39</v>
      </c>
      <c r="F1336" t="s">
        <v>30</v>
      </c>
      <c r="G1336" t="s">
        <v>31</v>
      </c>
      <c r="H1336" t="s">
        <v>40</v>
      </c>
      <c r="I1336" t="s">
        <v>2762</v>
      </c>
      <c r="J1336" t="s">
        <v>2763</v>
      </c>
      <c r="K1336" t="s">
        <v>39</v>
      </c>
      <c r="L1336" t="s">
        <v>30</v>
      </c>
      <c r="M1336" t="s">
        <v>31</v>
      </c>
      <c r="N1336" t="s">
        <v>991</v>
      </c>
      <c r="Q1336" s="4">
        <v>1</v>
      </c>
    </row>
    <row r="1337" spans="1:17" x14ac:dyDescent="0.55000000000000004">
      <c r="A1337" t="s">
        <v>4654</v>
      </c>
      <c r="C1337" t="s">
        <v>3004</v>
      </c>
      <c r="D1337" t="s">
        <v>3005</v>
      </c>
      <c r="E1337" t="s">
        <v>39</v>
      </c>
      <c r="F1337" t="s">
        <v>30</v>
      </c>
      <c r="G1337" t="s">
        <v>31</v>
      </c>
      <c r="H1337" t="s">
        <v>40</v>
      </c>
      <c r="I1337" t="s">
        <v>2766</v>
      </c>
      <c r="J1337" t="s">
        <v>2767</v>
      </c>
      <c r="K1337" t="s">
        <v>39</v>
      </c>
      <c r="L1337" t="s">
        <v>30</v>
      </c>
      <c r="M1337" t="s">
        <v>31</v>
      </c>
      <c r="N1337" t="s">
        <v>991</v>
      </c>
      <c r="Q1337" s="4">
        <v>1</v>
      </c>
    </row>
    <row r="1338" spans="1:17" x14ac:dyDescent="0.55000000000000004">
      <c r="A1338" t="s">
        <v>4655</v>
      </c>
      <c r="C1338" t="s">
        <v>3006</v>
      </c>
      <c r="D1338" t="s">
        <v>3007</v>
      </c>
      <c r="E1338" t="s">
        <v>39</v>
      </c>
      <c r="F1338" t="s">
        <v>30</v>
      </c>
      <c r="G1338" t="s">
        <v>31</v>
      </c>
      <c r="H1338" t="s">
        <v>40</v>
      </c>
      <c r="I1338" t="s">
        <v>2770</v>
      </c>
      <c r="J1338" t="s">
        <v>2771</v>
      </c>
      <c r="K1338" t="s">
        <v>39</v>
      </c>
      <c r="L1338" t="s">
        <v>30</v>
      </c>
      <c r="M1338" t="s">
        <v>31</v>
      </c>
      <c r="N1338" t="s">
        <v>991</v>
      </c>
      <c r="Q1338" s="4">
        <v>1</v>
      </c>
    </row>
    <row r="1339" spans="1:17" x14ac:dyDescent="0.55000000000000004">
      <c r="A1339" t="s">
        <v>4656</v>
      </c>
      <c r="C1339" t="s">
        <v>3008</v>
      </c>
      <c r="D1339" t="s">
        <v>3009</v>
      </c>
      <c r="E1339" t="s">
        <v>39</v>
      </c>
      <c r="F1339" t="s">
        <v>30</v>
      </c>
      <c r="G1339" t="s">
        <v>31</v>
      </c>
      <c r="H1339" t="s">
        <v>40</v>
      </c>
      <c r="I1339" t="s">
        <v>2774</v>
      </c>
      <c r="J1339" t="s">
        <v>2775</v>
      </c>
      <c r="K1339" t="s">
        <v>39</v>
      </c>
      <c r="L1339" t="s">
        <v>30</v>
      </c>
      <c r="M1339" t="s">
        <v>31</v>
      </c>
      <c r="N1339" t="s">
        <v>991</v>
      </c>
      <c r="Q1339" s="4">
        <v>1</v>
      </c>
    </row>
    <row r="1340" spans="1:17" x14ac:dyDescent="0.55000000000000004">
      <c r="A1340" t="s">
        <v>4657</v>
      </c>
      <c r="C1340" t="s">
        <v>3010</v>
      </c>
      <c r="D1340" t="s">
        <v>3011</v>
      </c>
      <c r="E1340" t="s">
        <v>39</v>
      </c>
      <c r="F1340" t="s">
        <v>30</v>
      </c>
      <c r="G1340" t="s">
        <v>31</v>
      </c>
      <c r="H1340" t="s">
        <v>40</v>
      </c>
      <c r="I1340" t="s">
        <v>2778</v>
      </c>
      <c r="J1340" t="s">
        <v>2779</v>
      </c>
      <c r="K1340" t="s">
        <v>39</v>
      </c>
      <c r="L1340" t="s">
        <v>30</v>
      </c>
      <c r="M1340" t="s">
        <v>31</v>
      </c>
      <c r="N1340" t="s">
        <v>991</v>
      </c>
      <c r="Q1340" s="4">
        <v>1</v>
      </c>
    </row>
    <row r="1341" spans="1:17" x14ac:dyDescent="0.55000000000000004">
      <c r="A1341" t="s">
        <v>4658</v>
      </c>
      <c r="C1341" t="s">
        <v>3012</v>
      </c>
      <c r="D1341" t="s">
        <v>3013</v>
      </c>
      <c r="E1341" t="s">
        <v>39</v>
      </c>
      <c r="F1341" t="s">
        <v>30</v>
      </c>
      <c r="G1341" t="s">
        <v>31</v>
      </c>
      <c r="H1341" t="s">
        <v>40</v>
      </c>
      <c r="I1341" t="s">
        <v>2782</v>
      </c>
      <c r="J1341" t="s">
        <v>2783</v>
      </c>
      <c r="K1341" t="s">
        <v>39</v>
      </c>
      <c r="L1341" t="s">
        <v>30</v>
      </c>
      <c r="M1341" t="s">
        <v>31</v>
      </c>
      <c r="N1341" t="s">
        <v>991</v>
      </c>
      <c r="Q1341" s="4">
        <v>1</v>
      </c>
    </row>
    <row r="1342" spans="1:17" x14ac:dyDescent="0.55000000000000004">
      <c r="A1342" t="s">
        <v>4659</v>
      </c>
      <c r="C1342" t="s">
        <v>3014</v>
      </c>
      <c r="D1342" t="s">
        <v>3015</v>
      </c>
      <c r="E1342" t="s">
        <v>39</v>
      </c>
      <c r="F1342" t="s">
        <v>30</v>
      </c>
      <c r="G1342" t="s">
        <v>31</v>
      </c>
      <c r="H1342" t="s">
        <v>40</v>
      </c>
      <c r="I1342" t="s">
        <v>2786</v>
      </c>
      <c r="J1342" t="s">
        <v>2787</v>
      </c>
      <c r="K1342" t="s">
        <v>39</v>
      </c>
      <c r="L1342" t="s">
        <v>30</v>
      </c>
      <c r="M1342" t="s">
        <v>31</v>
      </c>
      <c r="N1342" t="s">
        <v>991</v>
      </c>
      <c r="Q1342" s="4">
        <v>1</v>
      </c>
    </row>
    <row r="1343" spans="1:17" x14ac:dyDescent="0.55000000000000004">
      <c r="A1343" t="s">
        <v>4660</v>
      </c>
      <c r="C1343" t="s">
        <v>3016</v>
      </c>
      <c r="D1343" t="s">
        <v>3017</v>
      </c>
      <c r="E1343" t="s">
        <v>39</v>
      </c>
      <c r="F1343" t="s">
        <v>30</v>
      </c>
      <c r="G1343" t="s">
        <v>31</v>
      </c>
      <c r="H1343" t="s">
        <v>40</v>
      </c>
      <c r="I1343" t="s">
        <v>2790</v>
      </c>
      <c r="J1343" t="s">
        <v>2791</v>
      </c>
      <c r="K1343" t="s">
        <v>39</v>
      </c>
      <c r="L1343" t="s">
        <v>30</v>
      </c>
      <c r="M1343" t="s">
        <v>31</v>
      </c>
      <c r="N1343" t="s">
        <v>991</v>
      </c>
      <c r="Q1343" s="4">
        <v>1</v>
      </c>
    </row>
    <row r="1344" spans="1:17" x14ac:dyDescent="0.55000000000000004">
      <c r="A1344" t="s">
        <v>4661</v>
      </c>
      <c r="C1344" t="s">
        <v>3018</v>
      </c>
      <c r="D1344" t="s">
        <v>3019</v>
      </c>
      <c r="E1344" t="s">
        <v>39</v>
      </c>
      <c r="F1344" t="s">
        <v>30</v>
      </c>
      <c r="G1344" t="s">
        <v>31</v>
      </c>
      <c r="H1344" t="s">
        <v>40</v>
      </c>
      <c r="I1344" t="s">
        <v>2794</v>
      </c>
      <c r="J1344" t="s">
        <v>2795</v>
      </c>
      <c r="K1344" t="s">
        <v>39</v>
      </c>
      <c r="L1344" t="s">
        <v>30</v>
      </c>
      <c r="M1344" t="s">
        <v>31</v>
      </c>
      <c r="N1344" t="s">
        <v>991</v>
      </c>
      <c r="Q1344" s="4">
        <v>1</v>
      </c>
    </row>
    <row r="1345" spans="1:17" x14ac:dyDescent="0.55000000000000004">
      <c r="A1345" t="s">
        <v>4662</v>
      </c>
      <c r="C1345" t="s">
        <v>3020</v>
      </c>
      <c r="D1345" t="s">
        <v>3021</v>
      </c>
      <c r="E1345" t="s">
        <v>39</v>
      </c>
      <c r="F1345" t="s">
        <v>30</v>
      </c>
      <c r="G1345" t="s">
        <v>31</v>
      </c>
      <c r="H1345" t="s">
        <v>40</v>
      </c>
      <c r="I1345" t="s">
        <v>2798</v>
      </c>
      <c r="J1345" t="s">
        <v>2799</v>
      </c>
      <c r="K1345" t="s">
        <v>39</v>
      </c>
      <c r="L1345" t="s">
        <v>30</v>
      </c>
      <c r="M1345" t="s">
        <v>31</v>
      </c>
      <c r="N1345" t="s">
        <v>991</v>
      </c>
      <c r="Q1345" s="4">
        <v>1</v>
      </c>
    </row>
    <row r="1346" spans="1:17" x14ac:dyDescent="0.55000000000000004">
      <c r="A1346" t="s">
        <v>4663</v>
      </c>
      <c r="C1346" t="s">
        <v>3022</v>
      </c>
      <c r="D1346" t="s">
        <v>3023</v>
      </c>
      <c r="E1346" t="s">
        <v>39</v>
      </c>
      <c r="F1346" t="s">
        <v>30</v>
      </c>
      <c r="G1346" t="s">
        <v>31</v>
      </c>
      <c r="H1346" t="s">
        <v>40</v>
      </c>
      <c r="I1346" t="s">
        <v>2802</v>
      </c>
      <c r="J1346" t="s">
        <v>2803</v>
      </c>
      <c r="K1346" t="s">
        <v>39</v>
      </c>
      <c r="L1346" t="s">
        <v>30</v>
      </c>
      <c r="M1346" t="s">
        <v>31</v>
      </c>
      <c r="N1346" t="s">
        <v>991</v>
      </c>
      <c r="Q1346" s="4">
        <v>1</v>
      </c>
    </row>
    <row r="1347" spans="1:17" x14ac:dyDescent="0.55000000000000004">
      <c r="A1347" t="s">
        <v>4664</v>
      </c>
      <c r="C1347" t="s">
        <v>3024</v>
      </c>
      <c r="D1347" t="s">
        <v>3025</v>
      </c>
      <c r="E1347" t="s">
        <v>39</v>
      </c>
      <c r="F1347" t="s">
        <v>30</v>
      </c>
      <c r="G1347" t="s">
        <v>31</v>
      </c>
      <c r="H1347" t="s">
        <v>40</v>
      </c>
      <c r="I1347" t="s">
        <v>2806</v>
      </c>
      <c r="J1347" t="s">
        <v>2807</v>
      </c>
      <c r="K1347" t="s">
        <v>39</v>
      </c>
      <c r="L1347" t="s">
        <v>30</v>
      </c>
      <c r="M1347" t="s">
        <v>31</v>
      </c>
      <c r="N1347" t="s">
        <v>991</v>
      </c>
      <c r="Q1347" s="4">
        <v>1</v>
      </c>
    </row>
    <row r="1348" spans="1:17" x14ac:dyDescent="0.55000000000000004">
      <c r="A1348" t="s">
        <v>4665</v>
      </c>
      <c r="C1348" t="s">
        <v>3026</v>
      </c>
      <c r="D1348" t="s">
        <v>3027</v>
      </c>
      <c r="E1348" t="s">
        <v>39</v>
      </c>
      <c r="F1348" t="s">
        <v>30</v>
      </c>
      <c r="G1348" t="s">
        <v>31</v>
      </c>
      <c r="H1348" t="s">
        <v>40</v>
      </c>
      <c r="I1348" t="s">
        <v>2810</v>
      </c>
      <c r="J1348" t="s">
        <v>2811</v>
      </c>
      <c r="K1348" t="s">
        <v>39</v>
      </c>
      <c r="L1348" t="s">
        <v>30</v>
      </c>
      <c r="M1348" t="s">
        <v>31</v>
      </c>
      <c r="N1348" t="s">
        <v>991</v>
      </c>
      <c r="Q1348" s="4">
        <v>1</v>
      </c>
    </row>
    <row r="1349" spans="1:17" x14ac:dyDescent="0.55000000000000004">
      <c r="A1349" t="s">
        <v>4666</v>
      </c>
      <c r="C1349" t="s">
        <v>3028</v>
      </c>
      <c r="D1349" t="s">
        <v>3029</v>
      </c>
      <c r="E1349" t="s">
        <v>39</v>
      </c>
      <c r="F1349" t="s">
        <v>30</v>
      </c>
      <c r="G1349" t="s">
        <v>31</v>
      </c>
      <c r="H1349" t="s">
        <v>40</v>
      </c>
      <c r="I1349" t="s">
        <v>2814</v>
      </c>
      <c r="J1349" t="s">
        <v>2815</v>
      </c>
      <c r="K1349" t="s">
        <v>39</v>
      </c>
      <c r="L1349" t="s">
        <v>30</v>
      </c>
      <c r="M1349" t="s">
        <v>31</v>
      </c>
      <c r="N1349" t="s">
        <v>991</v>
      </c>
      <c r="Q1349" s="4">
        <v>1</v>
      </c>
    </row>
    <row r="1350" spans="1:17" x14ac:dyDescent="0.55000000000000004">
      <c r="A1350" t="s">
        <v>4667</v>
      </c>
      <c r="C1350" t="s">
        <v>3030</v>
      </c>
      <c r="D1350" t="s">
        <v>3031</v>
      </c>
      <c r="E1350" t="s">
        <v>39</v>
      </c>
      <c r="F1350" t="s">
        <v>30</v>
      </c>
      <c r="G1350" t="s">
        <v>31</v>
      </c>
      <c r="H1350" t="s">
        <v>40</v>
      </c>
      <c r="I1350" t="s">
        <v>2818</v>
      </c>
      <c r="J1350" t="s">
        <v>2819</v>
      </c>
      <c r="K1350" t="s">
        <v>39</v>
      </c>
      <c r="L1350" t="s">
        <v>30</v>
      </c>
      <c r="M1350" t="s">
        <v>31</v>
      </c>
      <c r="N1350" t="s">
        <v>991</v>
      </c>
      <c r="Q1350" s="4">
        <v>1</v>
      </c>
    </row>
    <row r="1351" spans="1:17" x14ac:dyDescent="0.55000000000000004">
      <c r="A1351" t="s">
        <v>4668</v>
      </c>
      <c r="C1351" t="s">
        <v>3032</v>
      </c>
      <c r="D1351" t="s">
        <v>3033</v>
      </c>
      <c r="E1351" t="s">
        <v>39</v>
      </c>
      <c r="F1351" t="s">
        <v>30</v>
      </c>
      <c r="G1351" t="s">
        <v>31</v>
      </c>
      <c r="H1351" t="s">
        <v>40</v>
      </c>
      <c r="I1351" t="s">
        <v>2822</v>
      </c>
      <c r="J1351" t="s">
        <v>2823</v>
      </c>
      <c r="K1351" t="s">
        <v>39</v>
      </c>
      <c r="L1351" t="s">
        <v>30</v>
      </c>
      <c r="M1351" t="s">
        <v>31</v>
      </c>
      <c r="N1351" t="s">
        <v>991</v>
      </c>
      <c r="Q1351" s="4">
        <v>1</v>
      </c>
    </row>
    <row r="1352" spans="1:17" x14ac:dyDescent="0.55000000000000004">
      <c r="A1352" t="s">
        <v>4669</v>
      </c>
      <c r="C1352" t="s">
        <v>984</v>
      </c>
      <c r="D1352" t="s">
        <v>985</v>
      </c>
      <c r="E1352" t="s">
        <v>39</v>
      </c>
      <c r="F1352" t="s">
        <v>30</v>
      </c>
      <c r="G1352" t="s">
        <v>31</v>
      </c>
      <c r="H1352" t="s">
        <v>40</v>
      </c>
      <c r="I1352" t="s">
        <v>194</v>
      </c>
      <c r="J1352" t="s">
        <v>195</v>
      </c>
      <c r="K1352" t="s">
        <v>39</v>
      </c>
      <c r="L1352" t="s">
        <v>30</v>
      </c>
      <c r="M1352" t="s">
        <v>31</v>
      </c>
      <c r="N1352" t="s">
        <v>4003</v>
      </c>
      <c r="Q1352" s="4">
        <v>1</v>
      </c>
    </row>
    <row r="1353" spans="1:17" x14ac:dyDescent="0.55000000000000004">
      <c r="A1353" t="s">
        <v>4670</v>
      </c>
      <c r="C1353" t="s">
        <v>993</v>
      </c>
      <c r="D1353" t="s">
        <v>994</v>
      </c>
      <c r="E1353" t="s">
        <v>39</v>
      </c>
      <c r="F1353" t="s">
        <v>30</v>
      </c>
      <c r="G1353" t="s">
        <v>31</v>
      </c>
      <c r="H1353" t="s">
        <v>40</v>
      </c>
      <c r="I1353" t="s">
        <v>200</v>
      </c>
      <c r="J1353" t="s">
        <v>201</v>
      </c>
      <c r="K1353" t="s">
        <v>39</v>
      </c>
      <c r="L1353" t="s">
        <v>30</v>
      </c>
      <c r="M1353" t="s">
        <v>31</v>
      </c>
      <c r="N1353" t="s">
        <v>4003</v>
      </c>
      <c r="Q1353" s="4">
        <v>1</v>
      </c>
    </row>
    <row r="1354" spans="1:17" x14ac:dyDescent="0.55000000000000004">
      <c r="A1354" t="s">
        <v>4671</v>
      </c>
      <c r="C1354" t="s">
        <v>999</v>
      </c>
      <c r="D1354" t="s">
        <v>1000</v>
      </c>
      <c r="E1354" t="s">
        <v>39</v>
      </c>
      <c r="F1354" t="s">
        <v>30</v>
      </c>
      <c r="G1354" t="s">
        <v>31</v>
      </c>
      <c r="H1354" t="s">
        <v>40</v>
      </c>
      <c r="I1354" t="s">
        <v>205</v>
      </c>
      <c r="J1354" t="s">
        <v>206</v>
      </c>
      <c r="K1354" t="s">
        <v>39</v>
      </c>
      <c r="L1354" t="s">
        <v>30</v>
      </c>
      <c r="M1354" t="s">
        <v>31</v>
      </c>
      <c r="N1354" t="s">
        <v>4003</v>
      </c>
      <c r="Q1354" s="4">
        <v>1</v>
      </c>
    </row>
    <row r="1355" spans="1:17" x14ac:dyDescent="0.55000000000000004">
      <c r="A1355" t="s">
        <v>4672</v>
      </c>
      <c r="C1355" t="s">
        <v>1005</v>
      </c>
      <c r="D1355" t="s">
        <v>1006</v>
      </c>
      <c r="E1355" t="s">
        <v>39</v>
      </c>
      <c r="F1355" t="s">
        <v>30</v>
      </c>
      <c r="G1355" t="s">
        <v>31</v>
      </c>
      <c r="H1355" t="s">
        <v>40</v>
      </c>
      <c r="I1355" t="s">
        <v>210</v>
      </c>
      <c r="J1355" t="s">
        <v>211</v>
      </c>
      <c r="K1355" t="s">
        <v>39</v>
      </c>
      <c r="L1355" t="s">
        <v>30</v>
      </c>
      <c r="M1355" t="s">
        <v>31</v>
      </c>
      <c r="N1355" t="s">
        <v>4003</v>
      </c>
      <c r="Q1355" s="4">
        <v>1</v>
      </c>
    </row>
    <row r="1356" spans="1:17" x14ac:dyDescent="0.55000000000000004">
      <c r="A1356" t="s">
        <v>4673</v>
      </c>
      <c r="C1356" t="s">
        <v>1011</v>
      </c>
      <c r="D1356" t="s">
        <v>1012</v>
      </c>
      <c r="E1356" t="s">
        <v>39</v>
      </c>
      <c r="F1356" t="s">
        <v>30</v>
      </c>
      <c r="G1356" t="s">
        <v>31</v>
      </c>
      <c r="H1356" t="s">
        <v>40</v>
      </c>
      <c r="I1356" t="s">
        <v>215</v>
      </c>
      <c r="J1356" t="s">
        <v>216</v>
      </c>
      <c r="K1356" t="s">
        <v>39</v>
      </c>
      <c r="L1356" t="s">
        <v>30</v>
      </c>
      <c r="M1356" t="s">
        <v>31</v>
      </c>
      <c r="N1356" t="s">
        <v>4003</v>
      </c>
      <c r="Q1356" s="4">
        <v>1</v>
      </c>
    </row>
    <row r="1357" spans="1:17" x14ac:dyDescent="0.55000000000000004">
      <c r="A1357" t="s">
        <v>4674</v>
      </c>
      <c r="C1357" t="s">
        <v>1017</v>
      </c>
      <c r="D1357" t="s">
        <v>1018</v>
      </c>
      <c r="E1357" t="s">
        <v>39</v>
      </c>
      <c r="F1357" t="s">
        <v>30</v>
      </c>
      <c r="G1357" t="s">
        <v>31</v>
      </c>
      <c r="H1357" t="s">
        <v>40</v>
      </c>
      <c r="I1357" t="s">
        <v>220</v>
      </c>
      <c r="J1357" t="s">
        <v>221</v>
      </c>
      <c r="K1357" t="s">
        <v>39</v>
      </c>
      <c r="L1357" t="s">
        <v>30</v>
      </c>
      <c r="M1357" t="s">
        <v>31</v>
      </c>
      <c r="N1357" t="s">
        <v>4003</v>
      </c>
      <c r="Q1357" s="4">
        <v>1</v>
      </c>
    </row>
    <row r="1358" spans="1:17" x14ac:dyDescent="0.55000000000000004">
      <c r="A1358" t="s">
        <v>4675</v>
      </c>
      <c r="C1358" t="s">
        <v>1023</v>
      </c>
      <c r="D1358" t="s">
        <v>1024</v>
      </c>
      <c r="E1358" t="s">
        <v>39</v>
      </c>
      <c r="F1358" t="s">
        <v>30</v>
      </c>
      <c r="G1358" t="s">
        <v>31</v>
      </c>
      <c r="H1358" t="s">
        <v>40</v>
      </c>
      <c r="I1358" t="s">
        <v>225</v>
      </c>
      <c r="J1358" t="s">
        <v>226</v>
      </c>
      <c r="K1358" t="s">
        <v>39</v>
      </c>
      <c r="L1358" t="s">
        <v>30</v>
      </c>
      <c r="M1358" t="s">
        <v>31</v>
      </c>
      <c r="N1358" t="s">
        <v>4003</v>
      </c>
      <c r="Q1358" s="4">
        <v>1</v>
      </c>
    </row>
    <row r="1359" spans="1:17" x14ac:dyDescent="0.55000000000000004">
      <c r="A1359" t="s">
        <v>4676</v>
      </c>
      <c r="C1359" t="s">
        <v>1029</v>
      </c>
      <c r="D1359" t="s">
        <v>1030</v>
      </c>
      <c r="E1359" t="s">
        <v>39</v>
      </c>
      <c r="F1359" t="s">
        <v>30</v>
      </c>
      <c r="G1359" t="s">
        <v>31</v>
      </c>
      <c r="H1359" t="s">
        <v>40</v>
      </c>
      <c r="I1359" t="s">
        <v>230</v>
      </c>
      <c r="J1359" t="s">
        <v>231</v>
      </c>
      <c r="K1359" t="s">
        <v>39</v>
      </c>
      <c r="L1359" t="s">
        <v>30</v>
      </c>
      <c r="M1359" t="s">
        <v>31</v>
      </c>
      <c r="N1359" t="s">
        <v>4003</v>
      </c>
      <c r="Q1359" s="4">
        <v>1</v>
      </c>
    </row>
    <row r="1360" spans="1:17" x14ac:dyDescent="0.55000000000000004">
      <c r="A1360" t="s">
        <v>4677</v>
      </c>
      <c r="C1360" t="s">
        <v>1035</v>
      </c>
      <c r="D1360" t="s">
        <v>1036</v>
      </c>
      <c r="E1360" t="s">
        <v>39</v>
      </c>
      <c r="F1360" t="s">
        <v>30</v>
      </c>
      <c r="G1360" t="s">
        <v>31</v>
      </c>
      <c r="H1360" t="s">
        <v>40</v>
      </c>
      <c r="I1360" t="s">
        <v>235</v>
      </c>
      <c r="J1360" t="s">
        <v>236</v>
      </c>
      <c r="K1360" t="s">
        <v>39</v>
      </c>
      <c r="L1360" t="s">
        <v>30</v>
      </c>
      <c r="M1360" t="s">
        <v>31</v>
      </c>
      <c r="N1360" t="s">
        <v>4003</v>
      </c>
      <c r="Q1360" s="4">
        <v>1</v>
      </c>
    </row>
    <row r="1361" spans="1:17" x14ac:dyDescent="0.55000000000000004">
      <c r="A1361" t="s">
        <v>4678</v>
      </c>
      <c r="C1361" t="s">
        <v>1041</v>
      </c>
      <c r="D1361" t="s">
        <v>1042</v>
      </c>
      <c r="E1361" t="s">
        <v>39</v>
      </c>
      <c r="F1361" t="s">
        <v>30</v>
      </c>
      <c r="G1361" t="s">
        <v>31</v>
      </c>
      <c r="H1361" t="s">
        <v>40</v>
      </c>
      <c r="I1361" t="s">
        <v>240</v>
      </c>
      <c r="J1361" t="s">
        <v>241</v>
      </c>
      <c r="K1361" t="s">
        <v>39</v>
      </c>
      <c r="L1361" t="s">
        <v>30</v>
      </c>
      <c r="M1361" t="s">
        <v>31</v>
      </c>
      <c r="N1361" t="s">
        <v>4003</v>
      </c>
      <c r="Q1361" s="4">
        <v>1</v>
      </c>
    </row>
    <row r="1362" spans="1:17" x14ac:dyDescent="0.55000000000000004">
      <c r="A1362" t="s">
        <v>4679</v>
      </c>
      <c r="C1362" t="s">
        <v>1047</v>
      </c>
      <c r="D1362" t="s">
        <v>1048</v>
      </c>
      <c r="E1362" t="s">
        <v>39</v>
      </c>
      <c r="F1362" t="s">
        <v>30</v>
      </c>
      <c r="G1362" t="s">
        <v>31</v>
      </c>
      <c r="H1362" t="s">
        <v>40</v>
      </c>
      <c r="I1362" t="s">
        <v>245</v>
      </c>
      <c r="J1362" t="s">
        <v>246</v>
      </c>
      <c r="K1362" t="s">
        <v>39</v>
      </c>
      <c r="L1362" t="s">
        <v>30</v>
      </c>
      <c r="M1362" t="s">
        <v>31</v>
      </c>
      <c r="N1362" t="s">
        <v>4003</v>
      </c>
      <c r="Q1362" s="4">
        <v>1</v>
      </c>
    </row>
    <row r="1363" spans="1:17" x14ac:dyDescent="0.55000000000000004">
      <c r="A1363" t="s">
        <v>4680</v>
      </c>
      <c r="C1363" t="s">
        <v>1053</v>
      </c>
      <c r="D1363" t="s">
        <v>1054</v>
      </c>
      <c r="E1363" t="s">
        <v>39</v>
      </c>
      <c r="F1363" t="s">
        <v>30</v>
      </c>
      <c r="G1363" t="s">
        <v>31</v>
      </c>
      <c r="H1363" t="s">
        <v>40</v>
      </c>
      <c r="I1363" t="s">
        <v>250</v>
      </c>
      <c r="J1363" t="s">
        <v>251</v>
      </c>
      <c r="K1363" t="s">
        <v>39</v>
      </c>
      <c r="L1363" t="s">
        <v>30</v>
      </c>
      <c r="M1363" t="s">
        <v>31</v>
      </c>
      <c r="N1363" t="s">
        <v>4003</v>
      </c>
      <c r="Q1363" s="4">
        <v>1</v>
      </c>
    </row>
    <row r="1364" spans="1:17" x14ac:dyDescent="0.55000000000000004">
      <c r="A1364" t="s">
        <v>4681</v>
      </c>
      <c r="C1364" t="s">
        <v>1059</v>
      </c>
      <c r="D1364" t="s">
        <v>1060</v>
      </c>
      <c r="E1364" t="s">
        <v>39</v>
      </c>
      <c r="F1364" t="s">
        <v>30</v>
      </c>
      <c r="G1364" t="s">
        <v>31</v>
      </c>
      <c r="H1364" t="s">
        <v>40</v>
      </c>
      <c r="I1364" t="s">
        <v>255</v>
      </c>
      <c r="J1364" t="s">
        <v>256</v>
      </c>
      <c r="K1364" t="s">
        <v>39</v>
      </c>
      <c r="L1364" t="s">
        <v>30</v>
      </c>
      <c r="M1364" t="s">
        <v>31</v>
      </c>
      <c r="N1364" t="s">
        <v>4003</v>
      </c>
      <c r="Q1364" s="4">
        <v>1</v>
      </c>
    </row>
    <row r="1365" spans="1:17" x14ac:dyDescent="0.55000000000000004">
      <c r="A1365" t="s">
        <v>4682</v>
      </c>
      <c r="C1365" t="s">
        <v>1065</v>
      </c>
      <c r="D1365" t="s">
        <v>1066</v>
      </c>
      <c r="E1365" t="s">
        <v>39</v>
      </c>
      <c r="F1365" t="s">
        <v>30</v>
      </c>
      <c r="G1365" t="s">
        <v>31</v>
      </c>
      <c r="H1365" t="s">
        <v>40</v>
      </c>
      <c r="I1365" t="s">
        <v>260</v>
      </c>
      <c r="J1365" t="s">
        <v>261</v>
      </c>
      <c r="K1365" t="s">
        <v>39</v>
      </c>
      <c r="L1365" t="s">
        <v>30</v>
      </c>
      <c r="M1365" t="s">
        <v>31</v>
      </c>
      <c r="N1365" t="s">
        <v>4003</v>
      </c>
      <c r="Q1365" s="4">
        <v>1</v>
      </c>
    </row>
    <row r="1366" spans="1:17" x14ac:dyDescent="0.55000000000000004">
      <c r="A1366" t="s">
        <v>4683</v>
      </c>
      <c r="C1366" t="s">
        <v>1071</v>
      </c>
      <c r="D1366" t="s">
        <v>1072</v>
      </c>
      <c r="E1366" t="s">
        <v>39</v>
      </c>
      <c r="F1366" t="s">
        <v>30</v>
      </c>
      <c r="G1366" t="s">
        <v>31</v>
      </c>
      <c r="H1366" t="s">
        <v>40</v>
      </c>
      <c r="I1366" t="s">
        <v>265</v>
      </c>
      <c r="J1366" t="s">
        <v>266</v>
      </c>
      <c r="K1366" t="s">
        <v>39</v>
      </c>
      <c r="L1366" t="s">
        <v>30</v>
      </c>
      <c r="M1366" t="s">
        <v>31</v>
      </c>
      <c r="N1366" t="s">
        <v>4003</v>
      </c>
      <c r="Q1366" s="4">
        <v>1</v>
      </c>
    </row>
    <row r="1367" spans="1:17" x14ac:dyDescent="0.55000000000000004">
      <c r="A1367" t="s">
        <v>4684</v>
      </c>
      <c r="C1367" t="s">
        <v>1077</v>
      </c>
      <c r="D1367" t="s">
        <v>1078</v>
      </c>
      <c r="E1367" t="s">
        <v>39</v>
      </c>
      <c r="F1367" t="s">
        <v>30</v>
      </c>
      <c r="G1367" t="s">
        <v>31</v>
      </c>
      <c r="H1367" t="s">
        <v>40</v>
      </c>
      <c r="I1367" t="s">
        <v>270</v>
      </c>
      <c r="J1367" t="s">
        <v>271</v>
      </c>
      <c r="K1367" t="s">
        <v>39</v>
      </c>
      <c r="L1367" t="s">
        <v>30</v>
      </c>
      <c r="M1367" t="s">
        <v>31</v>
      </c>
      <c r="N1367" t="s">
        <v>4003</v>
      </c>
      <c r="Q1367" s="4">
        <v>1</v>
      </c>
    </row>
    <row r="1368" spans="1:17" x14ac:dyDescent="0.55000000000000004">
      <c r="A1368" t="s">
        <v>4685</v>
      </c>
      <c r="C1368" t="s">
        <v>1083</v>
      </c>
      <c r="D1368" t="s">
        <v>1084</v>
      </c>
      <c r="E1368" t="s">
        <v>39</v>
      </c>
      <c r="F1368" t="s">
        <v>30</v>
      </c>
      <c r="G1368" t="s">
        <v>31</v>
      </c>
      <c r="H1368" t="s">
        <v>40</v>
      </c>
      <c r="I1368" t="s">
        <v>275</v>
      </c>
      <c r="J1368" t="s">
        <v>276</v>
      </c>
      <c r="K1368" t="s">
        <v>39</v>
      </c>
      <c r="L1368" t="s">
        <v>30</v>
      </c>
      <c r="M1368" t="s">
        <v>31</v>
      </c>
      <c r="N1368" t="s">
        <v>4003</v>
      </c>
      <c r="Q1368" s="4">
        <v>1</v>
      </c>
    </row>
    <row r="1369" spans="1:17" x14ac:dyDescent="0.55000000000000004">
      <c r="A1369" t="s">
        <v>4686</v>
      </c>
      <c r="C1369" t="s">
        <v>1089</v>
      </c>
      <c r="D1369" t="s">
        <v>1090</v>
      </c>
      <c r="E1369" t="s">
        <v>39</v>
      </c>
      <c r="F1369" t="s">
        <v>30</v>
      </c>
      <c r="G1369" t="s">
        <v>31</v>
      </c>
      <c r="H1369" t="s">
        <v>40</v>
      </c>
      <c r="I1369" t="s">
        <v>280</v>
      </c>
      <c r="J1369" t="s">
        <v>281</v>
      </c>
      <c r="K1369" t="s">
        <v>39</v>
      </c>
      <c r="L1369" t="s">
        <v>30</v>
      </c>
      <c r="M1369" t="s">
        <v>31</v>
      </c>
      <c r="N1369" t="s">
        <v>4003</v>
      </c>
      <c r="Q1369" s="4">
        <v>1</v>
      </c>
    </row>
    <row r="1370" spans="1:17" x14ac:dyDescent="0.55000000000000004">
      <c r="A1370" t="s">
        <v>4687</v>
      </c>
      <c r="C1370" t="s">
        <v>1095</v>
      </c>
      <c r="D1370" t="s">
        <v>1096</v>
      </c>
      <c r="E1370" t="s">
        <v>39</v>
      </c>
      <c r="F1370" t="s">
        <v>30</v>
      </c>
      <c r="G1370" t="s">
        <v>31</v>
      </c>
      <c r="H1370" t="s">
        <v>40</v>
      </c>
      <c r="I1370" t="s">
        <v>285</v>
      </c>
      <c r="J1370" t="s">
        <v>286</v>
      </c>
      <c r="K1370" t="s">
        <v>39</v>
      </c>
      <c r="L1370" t="s">
        <v>30</v>
      </c>
      <c r="M1370" t="s">
        <v>31</v>
      </c>
      <c r="N1370" t="s">
        <v>4003</v>
      </c>
      <c r="Q1370" s="4">
        <v>1</v>
      </c>
    </row>
    <row r="1371" spans="1:17" x14ac:dyDescent="0.55000000000000004">
      <c r="A1371" t="s">
        <v>4688</v>
      </c>
      <c r="C1371" t="s">
        <v>1101</v>
      </c>
      <c r="D1371" t="s">
        <v>1102</v>
      </c>
      <c r="E1371" t="s">
        <v>39</v>
      </c>
      <c r="F1371" t="s">
        <v>30</v>
      </c>
      <c r="G1371" t="s">
        <v>31</v>
      </c>
      <c r="H1371" t="s">
        <v>40</v>
      </c>
      <c r="I1371" t="s">
        <v>290</v>
      </c>
      <c r="J1371" t="s">
        <v>291</v>
      </c>
      <c r="K1371" t="s">
        <v>39</v>
      </c>
      <c r="L1371" t="s">
        <v>30</v>
      </c>
      <c r="M1371" t="s">
        <v>31</v>
      </c>
      <c r="N1371" t="s">
        <v>4003</v>
      </c>
      <c r="Q1371" s="4">
        <v>1</v>
      </c>
    </row>
    <row r="1372" spans="1:17" x14ac:dyDescent="0.55000000000000004">
      <c r="A1372" t="s">
        <v>4689</v>
      </c>
      <c r="C1372" t="s">
        <v>1107</v>
      </c>
      <c r="D1372" t="s">
        <v>1108</v>
      </c>
      <c r="E1372" t="s">
        <v>39</v>
      </c>
      <c r="F1372" t="s">
        <v>30</v>
      </c>
      <c r="G1372" t="s">
        <v>31</v>
      </c>
      <c r="H1372" t="s">
        <v>40</v>
      </c>
      <c r="I1372" t="s">
        <v>295</v>
      </c>
      <c r="J1372" t="s">
        <v>296</v>
      </c>
      <c r="K1372" t="s">
        <v>39</v>
      </c>
      <c r="L1372" t="s">
        <v>30</v>
      </c>
      <c r="M1372" t="s">
        <v>31</v>
      </c>
      <c r="N1372" t="s">
        <v>4003</v>
      </c>
      <c r="Q1372" s="4">
        <v>1</v>
      </c>
    </row>
    <row r="1373" spans="1:17" x14ac:dyDescent="0.55000000000000004">
      <c r="A1373" t="s">
        <v>4690</v>
      </c>
      <c r="C1373" t="s">
        <v>1113</v>
      </c>
      <c r="D1373" t="s">
        <v>1114</v>
      </c>
      <c r="E1373" t="s">
        <v>39</v>
      </c>
      <c r="F1373" t="s">
        <v>30</v>
      </c>
      <c r="G1373" t="s">
        <v>31</v>
      </c>
      <c r="H1373" t="s">
        <v>40</v>
      </c>
      <c r="I1373" t="s">
        <v>300</v>
      </c>
      <c r="J1373" t="s">
        <v>301</v>
      </c>
      <c r="K1373" t="s">
        <v>39</v>
      </c>
      <c r="L1373" t="s">
        <v>30</v>
      </c>
      <c r="M1373" t="s">
        <v>31</v>
      </c>
      <c r="N1373" t="s">
        <v>4003</v>
      </c>
      <c r="Q1373" s="4">
        <v>1</v>
      </c>
    </row>
    <row r="1374" spans="1:17" x14ac:dyDescent="0.55000000000000004">
      <c r="A1374" t="s">
        <v>4691</v>
      </c>
      <c r="C1374" t="s">
        <v>1119</v>
      </c>
      <c r="D1374" t="s">
        <v>1120</v>
      </c>
      <c r="E1374" t="s">
        <v>39</v>
      </c>
      <c r="F1374" t="s">
        <v>30</v>
      </c>
      <c r="G1374" t="s">
        <v>31</v>
      </c>
      <c r="H1374" t="s">
        <v>40</v>
      </c>
      <c r="I1374" t="s">
        <v>305</v>
      </c>
      <c r="J1374" t="s">
        <v>306</v>
      </c>
      <c r="K1374" t="s">
        <v>39</v>
      </c>
      <c r="L1374" t="s">
        <v>30</v>
      </c>
      <c r="M1374" t="s">
        <v>31</v>
      </c>
      <c r="N1374" t="s">
        <v>4003</v>
      </c>
      <c r="Q1374" s="4">
        <v>1</v>
      </c>
    </row>
    <row r="1375" spans="1:17" x14ac:dyDescent="0.55000000000000004">
      <c r="A1375" t="s">
        <v>4692</v>
      </c>
      <c r="C1375" t="s">
        <v>1125</v>
      </c>
      <c r="D1375" t="s">
        <v>1126</v>
      </c>
      <c r="E1375" t="s">
        <v>39</v>
      </c>
      <c r="F1375" t="s">
        <v>30</v>
      </c>
      <c r="G1375" t="s">
        <v>31</v>
      </c>
      <c r="H1375" t="s">
        <v>40</v>
      </c>
      <c r="I1375" t="s">
        <v>310</v>
      </c>
      <c r="J1375" t="s">
        <v>311</v>
      </c>
      <c r="K1375" t="s">
        <v>39</v>
      </c>
      <c r="L1375" t="s">
        <v>30</v>
      </c>
      <c r="M1375" t="s">
        <v>31</v>
      </c>
      <c r="N1375" t="s">
        <v>4003</v>
      </c>
      <c r="Q1375" s="4">
        <v>1</v>
      </c>
    </row>
    <row r="1376" spans="1:17" x14ac:dyDescent="0.55000000000000004">
      <c r="A1376" t="s">
        <v>4693</v>
      </c>
      <c r="C1376" t="s">
        <v>1131</v>
      </c>
      <c r="D1376" t="s">
        <v>1132</v>
      </c>
      <c r="E1376" t="s">
        <v>39</v>
      </c>
      <c r="F1376" t="s">
        <v>30</v>
      </c>
      <c r="G1376" t="s">
        <v>31</v>
      </c>
      <c r="H1376" t="s">
        <v>40</v>
      </c>
      <c r="I1376" t="s">
        <v>315</v>
      </c>
      <c r="J1376" t="s">
        <v>316</v>
      </c>
      <c r="K1376" t="s">
        <v>39</v>
      </c>
      <c r="L1376" t="s">
        <v>30</v>
      </c>
      <c r="M1376" t="s">
        <v>31</v>
      </c>
      <c r="N1376" t="s">
        <v>4003</v>
      </c>
      <c r="Q1376" s="4">
        <v>1</v>
      </c>
    </row>
    <row r="1377" spans="1:17" x14ac:dyDescent="0.55000000000000004">
      <c r="A1377" t="s">
        <v>4694</v>
      </c>
      <c r="C1377" t="s">
        <v>1137</v>
      </c>
      <c r="D1377" t="s">
        <v>1138</v>
      </c>
      <c r="E1377" t="s">
        <v>39</v>
      </c>
      <c r="F1377" t="s">
        <v>30</v>
      </c>
      <c r="G1377" t="s">
        <v>31</v>
      </c>
      <c r="H1377" t="s">
        <v>40</v>
      </c>
      <c r="I1377" t="s">
        <v>320</v>
      </c>
      <c r="J1377" t="s">
        <v>321</v>
      </c>
      <c r="K1377" t="s">
        <v>39</v>
      </c>
      <c r="L1377" t="s">
        <v>30</v>
      </c>
      <c r="M1377" t="s">
        <v>31</v>
      </c>
      <c r="N1377" t="s">
        <v>4003</v>
      </c>
      <c r="Q1377" s="4">
        <v>1</v>
      </c>
    </row>
    <row r="1378" spans="1:17" x14ac:dyDescent="0.55000000000000004">
      <c r="A1378" t="s">
        <v>4695</v>
      </c>
      <c r="C1378" t="s">
        <v>1143</v>
      </c>
      <c r="D1378" t="s">
        <v>1144</v>
      </c>
      <c r="E1378" t="s">
        <v>39</v>
      </c>
      <c r="F1378" t="s">
        <v>30</v>
      </c>
      <c r="G1378" t="s">
        <v>31</v>
      </c>
      <c r="H1378" t="s">
        <v>40</v>
      </c>
      <c r="I1378" t="s">
        <v>325</v>
      </c>
      <c r="J1378" t="s">
        <v>326</v>
      </c>
      <c r="K1378" t="s">
        <v>39</v>
      </c>
      <c r="L1378" t="s">
        <v>30</v>
      </c>
      <c r="M1378" t="s">
        <v>31</v>
      </c>
      <c r="N1378" t="s">
        <v>4003</v>
      </c>
      <c r="Q1378" s="4">
        <v>1</v>
      </c>
    </row>
    <row r="1379" spans="1:17" x14ac:dyDescent="0.55000000000000004">
      <c r="A1379" t="s">
        <v>4696</v>
      </c>
      <c r="C1379" t="s">
        <v>1149</v>
      </c>
      <c r="D1379" t="s">
        <v>1150</v>
      </c>
      <c r="E1379" t="s">
        <v>39</v>
      </c>
      <c r="F1379" t="s">
        <v>30</v>
      </c>
      <c r="G1379" t="s">
        <v>31</v>
      </c>
      <c r="H1379" t="s">
        <v>40</v>
      </c>
      <c r="I1379" t="s">
        <v>330</v>
      </c>
      <c r="J1379" t="s">
        <v>331</v>
      </c>
      <c r="K1379" t="s">
        <v>39</v>
      </c>
      <c r="L1379" t="s">
        <v>30</v>
      </c>
      <c r="M1379" t="s">
        <v>31</v>
      </c>
      <c r="N1379" t="s">
        <v>4003</v>
      </c>
      <c r="Q1379" s="4">
        <v>1</v>
      </c>
    </row>
    <row r="1380" spans="1:17" x14ac:dyDescent="0.55000000000000004">
      <c r="A1380" t="s">
        <v>4697</v>
      </c>
      <c r="C1380" t="s">
        <v>1155</v>
      </c>
      <c r="D1380" t="s">
        <v>1156</v>
      </c>
      <c r="E1380" t="s">
        <v>39</v>
      </c>
      <c r="F1380" t="s">
        <v>30</v>
      </c>
      <c r="G1380" t="s">
        <v>31</v>
      </c>
      <c r="H1380" t="s">
        <v>40</v>
      </c>
      <c r="I1380" t="s">
        <v>335</v>
      </c>
      <c r="J1380" t="s">
        <v>336</v>
      </c>
      <c r="K1380" t="s">
        <v>39</v>
      </c>
      <c r="L1380" t="s">
        <v>30</v>
      </c>
      <c r="M1380" t="s">
        <v>31</v>
      </c>
      <c r="N1380" t="s">
        <v>4003</v>
      </c>
      <c r="Q1380" s="4">
        <v>1</v>
      </c>
    </row>
    <row r="1381" spans="1:17" x14ac:dyDescent="0.55000000000000004">
      <c r="A1381" t="s">
        <v>4698</v>
      </c>
      <c r="C1381" t="s">
        <v>1161</v>
      </c>
      <c r="D1381" t="s">
        <v>1162</v>
      </c>
      <c r="E1381" t="s">
        <v>39</v>
      </c>
      <c r="F1381" t="s">
        <v>30</v>
      </c>
      <c r="G1381" t="s">
        <v>31</v>
      </c>
      <c r="H1381" t="s">
        <v>40</v>
      </c>
      <c r="I1381" t="s">
        <v>340</v>
      </c>
      <c r="J1381" t="s">
        <v>341</v>
      </c>
      <c r="K1381" t="s">
        <v>39</v>
      </c>
      <c r="L1381" t="s">
        <v>30</v>
      </c>
      <c r="M1381" t="s">
        <v>31</v>
      </c>
      <c r="N1381" t="s">
        <v>4003</v>
      </c>
      <c r="Q1381" s="4">
        <v>1</v>
      </c>
    </row>
    <row r="1382" spans="1:17" x14ac:dyDescent="0.55000000000000004">
      <c r="A1382" t="s">
        <v>4699</v>
      </c>
      <c r="C1382" t="s">
        <v>1167</v>
      </c>
      <c r="D1382" t="s">
        <v>1168</v>
      </c>
      <c r="E1382" t="s">
        <v>39</v>
      </c>
      <c r="F1382" t="s">
        <v>30</v>
      </c>
      <c r="G1382" t="s">
        <v>31</v>
      </c>
      <c r="H1382" t="s">
        <v>40</v>
      </c>
      <c r="I1382" t="s">
        <v>345</v>
      </c>
      <c r="J1382" t="s">
        <v>346</v>
      </c>
      <c r="K1382" t="s">
        <v>39</v>
      </c>
      <c r="L1382" t="s">
        <v>30</v>
      </c>
      <c r="M1382" t="s">
        <v>31</v>
      </c>
      <c r="N1382" t="s">
        <v>4003</v>
      </c>
      <c r="Q1382" s="4">
        <v>1</v>
      </c>
    </row>
    <row r="1383" spans="1:17" x14ac:dyDescent="0.55000000000000004">
      <c r="A1383" t="s">
        <v>4700</v>
      </c>
      <c r="C1383" t="s">
        <v>1173</v>
      </c>
      <c r="D1383" t="s">
        <v>1174</v>
      </c>
      <c r="E1383" t="s">
        <v>39</v>
      </c>
      <c r="F1383" t="s">
        <v>30</v>
      </c>
      <c r="G1383" t="s">
        <v>31</v>
      </c>
      <c r="H1383" t="s">
        <v>40</v>
      </c>
      <c r="I1383" t="s">
        <v>350</v>
      </c>
      <c r="J1383" t="s">
        <v>351</v>
      </c>
      <c r="K1383" t="s">
        <v>39</v>
      </c>
      <c r="L1383" t="s">
        <v>30</v>
      </c>
      <c r="M1383" t="s">
        <v>31</v>
      </c>
      <c r="N1383" t="s">
        <v>4003</v>
      </c>
      <c r="Q1383" s="4">
        <v>1</v>
      </c>
    </row>
    <row r="1384" spans="1:17" x14ac:dyDescent="0.55000000000000004">
      <c r="A1384" t="s">
        <v>4701</v>
      </c>
      <c r="C1384" t="s">
        <v>1179</v>
      </c>
      <c r="D1384" t="s">
        <v>1180</v>
      </c>
      <c r="E1384" t="s">
        <v>39</v>
      </c>
      <c r="F1384" t="s">
        <v>30</v>
      </c>
      <c r="G1384" t="s">
        <v>31</v>
      </c>
      <c r="H1384" t="s">
        <v>40</v>
      </c>
      <c r="I1384" t="s">
        <v>355</v>
      </c>
      <c r="J1384" t="s">
        <v>356</v>
      </c>
      <c r="K1384" t="s">
        <v>39</v>
      </c>
      <c r="L1384" t="s">
        <v>30</v>
      </c>
      <c r="M1384" t="s">
        <v>31</v>
      </c>
      <c r="N1384" t="s">
        <v>4003</v>
      </c>
      <c r="Q1384" s="4">
        <v>1</v>
      </c>
    </row>
    <row r="1385" spans="1:17" x14ac:dyDescent="0.55000000000000004">
      <c r="A1385" t="s">
        <v>4702</v>
      </c>
      <c r="C1385" t="s">
        <v>3034</v>
      </c>
      <c r="D1385" t="s">
        <v>3035</v>
      </c>
      <c r="E1385" t="s">
        <v>39</v>
      </c>
      <c r="F1385" t="s">
        <v>30</v>
      </c>
      <c r="G1385" t="s">
        <v>31</v>
      </c>
      <c r="H1385" t="s">
        <v>40</v>
      </c>
      <c r="I1385" t="s">
        <v>2826</v>
      </c>
      <c r="J1385" t="s">
        <v>2827</v>
      </c>
      <c r="K1385" t="s">
        <v>39</v>
      </c>
      <c r="L1385" t="s">
        <v>30</v>
      </c>
      <c r="M1385" t="s">
        <v>31</v>
      </c>
      <c r="N1385" t="s">
        <v>991</v>
      </c>
      <c r="Q1385" s="4">
        <v>1</v>
      </c>
    </row>
    <row r="1386" spans="1:17" x14ac:dyDescent="0.55000000000000004">
      <c r="A1386" t="s">
        <v>4703</v>
      </c>
      <c r="C1386" t="s">
        <v>3036</v>
      </c>
      <c r="D1386" t="s">
        <v>3037</v>
      </c>
      <c r="E1386" t="s">
        <v>39</v>
      </c>
      <c r="F1386" t="s">
        <v>30</v>
      </c>
      <c r="G1386" t="s">
        <v>31</v>
      </c>
      <c r="H1386" t="s">
        <v>40</v>
      </c>
      <c r="I1386" t="s">
        <v>2830</v>
      </c>
      <c r="J1386" t="s">
        <v>2831</v>
      </c>
      <c r="K1386" t="s">
        <v>39</v>
      </c>
      <c r="L1386" t="s">
        <v>30</v>
      </c>
      <c r="M1386" t="s">
        <v>31</v>
      </c>
      <c r="N1386" t="s">
        <v>991</v>
      </c>
      <c r="Q1386" s="4">
        <v>1</v>
      </c>
    </row>
    <row r="1387" spans="1:17" x14ac:dyDescent="0.55000000000000004">
      <c r="A1387" t="s">
        <v>4704</v>
      </c>
      <c r="C1387" t="s">
        <v>3038</v>
      </c>
      <c r="D1387" t="s">
        <v>3039</v>
      </c>
      <c r="E1387" t="s">
        <v>39</v>
      </c>
      <c r="F1387" t="s">
        <v>30</v>
      </c>
      <c r="G1387" t="s">
        <v>31</v>
      </c>
      <c r="H1387" t="s">
        <v>40</v>
      </c>
      <c r="I1387" t="s">
        <v>2834</v>
      </c>
      <c r="J1387" t="s">
        <v>2835</v>
      </c>
      <c r="K1387" t="s">
        <v>39</v>
      </c>
      <c r="L1387" t="s">
        <v>30</v>
      </c>
      <c r="M1387" t="s">
        <v>31</v>
      </c>
      <c r="N1387" t="s">
        <v>991</v>
      </c>
      <c r="Q1387" s="4">
        <v>1</v>
      </c>
    </row>
    <row r="1388" spans="1:17" x14ac:dyDescent="0.55000000000000004">
      <c r="A1388" t="s">
        <v>4705</v>
      </c>
      <c r="C1388" t="s">
        <v>3040</v>
      </c>
      <c r="D1388" t="s">
        <v>3041</v>
      </c>
      <c r="E1388" t="s">
        <v>39</v>
      </c>
      <c r="F1388" t="s">
        <v>30</v>
      </c>
      <c r="G1388" t="s">
        <v>31</v>
      </c>
      <c r="H1388" t="s">
        <v>40</v>
      </c>
      <c r="I1388" t="s">
        <v>2838</v>
      </c>
      <c r="J1388" t="s">
        <v>2839</v>
      </c>
      <c r="K1388" t="s">
        <v>39</v>
      </c>
      <c r="L1388" t="s">
        <v>30</v>
      </c>
      <c r="M1388" t="s">
        <v>31</v>
      </c>
      <c r="N1388" t="s">
        <v>991</v>
      </c>
      <c r="Q1388" s="4">
        <v>1</v>
      </c>
    </row>
    <row r="1389" spans="1:17" x14ac:dyDescent="0.55000000000000004">
      <c r="A1389" t="s">
        <v>4706</v>
      </c>
      <c r="C1389" t="s">
        <v>3042</v>
      </c>
      <c r="D1389" t="s">
        <v>3043</v>
      </c>
      <c r="E1389" t="s">
        <v>39</v>
      </c>
      <c r="F1389" t="s">
        <v>30</v>
      </c>
      <c r="G1389" t="s">
        <v>31</v>
      </c>
      <c r="H1389" t="s">
        <v>40</v>
      </c>
      <c r="I1389" t="s">
        <v>2842</v>
      </c>
      <c r="J1389" t="s">
        <v>2843</v>
      </c>
      <c r="K1389" t="s">
        <v>39</v>
      </c>
      <c r="L1389" t="s">
        <v>30</v>
      </c>
      <c r="M1389" t="s">
        <v>31</v>
      </c>
      <c r="N1389" t="s">
        <v>991</v>
      </c>
      <c r="Q1389" s="4">
        <v>1</v>
      </c>
    </row>
    <row r="1390" spans="1:17" x14ac:dyDescent="0.55000000000000004">
      <c r="A1390" t="s">
        <v>4707</v>
      </c>
      <c r="C1390" t="s">
        <v>3044</v>
      </c>
      <c r="D1390" t="s">
        <v>3045</v>
      </c>
      <c r="E1390" t="s">
        <v>39</v>
      </c>
      <c r="F1390" t="s">
        <v>30</v>
      </c>
      <c r="G1390" t="s">
        <v>31</v>
      </c>
      <c r="H1390" t="s">
        <v>40</v>
      </c>
      <c r="I1390" t="s">
        <v>2846</v>
      </c>
      <c r="J1390" t="s">
        <v>2847</v>
      </c>
      <c r="K1390" t="s">
        <v>39</v>
      </c>
      <c r="L1390" t="s">
        <v>30</v>
      </c>
      <c r="M1390" t="s">
        <v>31</v>
      </c>
      <c r="N1390" t="s">
        <v>991</v>
      </c>
      <c r="Q1390" s="4">
        <v>1</v>
      </c>
    </row>
    <row r="1391" spans="1:17" x14ac:dyDescent="0.55000000000000004">
      <c r="A1391" t="s">
        <v>4708</v>
      </c>
      <c r="C1391" t="s">
        <v>3046</v>
      </c>
      <c r="D1391" t="s">
        <v>3047</v>
      </c>
      <c r="E1391" t="s">
        <v>39</v>
      </c>
      <c r="F1391" t="s">
        <v>30</v>
      </c>
      <c r="G1391" t="s">
        <v>31</v>
      </c>
      <c r="H1391" t="s">
        <v>40</v>
      </c>
      <c r="I1391" t="s">
        <v>2850</v>
      </c>
      <c r="J1391" t="s">
        <v>2851</v>
      </c>
      <c r="K1391" t="s">
        <v>39</v>
      </c>
      <c r="L1391" t="s">
        <v>30</v>
      </c>
      <c r="M1391" t="s">
        <v>31</v>
      </c>
      <c r="N1391" t="s">
        <v>991</v>
      </c>
      <c r="Q1391" s="4">
        <v>1</v>
      </c>
    </row>
    <row r="1392" spans="1:17" x14ac:dyDescent="0.55000000000000004">
      <c r="A1392" t="s">
        <v>4709</v>
      </c>
      <c r="C1392" t="s">
        <v>3048</v>
      </c>
      <c r="D1392" t="s">
        <v>3049</v>
      </c>
      <c r="E1392" t="s">
        <v>39</v>
      </c>
      <c r="F1392" t="s">
        <v>30</v>
      </c>
      <c r="G1392" t="s">
        <v>31</v>
      </c>
      <c r="H1392" t="s">
        <v>40</v>
      </c>
      <c r="I1392" t="s">
        <v>2854</v>
      </c>
      <c r="J1392" t="s">
        <v>2855</v>
      </c>
      <c r="K1392" t="s">
        <v>39</v>
      </c>
      <c r="L1392" t="s">
        <v>30</v>
      </c>
      <c r="M1392" t="s">
        <v>31</v>
      </c>
      <c r="N1392" t="s">
        <v>991</v>
      </c>
      <c r="Q1392" s="4">
        <v>1</v>
      </c>
    </row>
    <row r="1393" spans="1:17" x14ac:dyDescent="0.55000000000000004">
      <c r="A1393" t="s">
        <v>4710</v>
      </c>
      <c r="C1393" t="s">
        <v>3050</v>
      </c>
      <c r="D1393" t="s">
        <v>3051</v>
      </c>
      <c r="E1393" t="s">
        <v>39</v>
      </c>
      <c r="F1393" t="s">
        <v>30</v>
      </c>
      <c r="G1393" t="s">
        <v>31</v>
      </c>
      <c r="H1393" t="s">
        <v>40</v>
      </c>
      <c r="I1393" t="s">
        <v>2858</v>
      </c>
      <c r="J1393" t="s">
        <v>2859</v>
      </c>
      <c r="K1393" t="s">
        <v>39</v>
      </c>
      <c r="L1393" t="s">
        <v>30</v>
      </c>
      <c r="M1393" t="s">
        <v>31</v>
      </c>
      <c r="N1393" t="s">
        <v>991</v>
      </c>
      <c r="Q1393" s="4">
        <v>1</v>
      </c>
    </row>
    <row r="1394" spans="1:17" x14ac:dyDescent="0.55000000000000004">
      <c r="A1394" t="s">
        <v>4711</v>
      </c>
      <c r="C1394" t="s">
        <v>3052</v>
      </c>
      <c r="D1394" t="s">
        <v>3053</v>
      </c>
      <c r="E1394" t="s">
        <v>39</v>
      </c>
      <c r="F1394" t="s">
        <v>30</v>
      </c>
      <c r="G1394" t="s">
        <v>31</v>
      </c>
      <c r="H1394" t="s">
        <v>40</v>
      </c>
      <c r="I1394" t="s">
        <v>2862</v>
      </c>
      <c r="J1394" t="s">
        <v>2863</v>
      </c>
      <c r="K1394" t="s">
        <v>39</v>
      </c>
      <c r="L1394" t="s">
        <v>30</v>
      </c>
      <c r="M1394" t="s">
        <v>31</v>
      </c>
      <c r="N1394" t="s">
        <v>991</v>
      </c>
      <c r="Q1394" s="4">
        <v>1</v>
      </c>
    </row>
    <row r="1395" spans="1:17" x14ac:dyDescent="0.55000000000000004">
      <c r="A1395" t="s">
        <v>4712</v>
      </c>
      <c r="C1395" t="s">
        <v>3054</v>
      </c>
      <c r="D1395" t="s">
        <v>3055</v>
      </c>
      <c r="E1395" t="s">
        <v>39</v>
      </c>
      <c r="F1395" t="s">
        <v>30</v>
      </c>
      <c r="G1395" t="s">
        <v>31</v>
      </c>
      <c r="H1395" t="s">
        <v>40</v>
      </c>
      <c r="I1395" t="s">
        <v>2866</v>
      </c>
      <c r="J1395" t="s">
        <v>2867</v>
      </c>
      <c r="K1395" t="s">
        <v>39</v>
      </c>
      <c r="L1395" t="s">
        <v>30</v>
      </c>
      <c r="M1395" t="s">
        <v>31</v>
      </c>
      <c r="N1395" t="s">
        <v>991</v>
      </c>
      <c r="Q1395" s="4">
        <v>1</v>
      </c>
    </row>
    <row r="1396" spans="1:17" x14ac:dyDescent="0.55000000000000004">
      <c r="A1396" t="s">
        <v>4713</v>
      </c>
      <c r="C1396" t="s">
        <v>3056</v>
      </c>
      <c r="D1396" t="s">
        <v>3057</v>
      </c>
      <c r="E1396" t="s">
        <v>39</v>
      </c>
      <c r="F1396" t="s">
        <v>30</v>
      </c>
      <c r="G1396" t="s">
        <v>31</v>
      </c>
      <c r="H1396" t="s">
        <v>40</v>
      </c>
      <c r="I1396" t="s">
        <v>2870</v>
      </c>
      <c r="J1396" t="s">
        <v>2871</v>
      </c>
      <c r="K1396" t="s">
        <v>39</v>
      </c>
      <c r="L1396" t="s">
        <v>30</v>
      </c>
      <c r="M1396" t="s">
        <v>31</v>
      </c>
      <c r="N1396" t="s">
        <v>991</v>
      </c>
      <c r="Q1396" s="4">
        <v>1</v>
      </c>
    </row>
    <row r="1397" spans="1:17" x14ac:dyDescent="0.55000000000000004">
      <c r="A1397" t="s">
        <v>4714</v>
      </c>
      <c r="C1397" t="s">
        <v>3058</v>
      </c>
      <c r="D1397" t="s">
        <v>3059</v>
      </c>
      <c r="E1397" t="s">
        <v>39</v>
      </c>
      <c r="F1397" t="s">
        <v>30</v>
      </c>
      <c r="G1397" t="s">
        <v>31</v>
      </c>
      <c r="H1397" t="s">
        <v>40</v>
      </c>
      <c r="I1397" t="s">
        <v>2874</v>
      </c>
      <c r="J1397" t="s">
        <v>2875</v>
      </c>
      <c r="K1397" t="s">
        <v>39</v>
      </c>
      <c r="L1397" t="s">
        <v>30</v>
      </c>
      <c r="M1397" t="s">
        <v>31</v>
      </c>
      <c r="N1397" t="s">
        <v>991</v>
      </c>
      <c r="Q1397" s="4">
        <v>1</v>
      </c>
    </row>
    <row r="1398" spans="1:17" x14ac:dyDescent="0.55000000000000004">
      <c r="A1398" t="s">
        <v>4715</v>
      </c>
      <c r="C1398" t="s">
        <v>3060</v>
      </c>
      <c r="D1398" t="s">
        <v>3061</v>
      </c>
      <c r="E1398" t="s">
        <v>39</v>
      </c>
      <c r="F1398" t="s">
        <v>30</v>
      </c>
      <c r="G1398" t="s">
        <v>31</v>
      </c>
      <c r="H1398" t="s">
        <v>40</v>
      </c>
      <c r="I1398" t="s">
        <v>2878</v>
      </c>
      <c r="J1398" t="s">
        <v>2879</v>
      </c>
      <c r="K1398" t="s">
        <v>39</v>
      </c>
      <c r="L1398" t="s">
        <v>30</v>
      </c>
      <c r="M1398" t="s">
        <v>31</v>
      </c>
      <c r="N1398" t="s">
        <v>991</v>
      </c>
      <c r="Q1398" s="4">
        <v>1</v>
      </c>
    </row>
    <row r="1399" spans="1:17" x14ac:dyDescent="0.55000000000000004">
      <c r="A1399" t="s">
        <v>4716</v>
      </c>
      <c r="C1399" t="s">
        <v>3062</v>
      </c>
      <c r="D1399" t="s">
        <v>3063</v>
      </c>
      <c r="E1399" t="s">
        <v>39</v>
      </c>
      <c r="F1399" t="s">
        <v>30</v>
      </c>
      <c r="G1399" t="s">
        <v>31</v>
      </c>
      <c r="H1399" t="s">
        <v>40</v>
      </c>
      <c r="I1399" t="s">
        <v>2882</v>
      </c>
      <c r="J1399" t="s">
        <v>2883</v>
      </c>
      <c r="K1399" t="s">
        <v>39</v>
      </c>
      <c r="L1399" t="s">
        <v>30</v>
      </c>
      <c r="M1399" t="s">
        <v>31</v>
      </c>
      <c r="N1399" t="s">
        <v>991</v>
      </c>
      <c r="Q1399" s="4">
        <v>1</v>
      </c>
    </row>
    <row r="1400" spans="1:17" x14ac:dyDescent="0.55000000000000004">
      <c r="A1400" t="s">
        <v>4717</v>
      </c>
      <c r="C1400" t="s">
        <v>3064</v>
      </c>
      <c r="D1400" t="s">
        <v>3065</v>
      </c>
      <c r="E1400" t="s">
        <v>39</v>
      </c>
      <c r="F1400" t="s">
        <v>30</v>
      </c>
      <c r="G1400" t="s">
        <v>31</v>
      </c>
      <c r="H1400" t="s">
        <v>40</v>
      </c>
      <c r="I1400" t="s">
        <v>2886</v>
      </c>
      <c r="J1400" t="s">
        <v>2887</v>
      </c>
      <c r="K1400" t="s">
        <v>39</v>
      </c>
      <c r="L1400" t="s">
        <v>30</v>
      </c>
      <c r="M1400" t="s">
        <v>31</v>
      </c>
      <c r="N1400" t="s">
        <v>991</v>
      </c>
      <c r="Q1400" s="4">
        <v>1</v>
      </c>
    </row>
    <row r="1401" spans="1:17" x14ac:dyDescent="0.55000000000000004">
      <c r="A1401" t="s">
        <v>4718</v>
      </c>
      <c r="C1401" t="s">
        <v>3066</v>
      </c>
      <c r="D1401" t="s">
        <v>3067</v>
      </c>
      <c r="E1401" t="s">
        <v>39</v>
      </c>
      <c r="F1401" t="s">
        <v>30</v>
      </c>
      <c r="G1401" t="s">
        <v>31</v>
      </c>
      <c r="H1401" t="s">
        <v>40</v>
      </c>
      <c r="I1401" t="s">
        <v>2890</v>
      </c>
      <c r="J1401" t="s">
        <v>2891</v>
      </c>
      <c r="K1401" t="s">
        <v>39</v>
      </c>
      <c r="L1401" t="s">
        <v>30</v>
      </c>
      <c r="M1401" t="s">
        <v>31</v>
      </c>
      <c r="N1401" t="s">
        <v>991</v>
      </c>
      <c r="Q1401" s="4">
        <v>1</v>
      </c>
    </row>
    <row r="1402" spans="1:17" x14ac:dyDescent="0.55000000000000004">
      <c r="A1402" t="s">
        <v>4719</v>
      </c>
      <c r="C1402" t="s">
        <v>3068</v>
      </c>
      <c r="D1402" t="s">
        <v>3069</v>
      </c>
      <c r="E1402" t="s">
        <v>39</v>
      </c>
      <c r="F1402" t="s">
        <v>30</v>
      </c>
      <c r="G1402" t="s">
        <v>31</v>
      </c>
      <c r="H1402" t="s">
        <v>40</v>
      </c>
      <c r="I1402" t="s">
        <v>2894</v>
      </c>
      <c r="J1402" t="s">
        <v>2895</v>
      </c>
      <c r="K1402" t="s">
        <v>39</v>
      </c>
      <c r="L1402" t="s">
        <v>30</v>
      </c>
      <c r="M1402" t="s">
        <v>31</v>
      </c>
      <c r="N1402" t="s">
        <v>991</v>
      </c>
      <c r="Q1402" s="4">
        <v>1</v>
      </c>
    </row>
    <row r="1403" spans="1:17" x14ac:dyDescent="0.55000000000000004">
      <c r="A1403" t="s">
        <v>4720</v>
      </c>
      <c r="C1403" t="s">
        <v>3070</v>
      </c>
      <c r="D1403" t="s">
        <v>3071</v>
      </c>
      <c r="E1403" t="s">
        <v>39</v>
      </c>
      <c r="F1403" t="s">
        <v>30</v>
      </c>
      <c r="G1403" t="s">
        <v>31</v>
      </c>
      <c r="H1403" t="s">
        <v>40</v>
      </c>
      <c r="I1403" t="s">
        <v>2898</v>
      </c>
      <c r="J1403" t="s">
        <v>2899</v>
      </c>
      <c r="K1403" t="s">
        <v>39</v>
      </c>
      <c r="L1403" t="s">
        <v>30</v>
      </c>
      <c r="M1403" t="s">
        <v>31</v>
      </c>
      <c r="N1403" t="s">
        <v>991</v>
      </c>
      <c r="Q1403" s="4">
        <v>1</v>
      </c>
    </row>
    <row r="1404" spans="1:17" x14ac:dyDescent="0.55000000000000004">
      <c r="A1404" t="s">
        <v>4721</v>
      </c>
      <c r="C1404" t="s">
        <v>3072</v>
      </c>
      <c r="D1404" t="s">
        <v>3073</v>
      </c>
      <c r="E1404" t="s">
        <v>39</v>
      </c>
      <c r="F1404" t="s">
        <v>30</v>
      </c>
      <c r="G1404" t="s">
        <v>31</v>
      </c>
      <c r="H1404" t="s">
        <v>40</v>
      </c>
      <c r="I1404" t="s">
        <v>2902</v>
      </c>
      <c r="J1404" t="s">
        <v>2903</v>
      </c>
      <c r="K1404" t="s">
        <v>39</v>
      </c>
      <c r="L1404" t="s">
        <v>30</v>
      </c>
      <c r="M1404" t="s">
        <v>31</v>
      </c>
      <c r="N1404" t="s">
        <v>991</v>
      </c>
      <c r="Q1404" s="4">
        <v>1</v>
      </c>
    </row>
    <row r="1405" spans="1:17" x14ac:dyDescent="0.55000000000000004">
      <c r="A1405" t="s">
        <v>4722</v>
      </c>
      <c r="C1405" t="s">
        <v>3074</v>
      </c>
      <c r="D1405" t="s">
        <v>3075</v>
      </c>
      <c r="E1405" t="s">
        <v>39</v>
      </c>
      <c r="F1405" t="s">
        <v>30</v>
      </c>
      <c r="G1405" t="s">
        <v>31</v>
      </c>
      <c r="H1405" t="s">
        <v>40</v>
      </c>
      <c r="I1405" t="s">
        <v>2906</v>
      </c>
      <c r="J1405" t="s">
        <v>2907</v>
      </c>
      <c r="K1405" t="s">
        <v>39</v>
      </c>
      <c r="L1405" t="s">
        <v>30</v>
      </c>
      <c r="M1405" t="s">
        <v>31</v>
      </c>
      <c r="N1405" t="s">
        <v>991</v>
      </c>
      <c r="Q1405" s="4">
        <v>1</v>
      </c>
    </row>
    <row r="1406" spans="1:17" s="16" customFormat="1" ht="18.5" thickBot="1" x14ac:dyDescent="0.6">
      <c r="A1406" s="16" t="s">
        <v>4723</v>
      </c>
      <c r="C1406" s="16" t="s">
        <v>3076</v>
      </c>
      <c r="D1406" s="16" t="s">
        <v>3077</v>
      </c>
      <c r="E1406" s="16" t="s">
        <v>39</v>
      </c>
      <c r="F1406" s="16" t="s">
        <v>30</v>
      </c>
      <c r="G1406" s="16" t="s">
        <v>31</v>
      </c>
      <c r="H1406" s="16" t="s">
        <v>40</v>
      </c>
      <c r="I1406" s="16" t="s">
        <v>2910</v>
      </c>
      <c r="J1406" s="16" t="s">
        <v>2911</v>
      </c>
      <c r="K1406" s="16" t="s">
        <v>39</v>
      </c>
      <c r="L1406" s="16" t="s">
        <v>30</v>
      </c>
      <c r="M1406" s="16" t="s">
        <v>31</v>
      </c>
      <c r="N1406" s="16" t="s">
        <v>991</v>
      </c>
      <c r="Q1406" s="18">
        <v>1</v>
      </c>
    </row>
    <row r="1407" spans="1:17" x14ac:dyDescent="0.55000000000000004">
      <c r="A1407" t="s">
        <v>4724</v>
      </c>
      <c r="C1407" t="s">
        <v>1185</v>
      </c>
      <c r="D1407" t="s">
        <v>4004</v>
      </c>
      <c r="E1407" t="s">
        <v>39</v>
      </c>
      <c r="F1407" t="s">
        <v>30</v>
      </c>
      <c r="G1407" t="s">
        <v>31</v>
      </c>
      <c r="H1407" t="s">
        <v>4005</v>
      </c>
      <c r="I1407" t="s">
        <v>360</v>
      </c>
      <c r="J1407" t="s">
        <v>361</v>
      </c>
      <c r="K1407" t="s">
        <v>362</v>
      </c>
      <c r="L1407" t="s">
        <v>30</v>
      </c>
      <c r="M1407" t="s">
        <v>31</v>
      </c>
      <c r="Q1407" s="4">
        <v>1</v>
      </c>
    </row>
    <row r="1408" spans="1:17" x14ac:dyDescent="0.55000000000000004">
      <c r="A1408" t="s">
        <v>4725</v>
      </c>
      <c r="C1408" t="s">
        <v>1189</v>
      </c>
      <c r="D1408" t="s">
        <v>1190</v>
      </c>
      <c r="E1408" t="s">
        <v>39</v>
      </c>
      <c r="F1408" t="s">
        <v>30</v>
      </c>
      <c r="G1408" t="s">
        <v>31</v>
      </c>
      <c r="H1408" t="s">
        <v>4005</v>
      </c>
      <c r="I1408" t="s">
        <v>366</v>
      </c>
      <c r="J1408" t="s">
        <v>367</v>
      </c>
      <c r="K1408" t="s">
        <v>362</v>
      </c>
      <c r="L1408" t="s">
        <v>30</v>
      </c>
      <c r="M1408" t="s">
        <v>31</v>
      </c>
      <c r="Q1408" s="4">
        <v>1</v>
      </c>
    </row>
    <row r="1409" spans="1:17" x14ac:dyDescent="0.55000000000000004">
      <c r="A1409" t="s">
        <v>4726</v>
      </c>
      <c r="C1409" t="s">
        <v>1193</v>
      </c>
      <c r="D1409" t="s">
        <v>1194</v>
      </c>
      <c r="E1409" t="s">
        <v>39</v>
      </c>
      <c r="F1409" t="s">
        <v>30</v>
      </c>
      <c r="G1409" t="s">
        <v>31</v>
      </c>
      <c r="H1409" t="s">
        <v>4005</v>
      </c>
      <c r="I1409" t="s">
        <v>371</v>
      </c>
      <c r="J1409" t="s">
        <v>372</v>
      </c>
      <c r="K1409" t="s">
        <v>362</v>
      </c>
      <c r="L1409" t="s">
        <v>30</v>
      </c>
      <c r="M1409" t="s">
        <v>31</v>
      </c>
      <c r="Q1409" s="4">
        <v>1</v>
      </c>
    </row>
    <row r="1410" spans="1:17" x14ac:dyDescent="0.55000000000000004">
      <c r="A1410" t="s">
        <v>4727</v>
      </c>
      <c r="C1410" t="s">
        <v>1197</v>
      </c>
      <c r="D1410" t="s">
        <v>1198</v>
      </c>
      <c r="E1410" t="s">
        <v>39</v>
      </c>
      <c r="F1410" t="s">
        <v>30</v>
      </c>
      <c r="G1410" t="s">
        <v>31</v>
      </c>
      <c r="H1410" t="s">
        <v>4005</v>
      </c>
      <c r="I1410" t="s">
        <v>376</v>
      </c>
      <c r="J1410" t="s">
        <v>377</v>
      </c>
      <c r="K1410" t="s">
        <v>362</v>
      </c>
      <c r="L1410" t="s">
        <v>30</v>
      </c>
      <c r="M1410" t="s">
        <v>31</v>
      </c>
      <c r="Q1410" s="4">
        <v>1</v>
      </c>
    </row>
    <row r="1411" spans="1:17" x14ac:dyDescent="0.55000000000000004">
      <c r="A1411" t="s">
        <v>4728</v>
      </c>
      <c r="C1411" t="s">
        <v>1201</v>
      </c>
      <c r="D1411" t="s">
        <v>1202</v>
      </c>
      <c r="E1411" t="s">
        <v>39</v>
      </c>
      <c r="F1411" t="s">
        <v>30</v>
      </c>
      <c r="G1411" t="s">
        <v>31</v>
      </c>
      <c r="H1411" t="s">
        <v>4005</v>
      </c>
      <c r="I1411" t="s">
        <v>381</v>
      </c>
      <c r="J1411" t="s">
        <v>382</v>
      </c>
      <c r="K1411" t="s">
        <v>362</v>
      </c>
      <c r="L1411" t="s">
        <v>30</v>
      </c>
      <c r="M1411" t="s">
        <v>31</v>
      </c>
      <c r="Q1411" s="4">
        <v>1</v>
      </c>
    </row>
    <row r="1412" spans="1:17" x14ac:dyDescent="0.55000000000000004">
      <c r="A1412" t="s">
        <v>4729</v>
      </c>
      <c r="C1412" t="s">
        <v>1205</v>
      </c>
      <c r="D1412" t="s">
        <v>1206</v>
      </c>
      <c r="E1412" t="s">
        <v>39</v>
      </c>
      <c r="F1412" t="s">
        <v>30</v>
      </c>
      <c r="G1412" t="s">
        <v>31</v>
      </c>
      <c r="H1412" t="s">
        <v>4005</v>
      </c>
      <c r="I1412" t="s">
        <v>386</v>
      </c>
      <c r="J1412" t="s">
        <v>387</v>
      </c>
      <c r="K1412" t="s">
        <v>362</v>
      </c>
      <c r="L1412" t="s">
        <v>30</v>
      </c>
      <c r="M1412" t="s">
        <v>31</v>
      </c>
      <c r="Q1412" s="4">
        <v>1</v>
      </c>
    </row>
    <row r="1413" spans="1:17" x14ac:dyDescent="0.55000000000000004">
      <c r="A1413" t="s">
        <v>4730</v>
      </c>
      <c r="C1413" t="s">
        <v>1209</v>
      </c>
      <c r="D1413" t="s">
        <v>1210</v>
      </c>
      <c r="E1413" t="s">
        <v>39</v>
      </c>
      <c r="F1413" t="s">
        <v>30</v>
      </c>
      <c r="G1413" t="s">
        <v>31</v>
      </c>
      <c r="H1413" t="s">
        <v>4005</v>
      </c>
      <c r="I1413" t="s">
        <v>391</v>
      </c>
      <c r="J1413" t="s">
        <v>392</v>
      </c>
      <c r="K1413" t="s">
        <v>362</v>
      </c>
      <c r="L1413" t="s">
        <v>30</v>
      </c>
      <c r="M1413" t="s">
        <v>31</v>
      </c>
      <c r="Q1413" s="4">
        <v>1</v>
      </c>
    </row>
    <row r="1414" spans="1:17" x14ac:dyDescent="0.55000000000000004">
      <c r="A1414" t="s">
        <v>4731</v>
      </c>
      <c r="C1414" t="s">
        <v>1213</v>
      </c>
      <c r="D1414" t="s">
        <v>1214</v>
      </c>
      <c r="E1414" t="s">
        <v>39</v>
      </c>
      <c r="F1414" t="s">
        <v>30</v>
      </c>
      <c r="G1414" t="s">
        <v>31</v>
      </c>
      <c r="H1414" t="s">
        <v>4005</v>
      </c>
      <c r="I1414" t="s">
        <v>396</v>
      </c>
      <c r="J1414" t="s">
        <v>397</v>
      </c>
      <c r="K1414" t="s">
        <v>362</v>
      </c>
      <c r="L1414" t="s">
        <v>30</v>
      </c>
      <c r="M1414" t="s">
        <v>31</v>
      </c>
      <c r="Q1414" s="4">
        <v>1</v>
      </c>
    </row>
    <row r="1415" spans="1:17" x14ac:dyDescent="0.55000000000000004">
      <c r="A1415" t="s">
        <v>4732</v>
      </c>
      <c r="C1415" t="s">
        <v>1217</v>
      </c>
      <c r="D1415" t="s">
        <v>1218</v>
      </c>
      <c r="E1415" t="s">
        <v>39</v>
      </c>
      <c r="F1415" t="s">
        <v>30</v>
      </c>
      <c r="G1415" t="s">
        <v>31</v>
      </c>
      <c r="H1415" t="s">
        <v>4005</v>
      </c>
      <c r="I1415" t="s">
        <v>401</v>
      </c>
      <c r="J1415" t="s">
        <v>402</v>
      </c>
      <c r="K1415" t="s">
        <v>362</v>
      </c>
      <c r="L1415" t="s">
        <v>30</v>
      </c>
      <c r="M1415" t="s">
        <v>31</v>
      </c>
      <c r="Q1415" s="4">
        <v>1</v>
      </c>
    </row>
    <row r="1416" spans="1:17" x14ac:dyDescent="0.55000000000000004">
      <c r="A1416" t="s">
        <v>4733</v>
      </c>
      <c r="C1416" t="s">
        <v>1221</v>
      </c>
      <c r="D1416" t="s">
        <v>1222</v>
      </c>
      <c r="E1416" t="s">
        <v>39</v>
      </c>
      <c r="F1416" t="s">
        <v>30</v>
      </c>
      <c r="G1416" t="s">
        <v>31</v>
      </c>
      <c r="H1416" t="s">
        <v>4005</v>
      </c>
      <c r="I1416" t="s">
        <v>406</v>
      </c>
      <c r="J1416" t="s">
        <v>407</v>
      </c>
      <c r="K1416" t="s">
        <v>362</v>
      </c>
      <c r="L1416" t="s">
        <v>30</v>
      </c>
      <c r="M1416" t="s">
        <v>31</v>
      </c>
      <c r="Q1416" s="4">
        <v>1</v>
      </c>
    </row>
    <row r="1417" spans="1:17" x14ac:dyDescent="0.55000000000000004">
      <c r="A1417" t="s">
        <v>4734</v>
      </c>
      <c r="C1417" t="s">
        <v>1225</v>
      </c>
      <c r="D1417" t="s">
        <v>1226</v>
      </c>
      <c r="E1417" t="s">
        <v>39</v>
      </c>
      <c r="F1417" t="s">
        <v>30</v>
      </c>
      <c r="G1417" t="s">
        <v>31</v>
      </c>
      <c r="H1417" t="s">
        <v>4005</v>
      </c>
      <c r="I1417" t="s">
        <v>411</v>
      </c>
      <c r="J1417" t="s">
        <v>412</v>
      </c>
      <c r="K1417" t="s">
        <v>362</v>
      </c>
      <c r="L1417" t="s">
        <v>30</v>
      </c>
      <c r="M1417" t="s">
        <v>31</v>
      </c>
      <c r="Q1417" s="4">
        <v>1</v>
      </c>
    </row>
    <row r="1418" spans="1:17" x14ac:dyDescent="0.55000000000000004">
      <c r="A1418" t="s">
        <v>4735</v>
      </c>
      <c r="C1418" t="s">
        <v>1229</v>
      </c>
      <c r="D1418" t="s">
        <v>1230</v>
      </c>
      <c r="E1418" t="s">
        <v>39</v>
      </c>
      <c r="F1418" t="s">
        <v>30</v>
      </c>
      <c r="G1418" t="s">
        <v>31</v>
      </c>
      <c r="H1418" t="s">
        <v>4005</v>
      </c>
      <c r="I1418" t="s">
        <v>416</v>
      </c>
      <c r="J1418" t="s">
        <v>417</v>
      </c>
      <c r="K1418" t="s">
        <v>362</v>
      </c>
      <c r="L1418" t="s">
        <v>30</v>
      </c>
      <c r="M1418" t="s">
        <v>31</v>
      </c>
      <c r="Q1418" s="4">
        <v>1</v>
      </c>
    </row>
    <row r="1419" spans="1:17" x14ac:dyDescent="0.55000000000000004">
      <c r="A1419" t="s">
        <v>4736</v>
      </c>
      <c r="C1419" t="s">
        <v>1233</v>
      </c>
      <c r="D1419" t="s">
        <v>1234</v>
      </c>
      <c r="E1419" t="s">
        <v>39</v>
      </c>
      <c r="F1419" t="s">
        <v>30</v>
      </c>
      <c r="G1419" t="s">
        <v>31</v>
      </c>
      <c r="H1419" t="s">
        <v>4005</v>
      </c>
      <c r="I1419" t="s">
        <v>421</v>
      </c>
      <c r="J1419" t="s">
        <v>422</v>
      </c>
      <c r="K1419" t="s">
        <v>362</v>
      </c>
      <c r="L1419" t="s">
        <v>30</v>
      </c>
      <c r="M1419" t="s">
        <v>31</v>
      </c>
      <c r="Q1419" s="4">
        <v>1</v>
      </c>
    </row>
    <row r="1420" spans="1:17" x14ac:dyDescent="0.55000000000000004">
      <c r="A1420" t="s">
        <v>4737</v>
      </c>
      <c r="C1420" t="s">
        <v>1237</v>
      </c>
      <c r="D1420" t="s">
        <v>1238</v>
      </c>
      <c r="E1420" t="s">
        <v>39</v>
      </c>
      <c r="F1420" t="s">
        <v>30</v>
      </c>
      <c r="G1420" t="s">
        <v>31</v>
      </c>
      <c r="H1420" t="s">
        <v>4005</v>
      </c>
      <c r="I1420" t="s">
        <v>426</v>
      </c>
      <c r="J1420" t="s">
        <v>427</v>
      </c>
      <c r="K1420" t="s">
        <v>362</v>
      </c>
      <c r="L1420" t="s">
        <v>30</v>
      </c>
      <c r="M1420" t="s">
        <v>31</v>
      </c>
      <c r="Q1420" s="4">
        <v>1</v>
      </c>
    </row>
    <row r="1421" spans="1:17" x14ac:dyDescent="0.55000000000000004">
      <c r="A1421" t="s">
        <v>4738</v>
      </c>
      <c r="C1421" t="s">
        <v>1241</v>
      </c>
      <c r="D1421" t="s">
        <v>1242</v>
      </c>
      <c r="E1421" t="s">
        <v>39</v>
      </c>
      <c r="F1421" t="s">
        <v>30</v>
      </c>
      <c r="G1421" t="s">
        <v>31</v>
      </c>
      <c r="H1421" t="s">
        <v>4005</v>
      </c>
      <c r="I1421" t="s">
        <v>431</v>
      </c>
      <c r="J1421" t="s">
        <v>432</v>
      </c>
      <c r="K1421" t="s">
        <v>362</v>
      </c>
      <c r="L1421" t="s">
        <v>30</v>
      </c>
      <c r="M1421" t="s">
        <v>31</v>
      </c>
      <c r="Q1421" s="4">
        <v>1</v>
      </c>
    </row>
    <row r="1422" spans="1:17" x14ac:dyDescent="0.55000000000000004">
      <c r="A1422" t="s">
        <v>4739</v>
      </c>
      <c r="C1422" t="s">
        <v>1245</v>
      </c>
      <c r="D1422" t="s">
        <v>1246</v>
      </c>
      <c r="E1422" t="s">
        <v>39</v>
      </c>
      <c r="F1422" t="s">
        <v>30</v>
      </c>
      <c r="G1422" t="s">
        <v>31</v>
      </c>
      <c r="H1422" t="s">
        <v>4005</v>
      </c>
      <c r="I1422" t="s">
        <v>436</v>
      </c>
      <c r="J1422" t="s">
        <v>437</v>
      </c>
      <c r="K1422" t="s">
        <v>362</v>
      </c>
      <c r="L1422" t="s">
        <v>30</v>
      </c>
      <c r="M1422" t="s">
        <v>31</v>
      </c>
      <c r="Q1422" s="4">
        <v>1</v>
      </c>
    </row>
    <row r="1423" spans="1:17" x14ac:dyDescent="0.55000000000000004">
      <c r="A1423" t="s">
        <v>4740</v>
      </c>
      <c r="C1423" t="s">
        <v>1249</v>
      </c>
      <c r="D1423" t="s">
        <v>1250</v>
      </c>
      <c r="E1423" t="s">
        <v>39</v>
      </c>
      <c r="F1423" t="s">
        <v>30</v>
      </c>
      <c r="G1423" t="s">
        <v>31</v>
      </c>
      <c r="H1423" t="s">
        <v>4005</v>
      </c>
      <c r="I1423" t="s">
        <v>441</v>
      </c>
      <c r="J1423" t="s">
        <v>442</v>
      </c>
      <c r="K1423" t="s">
        <v>362</v>
      </c>
      <c r="L1423" t="s">
        <v>30</v>
      </c>
      <c r="M1423" t="s">
        <v>31</v>
      </c>
      <c r="Q1423" s="4">
        <v>1</v>
      </c>
    </row>
    <row r="1424" spans="1:17" x14ac:dyDescent="0.55000000000000004">
      <c r="A1424" t="s">
        <v>4741</v>
      </c>
      <c r="C1424" t="s">
        <v>1253</v>
      </c>
      <c r="D1424" t="s">
        <v>1254</v>
      </c>
      <c r="E1424" t="s">
        <v>39</v>
      </c>
      <c r="F1424" t="s">
        <v>30</v>
      </c>
      <c r="G1424" t="s">
        <v>31</v>
      </c>
      <c r="H1424" t="s">
        <v>4005</v>
      </c>
      <c r="I1424" t="s">
        <v>446</v>
      </c>
      <c r="J1424" t="s">
        <v>447</v>
      </c>
      <c r="K1424" t="s">
        <v>362</v>
      </c>
      <c r="L1424" t="s">
        <v>30</v>
      </c>
      <c r="M1424" t="s">
        <v>31</v>
      </c>
      <c r="Q1424" s="4">
        <v>1</v>
      </c>
    </row>
    <row r="1425" spans="1:17" x14ac:dyDescent="0.55000000000000004">
      <c r="A1425" t="s">
        <v>4742</v>
      </c>
      <c r="C1425" t="s">
        <v>1257</v>
      </c>
      <c r="D1425" t="s">
        <v>1258</v>
      </c>
      <c r="E1425" t="s">
        <v>39</v>
      </c>
      <c r="F1425" t="s">
        <v>30</v>
      </c>
      <c r="G1425" t="s">
        <v>31</v>
      </c>
      <c r="H1425" t="s">
        <v>4005</v>
      </c>
      <c r="I1425" t="s">
        <v>451</v>
      </c>
      <c r="J1425" t="s">
        <v>452</v>
      </c>
      <c r="K1425" t="s">
        <v>362</v>
      </c>
      <c r="L1425" t="s">
        <v>30</v>
      </c>
      <c r="M1425" t="s">
        <v>31</v>
      </c>
      <c r="Q1425" s="4">
        <v>1</v>
      </c>
    </row>
    <row r="1426" spans="1:17" x14ac:dyDescent="0.55000000000000004">
      <c r="A1426" t="s">
        <v>4743</v>
      </c>
      <c r="C1426" t="s">
        <v>1261</v>
      </c>
      <c r="D1426" t="s">
        <v>1262</v>
      </c>
      <c r="E1426" t="s">
        <v>39</v>
      </c>
      <c r="F1426" t="s">
        <v>30</v>
      </c>
      <c r="G1426" t="s">
        <v>31</v>
      </c>
      <c r="H1426" t="s">
        <v>4005</v>
      </c>
      <c r="I1426" t="s">
        <v>456</v>
      </c>
      <c r="J1426" t="s">
        <v>457</v>
      </c>
      <c r="K1426" t="s">
        <v>362</v>
      </c>
      <c r="L1426" t="s">
        <v>30</v>
      </c>
      <c r="M1426" t="s">
        <v>31</v>
      </c>
      <c r="Q1426" s="4">
        <v>1</v>
      </c>
    </row>
    <row r="1427" spans="1:17" x14ac:dyDescent="0.55000000000000004">
      <c r="A1427" t="s">
        <v>4744</v>
      </c>
      <c r="C1427" t="s">
        <v>1265</v>
      </c>
      <c r="D1427" t="s">
        <v>1266</v>
      </c>
      <c r="E1427" t="s">
        <v>39</v>
      </c>
      <c r="F1427" t="s">
        <v>30</v>
      </c>
      <c r="G1427" t="s">
        <v>31</v>
      </c>
      <c r="H1427" t="s">
        <v>4005</v>
      </c>
      <c r="I1427" t="s">
        <v>461</v>
      </c>
      <c r="J1427" t="s">
        <v>462</v>
      </c>
      <c r="K1427" t="s">
        <v>362</v>
      </c>
      <c r="L1427" t="s">
        <v>30</v>
      </c>
      <c r="M1427" t="s">
        <v>31</v>
      </c>
      <c r="Q1427" s="4">
        <v>1</v>
      </c>
    </row>
    <row r="1428" spans="1:17" x14ac:dyDescent="0.55000000000000004">
      <c r="A1428" t="s">
        <v>4745</v>
      </c>
      <c r="C1428" t="s">
        <v>1269</v>
      </c>
      <c r="D1428" t="s">
        <v>1270</v>
      </c>
      <c r="E1428" t="s">
        <v>39</v>
      </c>
      <c r="F1428" t="s">
        <v>30</v>
      </c>
      <c r="G1428" t="s">
        <v>31</v>
      </c>
      <c r="H1428" t="s">
        <v>4005</v>
      </c>
      <c r="I1428" t="s">
        <v>466</v>
      </c>
      <c r="J1428" t="s">
        <v>467</v>
      </c>
      <c r="K1428" t="s">
        <v>362</v>
      </c>
      <c r="L1428" t="s">
        <v>30</v>
      </c>
      <c r="M1428" t="s">
        <v>31</v>
      </c>
      <c r="Q1428" s="4">
        <v>1</v>
      </c>
    </row>
    <row r="1429" spans="1:17" x14ac:dyDescent="0.55000000000000004">
      <c r="A1429" t="s">
        <v>4746</v>
      </c>
      <c r="C1429" t="s">
        <v>1273</v>
      </c>
      <c r="D1429" t="s">
        <v>1274</v>
      </c>
      <c r="E1429" t="s">
        <v>39</v>
      </c>
      <c r="F1429" t="s">
        <v>30</v>
      </c>
      <c r="G1429" t="s">
        <v>31</v>
      </c>
      <c r="H1429" t="s">
        <v>4005</v>
      </c>
      <c r="I1429" t="s">
        <v>471</v>
      </c>
      <c r="J1429" t="s">
        <v>472</v>
      </c>
      <c r="K1429" t="s">
        <v>362</v>
      </c>
      <c r="L1429" t="s">
        <v>30</v>
      </c>
      <c r="M1429" t="s">
        <v>31</v>
      </c>
      <c r="Q1429" s="4">
        <v>1</v>
      </c>
    </row>
    <row r="1430" spans="1:17" x14ac:dyDescent="0.55000000000000004">
      <c r="A1430" t="s">
        <v>4747</v>
      </c>
      <c r="C1430" t="s">
        <v>1277</v>
      </c>
      <c r="D1430" t="s">
        <v>1278</v>
      </c>
      <c r="E1430" t="s">
        <v>39</v>
      </c>
      <c r="F1430" t="s">
        <v>30</v>
      </c>
      <c r="G1430" t="s">
        <v>31</v>
      </c>
      <c r="H1430" t="s">
        <v>4005</v>
      </c>
      <c r="I1430" t="s">
        <v>476</v>
      </c>
      <c r="J1430" t="s">
        <v>477</v>
      </c>
      <c r="K1430" t="s">
        <v>362</v>
      </c>
      <c r="L1430" t="s">
        <v>30</v>
      </c>
      <c r="M1430" t="s">
        <v>31</v>
      </c>
      <c r="Q1430" s="4">
        <v>1</v>
      </c>
    </row>
    <row r="1431" spans="1:17" x14ac:dyDescent="0.55000000000000004">
      <c r="A1431" t="s">
        <v>4748</v>
      </c>
      <c r="C1431" t="s">
        <v>1281</v>
      </c>
      <c r="D1431" t="s">
        <v>1282</v>
      </c>
      <c r="E1431" t="s">
        <v>39</v>
      </c>
      <c r="F1431" t="s">
        <v>30</v>
      </c>
      <c r="G1431" t="s">
        <v>31</v>
      </c>
      <c r="H1431" t="s">
        <v>4005</v>
      </c>
      <c r="I1431" t="s">
        <v>481</v>
      </c>
      <c r="J1431" t="s">
        <v>482</v>
      </c>
      <c r="K1431" t="s">
        <v>362</v>
      </c>
      <c r="L1431" t="s">
        <v>30</v>
      </c>
      <c r="M1431" t="s">
        <v>31</v>
      </c>
      <c r="Q1431" s="4">
        <v>1</v>
      </c>
    </row>
    <row r="1432" spans="1:17" x14ac:dyDescent="0.55000000000000004">
      <c r="A1432" t="s">
        <v>4749</v>
      </c>
      <c r="C1432" t="s">
        <v>1285</v>
      </c>
      <c r="D1432" t="s">
        <v>1286</v>
      </c>
      <c r="E1432" t="s">
        <v>39</v>
      </c>
      <c r="F1432" t="s">
        <v>30</v>
      </c>
      <c r="G1432" t="s">
        <v>31</v>
      </c>
      <c r="H1432" t="s">
        <v>4005</v>
      </c>
      <c r="I1432" t="s">
        <v>486</v>
      </c>
      <c r="J1432" t="s">
        <v>487</v>
      </c>
      <c r="K1432" t="s">
        <v>362</v>
      </c>
      <c r="L1432" t="s">
        <v>30</v>
      </c>
      <c r="M1432" t="s">
        <v>31</v>
      </c>
      <c r="Q1432" s="4">
        <v>1</v>
      </c>
    </row>
    <row r="1433" spans="1:17" s="16" customFormat="1" ht="18.5" thickBot="1" x14ac:dyDescent="0.6">
      <c r="A1433" s="16" t="s">
        <v>4750</v>
      </c>
      <c r="C1433" s="16" t="s">
        <v>1289</v>
      </c>
      <c r="D1433" s="16" t="s">
        <v>1290</v>
      </c>
      <c r="E1433" s="16" t="s">
        <v>39</v>
      </c>
      <c r="F1433" s="16" t="s">
        <v>30</v>
      </c>
      <c r="G1433" s="16" t="s">
        <v>31</v>
      </c>
      <c r="H1433" s="16" t="s">
        <v>4005</v>
      </c>
      <c r="I1433" s="16" t="s">
        <v>491</v>
      </c>
      <c r="J1433" s="16" t="s">
        <v>492</v>
      </c>
      <c r="K1433" s="16" t="s">
        <v>362</v>
      </c>
      <c r="L1433" s="16" t="s">
        <v>30</v>
      </c>
      <c r="M1433" s="16" t="s">
        <v>31</v>
      </c>
      <c r="Q1433" s="18">
        <v>1</v>
      </c>
    </row>
    <row r="1434" spans="1:17" x14ac:dyDescent="0.55000000000000004">
      <c r="A1434" t="s">
        <v>4751</v>
      </c>
      <c r="C1434" t="s">
        <v>1293</v>
      </c>
      <c r="D1434" t="s">
        <v>1294</v>
      </c>
      <c r="E1434" t="s">
        <v>39</v>
      </c>
      <c r="F1434" t="s">
        <v>30</v>
      </c>
      <c r="G1434" t="s">
        <v>31</v>
      </c>
      <c r="H1434" t="s">
        <v>196</v>
      </c>
      <c r="I1434" t="s">
        <v>496</v>
      </c>
      <c r="J1434" t="s">
        <v>497</v>
      </c>
      <c r="K1434" t="s">
        <v>39</v>
      </c>
      <c r="L1434" t="s">
        <v>30</v>
      </c>
      <c r="M1434" t="s">
        <v>31</v>
      </c>
      <c r="N1434" t="s">
        <v>991</v>
      </c>
      <c r="Q1434" s="4">
        <v>1</v>
      </c>
    </row>
    <row r="1435" spans="1:17" x14ac:dyDescent="0.55000000000000004">
      <c r="A1435" t="s">
        <v>4752</v>
      </c>
      <c r="C1435" t="s">
        <v>1301</v>
      </c>
      <c r="D1435" t="s">
        <v>1302</v>
      </c>
      <c r="E1435" t="s">
        <v>39</v>
      </c>
      <c r="F1435" t="s">
        <v>30</v>
      </c>
      <c r="G1435" t="s">
        <v>31</v>
      </c>
      <c r="H1435" t="s">
        <v>196</v>
      </c>
      <c r="I1435" t="s">
        <v>501</v>
      </c>
      <c r="J1435" t="s">
        <v>502</v>
      </c>
      <c r="K1435" t="s">
        <v>39</v>
      </c>
      <c r="L1435" t="s">
        <v>30</v>
      </c>
      <c r="M1435" t="s">
        <v>31</v>
      </c>
      <c r="N1435" t="s">
        <v>991</v>
      </c>
      <c r="Q1435" s="4">
        <v>1</v>
      </c>
    </row>
    <row r="1436" spans="1:17" x14ac:dyDescent="0.55000000000000004">
      <c r="A1436" t="s">
        <v>4753</v>
      </c>
      <c r="C1436" t="s">
        <v>1307</v>
      </c>
      <c r="D1436" t="s">
        <v>1308</v>
      </c>
      <c r="E1436" t="s">
        <v>39</v>
      </c>
      <c r="F1436" t="s">
        <v>30</v>
      </c>
      <c r="G1436" t="s">
        <v>31</v>
      </c>
      <c r="H1436" t="s">
        <v>196</v>
      </c>
      <c r="I1436" t="s">
        <v>506</v>
      </c>
      <c r="J1436" t="s">
        <v>507</v>
      </c>
      <c r="K1436" t="s">
        <v>39</v>
      </c>
      <c r="L1436" t="s">
        <v>30</v>
      </c>
      <c r="M1436" t="s">
        <v>31</v>
      </c>
      <c r="N1436" t="s">
        <v>991</v>
      </c>
      <c r="Q1436" s="4">
        <v>1</v>
      </c>
    </row>
    <row r="1437" spans="1:17" x14ac:dyDescent="0.55000000000000004">
      <c r="A1437" t="s">
        <v>4754</v>
      </c>
      <c r="C1437" t="s">
        <v>1313</v>
      </c>
      <c r="D1437" t="s">
        <v>1314</v>
      </c>
      <c r="E1437" t="s">
        <v>39</v>
      </c>
      <c r="F1437" t="s">
        <v>30</v>
      </c>
      <c r="G1437" t="s">
        <v>31</v>
      </c>
      <c r="H1437" t="s">
        <v>196</v>
      </c>
      <c r="I1437" t="s">
        <v>511</v>
      </c>
      <c r="J1437" t="s">
        <v>512</v>
      </c>
      <c r="K1437" t="s">
        <v>39</v>
      </c>
      <c r="L1437" t="s">
        <v>30</v>
      </c>
      <c r="M1437" t="s">
        <v>31</v>
      </c>
      <c r="N1437" t="s">
        <v>991</v>
      </c>
      <c r="Q1437" s="4">
        <v>1</v>
      </c>
    </row>
    <row r="1438" spans="1:17" x14ac:dyDescent="0.55000000000000004">
      <c r="A1438" t="s">
        <v>4755</v>
      </c>
      <c r="C1438" t="s">
        <v>1319</v>
      </c>
      <c r="D1438" t="s">
        <v>1320</v>
      </c>
      <c r="E1438" t="s">
        <v>39</v>
      </c>
      <c r="F1438" t="s">
        <v>30</v>
      </c>
      <c r="G1438" t="s">
        <v>31</v>
      </c>
      <c r="H1438" t="s">
        <v>196</v>
      </c>
      <c r="I1438" t="s">
        <v>516</v>
      </c>
      <c r="J1438" t="s">
        <v>517</v>
      </c>
      <c r="K1438" t="s">
        <v>39</v>
      </c>
      <c r="L1438" t="s">
        <v>30</v>
      </c>
      <c r="M1438" t="s">
        <v>31</v>
      </c>
      <c r="N1438" t="s">
        <v>991</v>
      </c>
      <c r="Q1438" s="4">
        <v>1</v>
      </c>
    </row>
    <row r="1439" spans="1:17" x14ac:dyDescent="0.55000000000000004">
      <c r="A1439" t="s">
        <v>4756</v>
      </c>
      <c r="C1439" t="s">
        <v>1325</v>
      </c>
      <c r="D1439" t="s">
        <v>1326</v>
      </c>
      <c r="E1439" t="s">
        <v>39</v>
      </c>
      <c r="F1439" t="s">
        <v>30</v>
      </c>
      <c r="G1439" t="s">
        <v>31</v>
      </c>
      <c r="H1439" t="s">
        <v>196</v>
      </c>
      <c r="I1439" t="s">
        <v>521</v>
      </c>
      <c r="J1439" t="s">
        <v>522</v>
      </c>
      <c r="K1439" t="s">
        <v>39</v>
      </c>
      <c r="L1439" t="s">
        <v>30</v>
      </c>
      <c r="M1439" t="s">
        <v>31</v>
      </c>
      <c r="N1439" t="s">
        <v>991</v>
      </c>
      <c r="Q1439" s="4">
        <v>1</v>
      </c>
    </row>
    <row r="1440" spans="1:17" x14ac:dyDescent="0.55000000000000004">
      <c r="A1440" t="s">
        <v>4757</v>
      </c>
      <c r="C1440" t="s">
        <v>1331</v>
      </c>
      <c r="D1440" t="s">
        <v>1332</v>
      </c>
      <c r="E1440" t="s">
        <v>39</v>
      </c>
      <c r="F1440" t="s">
        <v>30</v>
      </c>
      <c r="G1440" t="s">
        <v>31</v>
      </c>
      <c r="H1440" t="s">
        <v>196</v>
      </c>
      <c r="I1440" t="s">
        <v>526</v>
      </c>
      <c r="J1440" t="s">
        <v>527</v>
      </c>
      <c r="K1440" t="s">
        <v>39</v>
      </c>
      <c r="L1440" t="s">
        <v>30</v>
      </c>
      <c r="M1440" t="s">
        <v>31</v>
      </c>
      <c r="N1440" t="s">
        <v>991</v>
      </c>
      <c r="Q1440" s="4">
        <v>1</v>
      </c>
    </row>
    <row r="1441" spans="1:17" x14ac:dyDescent="0.55000000000000004">
      <c r="A1441" t="s">
        <v>4758</v>
      </c>
      <c r="C1441" t="s">
        <v>1337</v>
      </c>
      <c r="D1441" t="s">
        <v>1338</v>
      </c>
      <c r="E1441" t="s">
        <v>39</v>
      </c>
      <c r="F1441" t="s">
        <v>30</v>
      </c>
      <c r="G1441" t="s">
        <v>31</v>
      </c>
      <c r="H1441" t="s">
        <v>196</v>
      </c>
      <c r="I1441" t="s">
        <v>531</v>
      </c>
      <c r="J1441" t="s">
        <v>532</v>
      </c>
      <c r="K1441" t="s">
        <v>39</v>
      </c>
      <c r="L1441" t="s">
        <v>30</v>
      </c>
      <c r="M1441" t="s">
        <v>31</v>
      </c>
      <c r="N1441" t="s">
        <v>991</v>
      </c>
      <c r="Q1441" s="4">
        <v>1</v>
      </c>
    </row>
    <row r="1442" spans="1:17" x14ac:dyDescent="0.55000000000000004">
      <c r="A1442" t="s">
        <v>4759</v>
      </c>
      <c r="C1442" t="s">
        <v>1343</v>
      </c>
      <c r="D1442" t="s">
        <v>1344</v>
      </c>
      <c r="E1442" t="s">
        <v>39</v>
      </c>
      <c r="F1442" t="s">
        <v>30</v>
      </c>
      <c r="G1442" t="s">
        <v>31</v>
      </c>
      <c r="H1442" t="s">
        <v>196</v>
      </c>
      <c r="I1442" t="s">
        <v>536</v>
      </c>
      <c r="J1442" t="s">
        <v>537</v>
      </c>
      <c r="K1442" t="s">
        <v>39</v>
      </c>
      <c r="L1442" t="s">
        <v>30</v>
      </c>
      <c r="M1442" t="s">
        <v>31</v>
      </c>
      <c r="N1442" t="s">
        <v>991</v>
      </c>
      <c r="Q1442" s="4">
        <v>1</v>
      </c>
    </row>
    <row r="1443" spans="1:17" x14ac:dyDescent="0.55000000000000004">
      <c r="A1443" t="s">
        <v>4760</v>
      </c>
      <c r="C1443" t="s">
        <v>1349</v>
      </c>
      <c r="D1443" t="s">
        <v>1350</v>
      </c>
      <c r="E1443" t="s">
        <v>39</v>
      </c>
      <c r="F1443" t="s">
        <v>30</v>
      </c>
      <c r="G1443" t="s">
        <v>31</v>
      </c>
      <c r="H1443" t="s">
        <v>196</v>
      </c>
      <c r="I1443" t="s">
        <v>541</v>
      </c>
      <c r="J1443" t="s">
        <v>542</v>
      </c>
      <c r="K1443" t="s">
        <v>39</v>
      </c>
      <c r="L1443" t="s">
        <v>30</v>
      </c>
      <c r="M1443" t="s">
        <v>31</v>
      </c>
      <c r="N1443" t="s">
        <v>991</v>
      </c>
      <c r="Q1443" s="4">
        <v>1</v>
      </c>
    </row>
    <row r="1444" spans="1:17" x14ac:dyDescent="0.55000000000000004">
      <c r="A1444" t="s">
        <v>4761</v>
      </c>
      <c r="C1444" t="s">
        <v>1355</v>
      </c>
      <c r="D1444" t="s">
        <v>1356</v>
      </c>
      <c r="E1444" t="s">
        <v>39</v>
      </c>
      <c r="F1444" t="s">
        <v>30</v>
      </c>
      <c r="G1444" t="s">
        <v>31</v>
      </c>
      <c r="H1444" t="s">
        <v>196</v>
      </c>
      <c r="I1444" t="s">
        <v>546</v>
      </c>
      <c r="J1444" t="s">
        <v>547</v>
      </c>
      <c r="K1444" t="s">
        <v>39</v>
      </c>
      <c r="L1444" t="s">
        <v>30</v>
      </c>
      <c r="M1444" t="s">
        <v>31</v>
      </c>
      <c r="N1444" t="s">
        <v>991</v>
      </c>
      <c r="Q1444" s="4">
        <v>1</v>
      </c>
    </row>
    <row r="1445" spans="1:17" x14ac:dyDescent="0.55000000000000004">
      <c r="A1445" t="s">
        <v>4762</v>
      </c>
      <c r="C1445" t="s">
        <v>1361</v>
      </c>
      <c r="D1445" t="s">
        <v>1362</v>
      </c>
      <c r="E1445" t="s">
        <v>39</v>
      </c>
      <c r="F1445" t="s">
        <v>30</v>
      </c>
      <c r="G1445" t="s">
        <v>31</v>
      </c>
      <c r="H1445" t="s">
        <v>196</v>
      </c>
      <c r="I1445" t="s">
        <v>551</v>
      </c>
      <c r="J1445" t="s">
        <v>552</v>
      </c>
      <c r="K1445" t="s">
        <v>39</v>
      </c>
      <c r="L1445" t="s">
        <v>30</v>
      </c>
      <c r="M1445" t="s">
        <v>31</v>
      </c>
      <c r="N1445" t="s">
        <v>991</v>
      </c>
      <c r="Q1445" s="4">
        <v>1</v>
      </c>
    </row>
    <row r="1446" spans="1:17" x14ac:dyDescent="0.55000000000000004">
      <c r="A1446" t="s">
        <v>4763</v>
      </c>
      <c r="C1446" t="s">
        <v>1367</v>
      </c>
      <c r="D1446" t="s">
        <v>1368</v>
      </c>
      <c r="E1446" t="s">
        <v>39</v>
      </c>
      <c r="F1446" t="s">
        <v>30</v>
      </c>
      <c r="G1446" t="s">
        <v>31</v>
      </c>
      <c r="H1446" t="s">
        <v>196</v>
      </c>
      <c r="I1446" t="s">
        <v>556</v>
      </c>
      <c r="J1446" t="s">
        <v>557</v>
      </c>
      <c r="K1446" t="s">
        <v>39</v>
      </c>
      <c r="L1446" t="s">
        <v>30</v>
      </c>
      <c r="M1446" t="s">
        <v>31</v>
      </c>
      <c r="N1446" t="s">
        <v>991</v>
      </c>
      <c r="Q1446" s="4">
        <v>1</v>
      </c>
    </row>
    <row r="1447" spans="1:17" x14ac:dyDescent="0.55000000000000004">
      <c r="A1447" t="s">
        <v>4764</v>
      </c>
      <c r="C1447" t="s">
        <v>1373</v>
      </c>
      <c r="D1447" t="s">
        <v>1374</v>
      </c>
      <c r="E1447" t="s">
        <v>39</v>
      </c>
      <c r="F1447" t="s">
        <v>30</v>
      </c>
      <c r="G1447" t="s">
        <v>31</v>
      </c>
      <c r="H1447" t="s">
        <v>196</v>
      </c>
      <c r="I1447" t="s">
        <v>561</v>
      </c>
      <c r="J1447" t="s">
        <v>562</v>
      </c>
      <c r="K1447" t="s">
        <v>39</v>
      </c>
      <c r="L1447" t="s">
        <v>30</v>
      </c>
      <c r="M1447" t="s">
        <v>31</v>
      </c>
      <c r="N1447" t="s">
        <v>991</v>
      </c>
      <c r="Q1447" s="4">
        <v>1</v>
      </c>
    </row>
    <row r="1448" spans="1:17" x14ac:dyDescent="0.55000000000000004">
      <c r="A1448" t="s">
        <v>4765</v>
      </c>
      <c r="C1448" t="s">
        <v>1379</v>
      </c>
      <c r="D1448" t="s">
        <v>1380</v>
      </c>
      <c r="E1448" t="s">
        <v>39</v>
      </c>
      <c r="F1448" t="s">
        <v>30</v>
      </c>
      <c r="G1448" t="s">
        <v>31</v>
      </c>
      <c r="H1448" t="s">
        <v>196</v>
      </c>
      <c r="I1448" t="s">
        <v>566</v>
      </c>
      <c r="J1448" t="s">
        <v>567</v>
      </c>
      <c r="K1448" t="s">
        <v>39</v>
      </c>
      <c r="L1448" t="s">
        <v>30</v>
      </c>
      <c r="M1448" t="s">
        <v>31</v>
      </c>
      <c r="N1448" t="s">
        <v>991</v>
      </c>
      <c r="Q1448" s="4">
        <v>1</v>
      </c>
    </row>
    <row r="1449" spans="1:17" x14ac:dyDescent="0.55000000000000004">
      <c r="A1449" t="s">
        <v>4766</v>
      </c>
      <c r="C1449" t="s">
        <v>1385</v>
      </c>
      <c r="D1449" t="s">
        <v>1386</v>
      </c>
      <c r="E1449" t="s">
        <v>39</v>
      </c>
      <c r="F1449" t="s">
        <v>30</v>
      </c>
      <c r="G1449" t="s">
        <v>31</v>
      </c>
      <c r="H1449" t="s">
        <v>196</v>
      </c>
      <c r="I1449" t="s">
        <v>571</v>
      </c>
      <c r="J1449" t="s">
        <v>572</v>
      </c>
      <c r="K1449" t="s">
        <v>39</v>
      </c>
      <c r="L1449" t="s">
        <v>30</v>
      </c>
      <c r="M1449" t="s">
        <v>31</v>
      </c>
      <c r="N1449" t="s">
        <v>991</v>
      </c>
      <c r="Q1449" s="4">
        <v>1</v>
      </c>
    </row>
    <row r="1450" spans="1:17" x14ac:dyDescent="0.55000000000000004">
      <c r="A1450" t="s">
        <v>4767</v>
      </c>
      <c r="C1450" t="s">
        <v>1391</v>
      </c>
      <c r="D1450" t="s">
        <v>1392</v>
      </c>
      <c r="E1450" t="s">
        <v>39</v>
      </c>
      <c r="F1450" t="s">
        <v>30</v>
      </c>
      <c r="G1450" t="s">
        <v>31</v>
      </c>
      <c r="H1450" t="s">
        <v>196</v>
      </c>
      <c r="I1450" t="s">
        <v>576</v>
      </c>
      <c r="J1450" t="s">
        <v>577</v>
      </c>
      <c r="K1450" t="s">
        <v>39</v>
      </c>
      <c r="L1450" t="s">
        <v>30</v>
      </c>
      <c r="M1450" t="s">
        <v>31</v>
      </c>
      <c r="N1450" t="s">
        <v>991</v>
      </c>
      <c r="Q1450" s="4">
        <v>1</v>
      </c>
    </row>
    <row r="1451" spans="1:17" x14ac:dyDescent="0.55000000000000004">
      <c r="A1451" t="s">
        <v>4768</v>
      </c>
      <c r="C1451" t="s">
        <v>1397</v>
      </c>
      <c r="D1451" t="s">
        <v>1398</v>
      </c>
      <c r="E1451" t="s">
        <v>39</v>
      </c>
      <c r="F1451" t="s">
        <v>30</v>
      </c>
      <c r="G1451" t="s">
        <v>31</v>
      </c>
      <c r="H1451" t="s">
        <v>196</v>
      </c>
      <c r="I1451" t="s">
        <v>581</v>
      </c>
      <c r="J1451" t="s">
        <v>582</v>
      </c>
      <c r="K1451" t="s">
        <v>39</v>
      </c>
      <c r="L1451" t="s">
        <v>30</v>
      </c>
      <c r="M1451" t="s">
        <v>31</v>
      </c>
      <c r="N1451" t="s">
        <v>991</v>
      </c>
      <c r="Q1451" s="4">
        <v>1</v>
      </c>
    </row>
    <row r="1452" spans="1:17" x14ac:dyDescent="0.55000000000000004">
      <c r="A1452" t="s">
        <v>4769</v>
      </c>
      <c r="C1452" t="s">
        <v>1403</v>
      </c>
      <c r="D1452" t="s">
        <v>1404</v>
      </c>
      <c r="E1452" t="s">
        <v>39</v>
      </c>
      <c r="F1452" t="s">
        <v>30</v>
      </c>
      <c r="G1452" t="s">
        <v>31</v>
      </c>
      <c r="H1452" t="s">
        <v>196</v>
      </c>
      <c r="I1452" t="s">
        <v>586</v>
      </c>
      <c r="J1452" t="s">
        <v>587</v>
      </c>
      <c r="K1452" t="s">
        <v>39</v>
      </c>
      <c r="L1452" t="s">
        <v>30</v>
      </c>
      <c r="M1452" t="s">
        <v>31</v>
      </c>
      <c r="N1452" t="s">
        <v>991</v>
      </c>
      <c r="Q1452" s="4">
        <v>1</v>
      </c>
    </row>
    <row r="1453" spans="1:17" x14ac:dyDescent="0.55000000000000004">
      <c r="A1453" t="s">
        <v>4770</v>
      </c>
      <c r="C1453" t="s">
        <v>1409</v>
      </c>
      <c r="D1453" t="s">
        <v>1410</v>
      </c>
      <c r="E1453" t="s">
        <v>39</v>
      </c>
      <c r="F1453" t="s">
        <v>30</v>
      </c>
      <c r="G1453" t="s">
        <v>31</v>
      </c>
      <c r="H1453" t="s">
        <v>196</v>
      </c>
      <c r="I1453" t="s">
        <v>591</v>
      </c>
      <c r="J1453" t="s">
        <v>592</v>
      </c>
      <c r="K1453" t="s">
        <v>39</v>
      </c>
      <c r="L1453" t="s">
        <v>30</v>
      </c>
      <c r="M1453" t="s">
        <v>31</v>
      </c>
      <c r="N1453" t="s">
        <v>991</v>
      </c>
      <c r="Q1453" s="4">
        <v>1</v>
      </c>
    </row>
    <row r="1454" spans="1:17" x14ac:dyDescent="0.55000000000000004">
      <c r="A1454" t="s">
        <v>4771</v>
      </c>
      <c r="C1454" t="s">
        <v>1415</v>
      </c>
      <c r="D1454" t="s">
        <v>1416</v>
      </c>
      <c r="E1454" t="s">
        <v>39</v>
      </c>
      <c r="F1454" t="s">
        <v>30</v>
      </c>
      <c r="G1454" t="s">
        <v>31</v>
      </c>
      <c r="H1454" t="s">
        <v>196</v>
      </c>
      <c r="I1454" t="s">
        <v>596</v>
      </c>
      <c r="J1454" t="s">
        <v>597</v>
      </c>
      <c r="K1454" t="s">
        <v>39</v>
      </c>
      <c r="L1454" t="s">
        <v>30</v>
      </c>
      <c r="M1454" t="s">
        <v>31</v>
      </c>
      <c r="N1454" t="s">
        <v>991</v>
      </c>
      <c r="Q1454" s="4">
        <v>1</v>
      </c>
    </row>
    <row r="1455" spans="1:17" x14ac:dyDescent="0.55000000000000004">
      <c r="A1455" t="s">
        <v>4772</v>
      </c>
      <c r="C1455" t="s">
        <v>1421</v>
      </c>
      <c r="D1455" t="s">
        <v>1422</v>
      </c>
      <c r="E1455" t="s">
        <v>39</v>
      </c>
      <c r="F1455" t="s">
        <v>30</v>
      </c>
      <c r="G1455" t="s">
        <v>31</v>
      </c>
      <c r="H1455" t="s">
        <v>196</v>
      </c>
      <c r="I1455" t="s">
        <v>601</v>
      </c>
      <c r="J1455" t="s">
        <v>602</v>
      </c>
      <c r="K1455" t="s">
        <v>39</v>
      </c>
      <c r="L1455" t="s">
        <v>30</v>
      </c>
      <c r="M1455" t="s">
        <v>31</v>
      </c>
      <c r="N1455" t="s">
        <v>991</v>
      </c>
      <c r="Q1455" s="4">
        <v>1</v>
      </c>
    </row>
    <row r="1456" spans="1:17" x14ac:dyDescent="0.55000000000000004">
      <c r="A1456" t="s">
        <v>4773</v>
      </c>
      <c r="C1456" t="s">
        <v>1427</v>
      </c>
      <c r="D1456" t="s">
        <v>1428</v>
      </c>
      <c r="E1456" t="s">
        <v>39</v>
      </c>
      <c r="F1456" t="s">
        <v>30</v>
      </c>
      <c r="G1456" t="s">
        <v>31</v>
      </c>
      <c r="H1456" t="s">
        <v>196</v>
      </c>
      <c r="I1456" t="s">
        <v>606</v>
      </c>
      <c r="J1456" t="s">
        <v>607</v>
      </c>
      <c r="K1456" t="s">
        <v>39</v>
      </c>
      <c r="L1456" t="s">
        <v>30</v>
      </c>
      <c r="M1456" t="s">
        <v>31</v>
      </c>
      <c r="N1456" t="s">
        <v>991</v>
      </c>
      <c r="Q1456" s="4">
        <v>1</v>
      </c>
    </row>
    <row r="1457" spans="1:17" x14ac:dyDescent="0.55000000000000004">
      <c r="A1457" t="s">
        <v>4774</v>
      </c>
      <c r="C1457" t="s">
        <v>1433</v>
      </c>
      <c r="D1457" t="s">
        <v>1434</v>
      </c>
      <c r="E1457" t="s">
        <v>39</v>
      </c>
      <c r="F1457" t="s">
        <v>30</v>
      </c>
      <c r="G1457" t="s">
        <v>31</v>
      </c>
      <c r="H1457" t="s">
        <v>196</v>
      </c>
      <c r="I1457" t="s">
        <v>611</v>
      </c>
      <c r="J1457" t="s">
        <v>612</v>
      </c>
      <c r="K1457" t="s">
        <v>39</v>
      </c>
      <c r="L1457" t="s">
        <v>30</v>
      </c>
      <c r="M1457" t="s">
        <v>31</v>
      </c>
      <c r="N1457" t="s">
        <v>991</v>
      </c>
      <c r="Q1457" s="4">
        <v>1</v>
      </c>
    </row>
    <row r="1458" spans="1:17" x14ac:dyDescent="0.55000000000000004">
      <c r="A1458" t="s">
        <v>4775</v>
      </c>
      <c r="C1458" t="s">
        <v>1439</v>
      </c>
      <c r="D1458" t="s">
        <v>1440</v>
      </c>
      <c r="E1458" t="s">
        <v>39</v>
      </c>
      <c r="F1458" t="s">
        <v>30</v>
      </c>
      <c r="G1458" t="s">
        <v>31</v>
      </c>
      <c r="H1458" t="s">
        <v>196</v>
      </c>
      <c r="I1458" t="s">
        <v>616</v>
      </c>
      <c r="J1458" t="s">
        <v>617</v>
      </c>
      <c r="K1458" t="s">
        <v>39</v>
      </c>
      <c r="L1458" t="s">
        <v>30</v>
      </c>
      <c r="M1458" t="s">
        <v>31</v>
      </c>
      <c r="N1458" t="s">
        <v>991</v>
      </c>
      <c r="Q1458" s="4">
        <v>1</v>
      </c>
    </row>
    <row r="1459" spans="1:17" x14ac:dyDescent="0.55000000000000004">
      <c r="A1459" t="s">
        <v>4776</v>
      </c>
      <c r="C1459" t="s">
        <v>1445</v>
      </c>
      <c r="D1459" t="s">
        <v>1446</v>
      </c>
      <c r="E1459" t="s">
        <v>39</v>
      </c>
      <c r="F1459" t="s">
        <v>30</v>
      </c>
      <c r="G1459" t="s">
        <v>31</v>
      </c>
      <c r="H1459" t="s">
        <v>196</v>
      </c>
      <c r="I1459" t="s">
        <v>621</v>
      </c>
      <c r="J1459" t="s">
        <v>622</v>
      </c>
      <c r="K1459" t="s">
        <v>39</v>
      </c>
      <c r="L1459" t="s">
        <v>30</v>
      </c>
      <c r="M1459" t="s">
        <v>31</v>
      </c>
      <c r="N1459" t="s">
        <v>991</v>
      </c>
      <c r="Q1459" s="4">
        <v>1</v>
      </c>
    </row>
    <row r="1460" spans="1:17" x14ac:dyDescent="0.55000000000000004">
      <c r="A1460" t="s">
        <v>4777</v>
      </c>
      <c r="C1460" t="s">
        <v>1451</v>
      </c>
      <c r="D1460" t="s">
        <v>1452</v>
      </c>
      <c r="E1460" t="s">
        <v>39</v>
      </c>
      <c r="F1460" t="s">
        <v>30</v>
      </c>
      <c r="G1460" t="s">
        <v>31</v>
      </c>
      <c r="H1460" t="s">
        <v>196</v>
      </c>
      <c r="I1460" t="s">
        <v>626</v>
      </c>
      <c r="J1460" t="s">
        <v>627</v>
      </c>
      <c r="K1460" t="s">
        <v>39</v>
      </c>
      <c r="L1460" t="s">
        <v>30</v>
      </c>
      <c r="M1460" t="s">
        <v>31</v>
      </c>
      <c r="N1460" t="s">
        <v>991</v>
      </c>
      <c r="Q1460" s="4">
        <v>1</v>
      </c>
    </row>
    <row r="1461" spans="1:17" x14ac:dyDescent="0.55000000000000004">
      <c r="A1461" t="s">
        <v>4778</v>
      </c>
      <c r="C1461" t="s">
        <v>1457</v>
      </c>
      <c r="D1461" t="s">
        <v>1458</v>
      </c>
      <c r="E1461" t="s">
        <v>39</v>
      </c>
      <c r="F1461" t="s">
        <v>30</v>
      </c>
      <c r="G1461" t="s">
        <v>31</v>
      </c>
      <c r="H1461" t="s">
        <v>196</v>
      </c>
      <c r="I1461" t="s">
        <v>631</v>
      </c>
      <c r="J1461" t="s">
        <v>632</v>
      </c>
      <c r="K1461" t="s">
        <v>39</v>
      </c>
      <c r="L1461" t="s">
        <v>30</v>
      </c>
      <c r="M1461" t="s">
        <v>31</v>
      </c>
      <c r="N1461" t="s">
        <v>991</v>
      </c>
      <c r="Q1461" s="4">
        <v>1</v>
      </c>
    </row>
    <row r="1462" spans="1:17" x14ac:dyDescent="0.55000000000000004">
      <c r="A1462" t="s">
        <v>4779</v>
      </c>
      <c r="C1462" t="s">
        <v>1463</v>
      </c>
      <c r="D1462" t="s">
        <v>1464</v>
      </c>
      <c r="E1462" t="s">
        <v>39</v>
      </c>
      <c r="F1462" t="s">
        <v>30</v>
      </c>
      <c r="G1462" t="s">
        <v>31</v>
      </c>
      <c r="H1462" t="s">
        <v>196</v>
      </c>
      <c r="I1462" t="s">
        <v>636</v>
      </c>
      <c r="J1462" t="s">
        <v>637</v>
      </c>
      <c r="K1462" t="s">
        <v>39</v>
      </c>
      <c r="L1462" t="s">
        <v>30</v>
      </c>
      <c r="M1462" t="s">
        <v>31</v>
      </c>
      <c r="N1462" t="s">
        <v>991</v>
      </c>
      <c r="Q1462" s="4">
        <v>1</v>
      </c>
    </row>
    <row r="1463" spans="1:17" x14ac:dyDescent="0.55000000000000004">
      <c r="A1463" t="s">
        <v>4780</v>
      </c>
      <c r="C1463" t="s">
        <v>1469</v>
      </c>
      <c r="D1463" t="s">
        <v>1470</v>
      </c>
      <c r="E1463" t="s">
        <v>39</v>
      </c>
      <c r="F1463" t="s">
        <v>30</v>
      </c>
      <c r="G1463" t="s">
        <v>31</v>
      </c>
      <c r="H1463" t="s">
        <v>196</v>
      </c>
      <c r="I1463" t="s">
        <v>641</v>
      </c>
      <c r="J1463" t="s">
        <v>642</v>
      </c>
      <c r="K1463" t="s">
        <v>39</v>
      </c>
      <c r="L1463" t="s">
        <v>30</v>
      </c>
      <c r="M1463" t="s">
        <v>31</v>
      </c>
      <c r="N1463" t="s">
        <v>991</v>
      </c>
      <c r="Q1463" s="4">
        <v>1</v>
      </c>
    </row>
    <row r="1464" spans="1:17" x14ac:dyDescent="0.55000000000000004">
      <c r="A1464" t="s">
        <v>4781</v>
      </c>
      <c r="C1464" t="s">
        <v>1475</v>
      </c>
      <c r="D1464" t="s">
        <v>1476</v>
      </c>
      <c r="E1464" t="s">
        <v>39</v>
      </c>
      <c r="F1464" t="s">
        <v>30</v>
      </c>
      <c r="G1464" t="s">
        <v>31</v>
      </c>
      <c r="H1464" t="s">
        <v>196</v>
      </c>
      <c r="I1464" t="s">
        <v>646</v>
      </c>
      <c r="J1464" t="s">
        <v>647</v>
      </c>
      <c r="K1464" t="s">
        <v>39</v>
      </c>
      <c r="L1464" t="s">
        <v>30</v>
      </c>
      <c r="M1464" t="s">
        <v>31</v>
      </c>
      <c r="N1464" t="s">
        <v>991</v>
      </c>
      <c r="Q1464" s="4">
        <v>1</v>
      </c>
    </row>
    <row r="1465" spans="1:17" x14ac:dyDescent="0.55000000000000004">
      <c r="A1465" t="s">
        <v>4782</v>
      </c>
      <c r="C1465" t="s">
        <v>1481</v>
      </c>
      <c r="D1465" t="s">
        <v>1482</v>
      </c>
      <c r="E1465" t="s">
        <v>39</v>
      </c>
      <c r="F1465" t="s">
        <v>30</v>
      </c>
      <c r="G1465" t="s">
        <v>31</v>
      </c>
      <c r="H1465" t="s">
        <v>196</v>
      </c>
      <c r="I1465" t="s">
        <v>651</v>
      </c>
      <c r="J1465" t="s">
        <v>652</v>
      </c>
      <c r="K1465" t="s">
        <v>39</v>
      </c>
      <c r="L1465" t="s">
        <v>30</v>
      </c>
      <c r="M1465" t="s">
        <v>31</v>
      </c>
      <c r="N1465" t="s">
        <v>991</v>
      </c>
      <c r="Q1465" s="4">
        <v>1</v>
      </c>
    </row>
    <row r="1466" spans="1:17" x14ac:dyDescent="0.55000000000000004">
      <c r="A1466" t="s">
        <v>4783</v>
      </c>
      <c r="C1466" t="s">
        <v>1487</v>
      </c>
      <c r="D1466" t="s">
        <v>1488</v>
      </c>
      <c r="E1466" t="s">
        <v>39</v>
      </c>
      <c r="F1466" t="s">
        <v>30</v>
      </c>
      <c r="G1466" t="s">
        <v>31</v>
      </c>
      <c r="H1466" t="s">
        <v>196</v>
      </c>
      <c r="I1466" t="s">
        <v>656</v>
      </c>
      <c r="J1466" t="s">
        <v>657</v>
      </c>
      <c r="K1466" t="s">
        <v>39</v>
      </c>
      <c r="L1466" t="s">
        <v>30</v>
      </c>
      <c r="M1466" t="s">
        <v>31</v>
      </c>
      <c r="N1466" t="s">
        <v>991</v>
      </c>
      <c r="Q1466" s="4">
        <v>1</v>
      </c>
    </row>
    <row r="1467" spans="1:17" x14ac:dyDescent="0.55000000000000004">
      <c r="A1467" t="s">
        <v>4784</v>
      </c>
      <c r="C1467" t="s">
        <v>1493</v>
      </c>
      <c r="D1467" t="s">
        <v>1494</v>
      </c>
      <c r="E1467" t="s">
        <v>39</v>
      </c>
      <c r="F1467" t="s">
        <v>30</v>
      </c>
      <c r="G1467" t="s">
        <v>31</v>
      </c>
      <c r="H1467" t="s">
        <v>196</v>
      </c>
      <c r="I1467" t="s">
        <v>661</v>
      </c>
      <c r="J1467" t="s">
        <v>662</v>
      </c>
      <c r="K1467" t="s">
        <v>39</v>
      </c>
      <c r="L1467" t="s">
        <v>30</v>
      </c>
      <c r="M1467" t="s">
        <v>31</v>
      </c>
      <c r="N1467" t="s">
        <v>991</v>
      </c>
      <c r="Q1467" s="4">
        <v>1</v>
      </c>
    </row>
    <row r="1468" spans="1:17" x14ac:dyDescent="0.55000000000000004">
      <c r="A1468" t="s">
        <v>4785</v>
      </c>
      <c r="C1468" t="s">
        <v>1499</v>
      </c>
      <c r="D1468" t="s">
        <v>1500</v>
      </c>
      <c r="E1468" t="s">
        <v>39</v>
      </c>
      <c r="F1468" t="s">
        <v>30</v>
      </c>
      <c r="G1468" t="s">
        <v>31</v>
      </c>
      <c r="H1468" t="s">
        <v>196</v>
      </c>
      <c r="I1468" t="s">
        <v>666</v>
      </c>
      <c r="J1468" t="s">
        <v>667</v>
      </c>
      <c r="K1468" t="s">
        <v>39</v>
      </c>
      <c r="L1468" t="s">
        <v>30</v>
      </c>
      <c r="M1468" t="s">
        <v>31</v>
      </c>
      <c r="N1468" t="s">
        <v>991</v>
      </c>
      <c r="Q1468" s="4">
        <v>1</v>
      </c>
    </row>
    <row r="1469" spans="1:17" x14ac:dyDescent="0.55000000000000004">
      <c r="A1469" t="s">
        <v>4786</v>
      </c>
      <c r="C1469" t="s">
        <v>1505</v>
      </c>
      <c r="D1469" t="s">
        <v>1506</v>
      </c>
      <c r="E1469" t="s">
        <v>39</v>
      </c>
      <c r="F1469" t="s">
        <v>30</v>
      </c>
      <c r="G1469" t="s">
        <v>31</v>
      </c>
      <c r="H1469" t="s">
        <v>196</v>
      </c>
      <c r="I1469" t="s">
        <v>671</v>
      </c>
      <c r="J1469" t="s">
        <v>672</v>
      </c>
      <c r="K1469" t="s">
        <v>39</v>
      </c>
      <c r="L1469" t="s">
        <v>30</v>
      </c>
      <c r="M1469" t="s">
        <v>31</v>
      </c>
      <c r="N1469" t="s">
        <v>991</v>
      </c>
      <c r="Q1469" s="4">
        <v>1</v>
      </c>
    </row>
    <row r="1470" spans="1:17" x14ac:dyDescent="0.55000000000000004">
      <c r="A1470" t="s">
        <v>4787</v>
      </c>
      <c r="C1470" t="s">
        <v>1511</v>
      </c>
      <c r="D1470" t="s">
        <v>1512</v>
      </c>
      <c r="E1470" t="s">
        <v>39</v>
      </c>
      <c r="F1470" t="s">
        <v>30</v>
      </c>
      <c r="G1470" t="s">
        <v>31</v>
      </c>
      <c r="H1470" t="s">
        <v>196</v>
      </c>
      <c r="I1470" t="s">
        <v>676</v>
      </c>
      <c r="J1470" t="s">
        <v>677</v>
      </c>
      <c r="K1470" t="s">
        <v>39</v>
      </c>
      <c r="L1470" t="s">
        <v>30</v>
      </c>
      <c r="M1470" t="s">
        <v>31</v>
      </c>
      <c r="N1470" t="s">
        <v>991</v>
      </c>
      <c r="Q1470" s="4">
        <v>1</v>
      </c>
    </row>
    <row r="1471" spans="1:17" x14ac:dyDescent="0.55000000000000004">
      <c r="A1471" t="s">
        <v>4788</v>
      </c>
      <c r="C1471" t="s">
        <v>1517</v>
      </c>
      <c r="D1471" t="s">
        <v>1518</v>
      </c>
      <c r="E1471" t="s">
        <v>39</v>
      </c>
      <c r="F1471" t="s">
        <v>30</v>
      </c>
      <c r="G1471" t="s">
        <v>31</v>
      </c>
      <c r="H1471" t="s">
        <v>196</v>
      </c>
      <c r="I1471" t="s">
        <v>681</v>
      </c>
      <c r="J1471" t="s">
        <v>682</v>
      </c>
      <c r="K1471" t="s">
        <v>39</v>
      </c>
      <c r="L1471" t="s">
        <v>30</v>
      </c>
      <c r="M1471" t="s">
        <v>31</v>
      </c>
      <c r="N1471" t="s">
        <v>991</v>
      </c>
      <c r="Q1471" s="4">
        <v>1</v>
      </c>
    </row>
    <row r="1472" spans="1:17" x14ac:dyDescent="0.55000000000000004">
      <c r="A1472" t="s">
        <v>4789</v>
      </c>
      <c r="C1472" t="s">
        <v>1523</v>
      </c>
      <c r="D1472" t="s">
        <v>1524</v>
      </c>
      <c r="E1472" t="s">
        <v>39</v>
      </c>
      <c r="F1472" t="s">
        <v>30</v>
      </c>
      <c r="G1472" t="s">
        <v>31</v>
      </c>
      <c r="H1472" t="s">
        <v>196</v>
      </c>
      <c r="I1472" t="s">
        <v>686</v>
      </c>
      <c r="J1472" t="s">
        <v>687</v>
      </c>
      <c r="K1472" t="s">
        <v>39</v>
      </c>
      <c r="L1472" t="s">
        <v>30</v>
      </c>
      <c r="M1472" t="s">
        <v>31</v>
      </c>
      <c r="N1472" t="s">
        <v>991</v>
      </c>
      <c r="Q1472" s="4">
        <v>1</v>
      </c>
    </row>
    <row r="1473" spans="1:17" x14ac:dyDescent="0.55000000000000004">
      <c r="A1473" t="s">
        <v>4790</v>
      </c>
      <c r="C1473" t="s">
        <v>1529</v>
      </c>
      <c r="D1473" t="s">
        <v>1530</v>
      </c>
      <c r="E1473" t="s">
        <v>39</v>
      </c>
      <c r="F1473" t="s">
        <v>30</v>
      </c>
      <c r="G1473" t="s">
        <v>31</v>
      </c>
      <c r="H1473" t="s">
        <v>196</v>
      </c>
      <c r="I1473" t="s">
        <v>691</v>
      </c>
      <c r="J1473" t="s">
        <v>692</v>
      </c>
      <c r="K1473" t="s">
        <v>39</v>
      </c>
      <c r="L1473" t="s">
        <v>30</v>
      </c>
      <c r="M1473" t="s">
        <v>31</v>
      </c>
      <c r="N1473" t="s">
        <v>991</v>
      </c>
      <c r="Q1473" s="4">
        <v>1</v>
      </c>
    </row>
    <row r="1474" spans="1:17" x14ac:dyDescent="0.55000000000000004">
      <c r="A1474" t="s">
        <v>4791</v>
      </c>
      <c r="C1474" t="s">
        <v>1535</v>
      </c>
      <c r="D1474" t="s">
        <v>1536</v>
      </c>
      <c r="E1474" t="s">
        <v>39</v>
      </c>
      <c r="F1474" t="s">
        <v>30</v>
      </c>
      <c r="G1474" t="s">
        <v>31</v>
      </c>
      <c r="H1474" t="s">
        <v>196</v>
      </c>
      <c r="I1474" t="s">
        <v>696</v>
      </c>
      <c r="J1474" t="s">
        <v>697</v>
      </c>
      <c r="K1474" t="s">
        <v>39</v>
      </c>
      <c r="L1474" t="s">
        <v>30</v>
      </c>
      <c r="M1474" t="s">
        <v>31</v>
      </c>
      <c r="N1474" t="s">
        <v>991</v>
      </c>
      <c r="Q1474" s="4">
        <v>1</v>
      </c>
    </row>
    <row r="1475" spans="1:17" x14ac:dyDescent="0.55000000000000004">
      <c r="A1475" t="s">
        <v>4792</v>
      </c>
      <c r="C1475" t="s">
        <v>1541</v>
      </c>
      <c r="D1475" t="s">
        <v>1542</v>
      </c>
      <c r="E1475" t="s">
        <v>39</v>
      </c>
      <c r="F1475" t="s">
        <v>30</v>
      </c>
      <c r="G1475" t="s">
        <v>31</v>
      </c>
      <c r="H1475" t="s">
        <v>196</v>
      </c>
      <c r="I1475" t="s">
        <v>701</v>
      </c>
      <c r="J1475" t="s">
        <v>702</v>
      </c>
      <c r="K1475" t="s">
        <v>39</v>
      </c>
      <c r="L1475" t="s">
        <v>30</v>
      </c>
      <c r="M1475" t="s">
        <v>31</v>
      </c>
      <c r="N1475" t="s">
        <v>991</v>
      </c>
      <c r="Q1475" s="4">
        <v>1</v>
      </c>
    </row>
    <row r="1476" spans="1:17" x14ac:dyDescent="0.55000000000000004">
      <c r="A1476" t="s">
        <v>4793</v>
      </c>
      <c r="C1476" t="s">
        <v>1547</v>
      </c>
      <c r="D1476" t="s">
        <v>1548</v>
      </c>
      <c r="E1476" t="s">
        <v>39</v>
      </c>
      <c r="F1476" t="s">
        <v>30</v>
      </c>
      <c r="G1476" t="s">
        <v>31</v>
      </c>
      <c r="H1476" t="s">
        <v>196</v>
      </c>
      <c r="I1476" t="s">
        <v>706</v>
      </c>
      <c r="J1476" t="s">
        <v>707</v>
      </c>
      <c r="K1476" t="s">
        <v>39</v>
      </c>
      <c r="L1476" t="s">
        <v>30</v>
      </c>
      <c r="M1476" t="s">
        <v>31</v>
      </c>
      <c r="N1476" t="s">
        <v>991</v>
      </c>
      <c r="Q1476" s="4">
        <v>1</v>
      </c>
    </row>
    <row r="1477" spans="1:17" x14ac:dyDescent="0.55000000000000004">
      <c r="A1477" t="s">
        <v>4794</v>
      </c>
      <c r="C1477" t="s">
        <v>1552</v>
      </c>
      <c r="D1477" t="s">
        <v>1553</v>
      </c>
      <c r="E1477" t="s">
        <v>39</v>
      </c>
      <c r="F1477" t="s">
        <v>30</v>
      </c>
      <c r="G1477" t="s">
        <v>31</v>
      </c>
      <c r="H1477" t="s">
        <v>196</v>
      </c>
      <c r="I1477" t="s">
        <v>711</v>
      </c>
      <c r="J1477" t="s">
        <v>712</v>
      </c>
      <c r="K1477" t="s">
        <v>39</v>
      </c>
      <c r="L1477" t="s">
        <v>30</v>
      </c>
      <c r="M1477" t="s">
        <v>31</v>
      </c>
      <c r="N1477" t="s">
        <v>991</v>
      </c>
      <c r="Q1477" s="4">
        <v>1</v>
      </c>
    </row>
    <row r="1478" spans="1:17" x14ac:dyDescent="0.55000000000000004">
      <c r="A1478" t="s">
        <v>4795</v>
      </c>
      <c r="C1478" t="s">
        <v>1557</v>
      </c>
      <c r="D1478" t="s">
        <v>1558</v>
      </c>
      <c r="E1478" t="s">
        <v>39</v>
      </c>
      <c r="F1478" t="s">
        <v>30</v>
      </c>
      <c r="G1478" t="s">
        <v>31</v>
      </c>
      <c r="H1478" t="s">
        <v>196</v>
      </c>
      <c r="I1478" t="s">
        <v>716</v>
      </c>
      <c r="J1478" t="s">
        <v>717</v>
      </c>
      <c r="K1478" t="s">
        <v>39</v>
      </c>
      <c r="L1478" t="s">
        <v>30</v>
      </c>
      <c r="M1478" t="s">
        <v>31</v>
      </c>
      <c r="N1478" t="s">
        <v>991</v>
      </c>
      <c r="Q1478" s="4">
        <v>1</v>
      </c>
    </row>
    <row r="1479" spans="1:17" x14ac:dyDescent="0.55000000000000004">
      <c r="A1479" t="s">
        <v>4796</v>
      </c>
      <c r="C1479" t="s">
        <v>1562</v>
      </c>
      <c r="D1479" t="s">
        <v>1563</v>
      </c>
      <c r="E1479" t="s">
        <v>39</v>
      </c>
      <c r="F1479" t="s">
        <v>30</v>
      </c>
      <c r="G1479" t="s">
        <v>31</v>
      </c>
      <c r="H1479" t="s">
        <v>196</v>
      </c>
      <c r="I1479" t="s">
        <v>721</v>
      </c>
      <c r="J1479" t="s">
        <v>722</v>
      </c>
      <c r="K1479" t="s">
        <v>39</v>
      </c>
      <c r="L1479" t="s">
        <v>30</v>
      </c>
      <c r="M1479" t="s">
        <v>31</v>
      </c>
      <c r="N1479" t="s">
        <v>991</v>
      </c>
      <c r="Q1479" s="4">
        <v>1</v>
      </c>
    </row>
    <row r="1480" spans="1:17" x14ac:dyDescent="0.55000000000000004">
      <c r="A1480" t="s">
        <v>4797</v>
      </c>
      <c r="C1480" t="s">
        <v>1567</v>
      </c>
      <c r="D1480" t="s">
        <v>1568</v>
      </c>
      <c r="E1480" t="s">
        <v>39</v>
      </c>
      <c r="F1480" t="s">
        <v>30</v>
      </c>
      <c r="G1480" t="s">
        <v>31</v>
      </c>
      <c r="H1480" t="s">
        <v>196</v>
      </c>
      <c r="I1480" t="s">
        <v>726</v>
      </c>
      <c r="J1480" t="s">
        <v>727</v>
      </c>
      <c r="K1480" t="s">
        <v>39</v>
      </c>
      <c r="L1480" t="s">
        <v>30</v>
      </c>
      <c r="M1480" t="s">
        <v>31</v>
      </c>
      <c r="N1480" t="s">
        <v>991</v>
      </c>
      <c r="Q1480" s="4">
        <v>1</v>
      </c>
    </row>
    <row r="1481" spans="1:17" x14ac:dyDescent="0.55000000000000004">
      <c r="A1481" t="s">
        <v>4798</v>
      </c>
      <c r="C1481" t="s">
        <v>1572</v>
      </c>
      <c r="D1481" t="s">
        <v>1573</v>
      </c>
      <c r="E1481" t="s">
        <v>39</v>
      </c>
      <c r="F1481" t="s">
        <v>30</v>
      </c>
      <c r="G1481" t="s">
        <v>31</v>
      </c>
      <c r="H1481" t="s">
        <v>196</v>
      </c>
      <c r="I1481" t="s">
        <v>731</v>
      </c>
      <c r="J1481" t="s">
        <v>732</v>
      </c>
      <c r="K1481" t="s">
        <v>39</v>
      </c>
      <c r="L1481" t="s">
        <v>30</v>
      </c>
      <c r="M1481" t="s">
        <v>31</v>
      </c>
      <c r="N1481" t="s">
        <v>991</v>
      </c>
      <c r="Q1481" s="4">
        <v>1</v>
      </c>
    </row>
    <row r="1482" spans="1:17" x14ac:dyDescent="0.55000000000000004">
      <c r="A1482" t="s">
        <v>4799</v>
      </c>
      <c r="C1482" t="s">
        <v>1577</v>
      </c>
      <c r="D1482" t="s">
        <v>1578</v>
      </c>
      <c r="E1482" t="s">
        <v>39</v>
      </c>
      <c r="F1482" t="s">
        <v>30</v>
      </c>
      <c r="G1482" t="s">
        <v>31</v>
      </c>
      <c r="H1482" t="s">
        <v>196</v>
      </c>
      <c r="I1482" t="s">
        <v>736</v>
      </c>
      <c r="J1482" t="s">
        <v>737</v>
      </c>
      <c r="K1482" t="s">
        <v>39</v>
      </c>
      <c r="L1482" t="s">
        <v>30</v>
      </c>
      <c r="M1482" t="s">
        <v>31</v>
      </c>
      <c r="N1482" t="s">
        <v>991</v>
      </c>
      <c r="Q1482" s="4">
        <v>1</v>
      </c>
    </row>
    <row r="1483" spans="1:17" x14ac:dyDescent="0.55000000000000004">
      <c r="A1483" t="s">
        <v>4800</v>
      </c>
      <c r="C1483" t="s">
        <v>1582</v>
      </c>
      <c r="D1483" t="s">
        <v>1583</v>
      </c>
      <c r="E1483" t="s">
        <v>39</v>
      </c>
      <c r="F1483" t="s">
        <v>30</v>
      </c>
      <c r="G1483" t="s">
        <v>31</v>
      </c>
      <c r="H1483" t="s">
        <v>196</v>
      </c>
      <c r="I1483" t="s">
        <v>741</v>
      </c>
      <c r="J1483" t="s">
        <v>742</v>
      </c>
      <c r="K1483" t="s">
        <v>39</v>
      </c>
      <c r="L1483" t="s">
        <v>30</v>
      </c>
      <c r="M1483" t="s">
        <v>31</v>
      </c>
      <c r="N1483" t="s">
        <v>991</v>
      </c>
      <c r="Q1483" s="4">
        <v>1</v>
      </c>
    </row>
    <row r="1484" spans="1:17" x14ac:dyDescent="0.55000000000000004">
      <c r="A1484" t="s">
        <v>4801</v>
      </c>
      <c r="C1484" t="s">
        <v>1587</v>
      </c>
      <c r="D1484" t="s">
        <v>1588</v>
      </c>
      <c r="E1484" t="s">
        <v>39</v>
      </c>
      <c r="F1484" t="s">
        <v>30</v>
      </c>
      <c r="G1484" t="s">
        <v>31</v>
      </c>
      <c r="H1484" t="s">
        <v>196</v>
      </c>
      <c r="I1484" t="s">
        <v>746</v>
      </c>
      <c r="J1484" t="s">
        <v>747</v>
      </c>
      <c r="K1484" t="s">
        <v>39</v>
      </c>
      <c r="L1484" t="s">
        <v>30</v>
      </c>
      <c r="M1484" t="s">
        <v>31</v>
      </c>
      <c r="N1484" t="s">
        <v>991</v>
      </c>
      <c r="Q1484" s="4">
        <v>1</v>
      </c>
    </row>
    <row r="1485" spans="1:17" s="16" customFormat="1" ht="18.5" thickBot="1" x14ac:dyDescent="0.6">
      <c r="A1485" s="16" t="s">
        <v>4802</v>
      </c>
      <c r="C1485" s="16" t="s">
        <v>1592</v>
      </c>
      <c r="D1485" s="16" t="s">
        <v>1593</v>
      </c>
      <c r="E1485" s="16" t="s">
        <v>39</v>
      </c>
      <c r="F1485" s="16" t="s">
        <v>30</v>
      </c>
      <c r="G1485" s="16" t="s">
        <v>31</v>
      </c>
      <c r="H1485" s="16" t="s">
        <v>196</v>
      </c>
      <c r="I1485" s="16" t="s">
        <v>751</v>
      </c>
      <c r="J1485" s="16" t="s">
        <v>752</v>
      </c>
      <c r="K1485" s="16" t="s">
        <v>39</v>
      </c>
      <c r="L1485" s="16" t="s">
        <v>30</v>
      </c>
      <c r="M1485" s="16" t="s">
        <v>31</v>
      </c>
      <c r="N1485" s="16" t="s">
        <v>991</v>
      </c>
      <c r="Q1485" s="18">
        <v>1</v>
      </c>
    </row>
    <row r="1486" spans="1:17" x14ac:dyDescent="0.55000000000000004">
      <c r="A1486" t="s">
        <v>4803</v>
      </c>
      <c r="C1486" t="s">
        <v>1597</v>
      </c>
      <c r="D1486" t="s">
        <v>1598</v>
      </c>
      <c r="E1486" t="s">
        <v>39</v>
      </c>
      <c r="F1486" t="s">
        <v>30</v>
      </c>
      <c r="G1486" t="s">
        <v>31</v>
      </c>
      <c r="H1486" t="s">
        <v>196</v>
      </c>
      <c r="I1486" t="s">
        <v>756</v>
      </c>
      <c r="J1486" t="s">
        <v>757</v>
      </c>
      <c r="K1486" t="s">
        <v>39</v>
      </c>
      <c r="L1486" t="s">
        <v>30</v>
      </c>
      <c r="M1486" t="s">
        <v>31</v>
      </c>
      <c r="N1486" t="s">
        <v>991</v>
      </c>
      <c r="Q1486" s="4">
        <v>1</v>
      </c>
    </row>
    <row r="1487" spans="1:17" x14ac:dyDescent="0.55000000000000004">
      <c r="A1487" t="s">
        <v>4804</v>
      </c>
      <c r="C1487" t="s">
        <v>1604</v>
      </c>
      <c r="D1487" t="s">
        <v>1605</v>
      </c>
      <c r="E1487" t="s">
        <v>39</v>
      </c>
      <c r="F1487" t="s">
        <v>30</v>
      </c>
      <c r="G1487" t="s">
        <v>31</v>
      </c>
      <c r="H1487" t="s">
        <v>196</v>
      </c>
      <c r="I1487" t="s">
        <v>761</v>
      </c>
      <c r="J1487" t="s">
        <v>762</v>
      </c>
      <c r="K1487" t="s">
        <v>39</v>
      </c>
      <c r="L1487" t="s">
        <v>30</v>
      </c>
      <c r="M1487" t="s">
        <v>31</v>
      </c>
      <c r="N1487" t="s">
        <v>991</v>
      </c>
      <c r="Q1487" s="4">
        <v>1</v>
      </c>
    </row>
    <row r="1488" spans="1:17" x14ac:dyDescent="0.55000000000000004">
      <c r="A1488" t="s">
        <v>4805</v>
      </c>
      <c r="C1488" t="s">
        <v>1609</v>
      </c>
      <c r="D1488" t="s">
        <v>1610</v>
      </c>
      <c r="E1488" t="s">
        <v>39</v>
      </c>
      <c r="F1488" t="s">
        <v>30</v>
      </c>
      <c r="G1488" t="s">
        <v>31</v>
      </c>
      <c r="H1488" t="s">
        <v>196</v>
      </c>
      <c r="I1488" t="s">
        <v>766</v>
      </c>
      <c r="J1488" t="s">
        <v>767</v>
      </c>
      <c r="K1488" t="s">
        <v>39</v>
      </c>
      <c r="L1488" t="s">
        <v>30</v>
      </c>
      <c r="M1488" t="s">
        <v>31</v>
      </c>
      <c r="N1488" t="s">
        <v>991</v>
      </c>
      <c r="Q1488" s="4">
        <v>1</v>
      </c>
    </row>
    <row r="1489" spans="1:17" x14ac:dyDescent="0.55000000000000004">
      <c r="A1489" t="s">
        <v>4806</v>
      </c>
      <c r="C1489" t="s">
        <v>1614</v>
      </c>
      <c r="D1489" t="s">
        <v>1615</v>
      </c>
      <c r="E1489" t="s">
        <v>39</v>
      </c>
      <c r="F1489" t="s">
        <v>30</v>
      </c>
      <c r="G1489" t="s">
        <v>31</v>
      </c>
      <c r="H1489" t="s">
        <v>196</v>
      </c>
      <c r="I1489" t="s">
        <v>771</v>
      </c>
      <c r="J1489" t="s">
        <v>772</v>
      </c>
      <c r="K1489" t="s">
        <v>39</v>
      </c>
      <c r="L1489" t="s">
        <v>30</v>
      </c>
      <c r="M1489" t="s">
        <v>31</v>
      </c>
      <c r="N1489" t="s">
        <v>991</v>
      </c>
      <c r="Q1489" s="4">
        <v>1</v>
      </c>
    </row>
    <row r="1490" spans="1:17" x14ac:dyDescent="0.55000000000000004">
      <c r="A1490" t="s">
        <v>4807</v>
      </c>
      <c r="C1490" t="s">
        <v>1619</v>
      </c>
      <c r="D1490" t="s">
        <v>1620</v>
      </c>
      <c r="E1490" t="s">
        <v>39</v>
      </c>
      <c r="F1490" t="s">
        <v>30</v>
      </c>
      <c r="G1490" t="s">
        <v>31</v>
      </c>
      <c r="H1490" t="s">
        <v>196</v>
      </c>
      <c r="I1490" t="s">
        <v>776</v>
      </c>
      <c r="J1490" t="s">
        <v>777</v>
      </c>
      <c r="K1490" t="s">
        <v>39</v>
      </c>
      <c r="L1490" t="s">
        <v>30</v>
      </c>
      <c r="M1490" t="s">
        <v>31</v>
      </c>
      <c r="N1490" t="s">
        <v>991</v>
      </c>
      <c r="Q1490" s="4">
        <v>1</v>
      </c>
    </row>
    <row r="1491" spans="1:17" x14ac:dyDescent="0.55000000000000004">
      <c r="A1491" t="s">
        <v>4808</v>
      </c>
      <c r="C1491" t="s">
        <v>1624</v>
      </c>
      <c r="D1491" t="s">
        <v>1625</v>
      </c>
      <c r="E1491" t="s">
        <v>39</v>
      </c>
      <c r="F1491" t="s">
        <v>30</v>
      </c>
      <c r="G1491" t="s">
        <v>31</v>
      </c>
      <c r="H1491" t="s">
        <v>196</v>
      </c>
      <c r="I1491" t="s">
        <v>781</v>
      </c>
      <c r="J1491" t="s">
        <v>782</v>
      </c>
      <c r="K1491" t="s">
        <v>39</v>
      </c>
      <c r="L1491" t="s">
        <v>30</v>
      </c>
      <c r="M1491" t="s">
        <v>31</v>
      </c>
      <c r="N1491" t="s">
        <v>991</v>
      </c>
      <c r="Q1491" s="4">
        <v>1</v>
      </c>
    </row>
    <row r="1492" spans="1:17" x14ac:dyDescent="0.55000000000000004">
      <c r="A1492" t="s">
        <v>4809</v>
      </c>
      <c r="C1492" t="s">
        <v>1629</v>
      </c>
      <c r="D1492" t="s">
        <v>1630</v>
      </c>
      <c r="E1492" t="s">
        <v>39</v>
      </c>
      <c r="F1492" t="s">
        <v>30</v>
      </c>
      <c r="G1492" t="s">
        <v>31</v>
      </c>
      <c r="H1492" t="s">
        <v>196</v>
      </c>
      <c r="I1492" t="s">
        <v>786</v>
      </c>
      <c r="J1492" t="s">
        <v>787</v>
      </c>
      <c r="K1492" t="s">
        <v>39</v>
      </c>
      <c r="L1492" t="s">
        <v>30</v>
      </c>
      <c r="M1492" t="s">
        <v>31</v>
      </c>
      <c r="N1492" t="s">
        <v>991</v>
      </c>
      <c r="Q1492" s="4">
        <v>1</v>
      </c>
    </row>
    <row r="1493" spans="1:17" x14ac:dyDescent="0.55000000000000004">
      <c r="A1493" t="s">
        <v>4810</v>
      </c>
      <c r="C1493" t="s">
        <v>1634</v>
      </c>
      <c r="D1493" t="s">
        <v>1635</v>
      </c>
      <c r="E1493" t="s">
        <v>39</v>
      </c>
      <c r="F1493" t="s">
        <v>30</v>
      </c>
      <c r="G1493" t="s">
        <v>31</v>
      </c>
      <c r="H1493" t="s">
        <v>196</v>
      </c>
      <c r="I1493" t="s">
        <v>791</v>
      </c>
      <c r="J1493" t="s">
        <v>792</v>
      </c>
      <c r="K1493" t="s">
        <v>39</v>
      </c>
      <c r="L1493" t="s">
        <v>30</v>
      </c>
      <c r="M1493" t="s">
        <v>31</v>
      </c>
      <c r="N1493" t="s">
        <v>991</v>
      </c>
      <c r="Q1493" s="4">
        <v>1</v>
      </c>
    </row>
    <row r="1494" spans="1:17" x14ac:dyDescent="0.55000000000000004">
      <c r="A1494" t="s">
        <v>4811</v>
      </c>
      <c r="C1494" t="s">
        <v>1639</v>
      </c>
      <c r="D1494" t="s">
        <v>1640</v>
      </c>
      <c r="E1494" t="s">
        <v>39</v>
      </c>
      <c r="F1494" t="s">
        <v>30</v>
      </c>
      <c r="G1494" t="s">
        <v>31</v>
      </c>
      <c r="H1494" t="s">
        <v>196</v>
      </c>
      <c r="I1494" t="s">
        <v>796</v>
      </c>
      <c r="J1494" t="s">
        <v>797</v>
      </c>
      <c r="K1494" t="s">
        <v>39</v>
      </c>
      <c r="L1494" t="s">
        <v>30</v>
      </c>
      <c r="M1494" t="s">
        <v>31</v>
      </c>
      <c r="N1494" t="s">
        <v>991</v>
      </c>
      <c r="Q1494" s="4">
        <v>1</v>
      </c>
    </row>
    <row r="1495" spans="1:17" x14ac:dyDescent="0.55000000000000004">
      <c r="A1495" t="s">
        <v>4812</v>
      </c>
      <c r="C1495" t="s">
        <v>1644</v>
      </c>
      <c r="D1495" t="s">
        <v>1645</v>
      </c>
      <c r="E1495" t="s">
        <v>39</v>
      </c>
      <c r="F1495" t="s">
        <v>30</v>
      </c>
      <c r="G1495" t="s">
        <v>31</v>
      </c>
      <c r="H1495" t="s">
        <v>196</v>
      </c>
      <c r="I1495" t="s">
        <v>801</v>
      </c>
      <c r="J1495" t="s">
        <v>802</v>
      </c>
      <c r="K1495" t="s">
        <v>39</v>
      </c>
      <c r="L1495" t="s">
        <v>30</v>
      </c>
      <c r="M1495" t="s">
        <v>31</v>
      </c>
      <c r="N1495" t="s">
        <v>991</v>
      </c>
      <c r="Q1495" s="4">
        <v>1</v>
      </c>
    </row>
    <row r="1496" spans="1:17" x14ac:dyDescent="0.55000000000000004">
      <c r="A1496" t="s">
        <v>4813</v>
      </c>
      <c r="C1496" t="s">
        <v>1649</v>
      </c>
      <c r="D1496" t="s">
        <v>1650</v>
      </c>
      <c r="E1496" t="s">
        <v>39</v>
      </c>
      <c r="F1496" t="s">
        <v>30</v>
      </c>
      <c r="G1496" t="s">
        <v>31</v>
      </c>
      <c r="H1496" t="s">
        <v>196</v>
      </c>
      <c r="I1496" t="s">
        <v>806</v>
      </c>
      <c r="J1496" t="s">
        <v>807</v>
      </c>
      <c r="K1496" t="s">
        <v>39</v>
      </c>
      <c r="L1496" t="s">
        <v>30</v>
      </c>
      <c r="M1496" t="s">
        <v>31</v>
      </c>
      <c r="N1496" t="s">
        <v>991</v>
      </c>
      <c r="Q1496" s="4">
        <v>1</v>
      </c>
    </row>
    <row r="1497" spans="1:17" x14ac:dyDescent="0.55000000000000004">
      <c r="A1497" t="s">
        <v>4814</v>
      </c>
      <c r="C1497" t="s">
        <v>1654</v>
      </c>
      <c r="D1497" t="s">
        <v>1655</v>
      </c>
      <c r="E1497" t="s">
        <v>39</v>
      </c>
      <c r="F1497" t="s">
        <v>30</v>
      </c>
      <c r="G1497" t="s">
        <v>31</v>
      </c>
      <c r="H1497" t="s">
        <v>196</v>
      </c>
      <c r="I1497" t="s">
        <v>811</v>
      </c>
      <c r="J1497" t="s">
        <v>812</v>
      </c>
      <c r="K1497" t="s">
        <v>39</v>
      </c>
      <c r="L1497" t="s">
        <v>30</v>
      </c>
      <c r="M1497" t="s">
        <v>31</v>
      </c>
      <c r="N1497" t="s">
        <v>991</v>
      </c>
      <c r="Q1497" s="4">
        <v>1</v>
      </c>
    </row>
    <row r="1498" spans="1:17" x14ac:dyDescent="0.55000000000000004">
      <c r="A1498" t="s">
        <v>4815</v>
      </c>
      <c r="C1498" t="s">
        <v>1659</v>
      </c>
      <c r="D1498" t="s">
        <v>1660</v>
      </c>
      <c r="E1498" t="s">
        <v>39</v>
      </c>
      <c r="F1498" t="s">
        <v>30</v>
      </c>
      <c r="G1498" t="s">
        <v>31</v>
      </c>
      <c r="H1498" t="s">
        <v>196</v>
      </c>
      <c r="I1498" t="s">
        <v>816</v>
      </c>
      <c r="J1498" t="s">
        <v>817</v>
      </c>
      <c r="K1498" t="s">
        <v>39</v>
      </c>
      <c r="L1498" t="s">
        <v>30</v>
      </c>
      <c r="M1498" t="s">
        <v>31</v>
      </c>
      <c r="N1498" t="s">
        <v>991</v>
      </c>
      <c r="Q1498" s="4">
        <v>1</v>
      </c>
    </row>
    <row r="1499" spans="1:17" x14ac:dyDescent="0.55000000000000004">
      <c r="A1499" t="s">
        <v>4816</v>
      </c>
      <c r="C1499" t="s">
        <v>1664</v>
      </c>
      <c r="D1499" t="s">
        <v>1665</v>
      </c>
      <c r="E1499" t="s">
        <v>39</v>
      </c>
      <c r="F1499" t="s">
        <v>30</v>
      </c>
      <c r="G1499" t="s">
        <v>31</v>
      </c>
      <c r="H1499" t="s">
        <v>196</v>
      </c>
      <c r="I1499" t="s">
        <v>821</v>
      </c>
      <c r="J1499" t="s">
        <v>822</v>
      </c>
      <c r="K1499" t="s">
        <v>39</v>
      </c>
      <c r="L1499" t="s">
        <v>30</v>
      </c>
      <c r="M1499" t="s">
        <v>31</v>
      </c>
      <c r="N1499" t="s">
        <v>991</v>
      </c>
      <c r="Q1499" s="4">
        <v>1</v>
      </c>
    </row>
    <row r="1500" spans="1:17" x14ac:dyDescent="0.55000000000000004">
      <c r="A1500" t="s">
        <v>4817</v>
      </c>
      <c r="C1500" t="s">
        <v>1669</v>
      </c>
      <c r="D1500" t="s">
        <v>1670</v>
      </c>
      <c r="E1500" t="s">
        <v>39</v>
      </c>
      <c r="F1500" t="s">
        <v>30</v>
      </c>
      <c r="G1500" t="s">
        <v>31</v>
      </c>
      <c r="H1500" t="s">
        <v>196</v>
      </c>
      <c r="I1500" t="s">
        <v>826</v>
      </c>
      <c r="J1500" t="s">
        <v>827</v>
      </c>
      <c r="K1500" t="s">
        <v>39</v>
      </c>
      <c r="L1500" t="s">
        <v>30</v>
      </c>
      <c r="M1500" t="s">
        <v>31</v>
      </c>
      <c r="N1500" t="s">
        <v>991</v>
      </c>
      <c r="Q1500" s="4">
        <v>1</v>
      </c>
    </row>
    <row r="1501" spans="1:17" x14ac:dyDescent="0.55000000000000004">
      <c r="A1501" t="s">
        <v>4818</v>
      </c>
      <c r="C1501" t="s">
        <v>1674</v>
      </c>
      <c r="D1501" t="s">
        <v>1675</v>
      </c>
      <c r="E1501" t="s">
        <v>39</v>
      </c>
      <c r="F1501" t="s">
        <v>30</v>
      </c>
      <c r="G1501" t="s">
        <v>31</v>
      </c>
      <c r="H1501" t="s">
        <v>196</v>
      </c>
      <c r="I1501" t="s">
        <v>831</v>
      </c>
      <c r="J1501" t="s">
        <v>832</v>
      </c>
      <c r="K1501" t="s">
        <v>39</v>
      </c>
      <c r="L1501" t="s">
        <v>30</v>
      </c>
      <c r="M1501" t="s">
        <v>31</v>
      </c>
      <c r="N1501" t="s">
        <v>991</v>
      </c>
      <c r="Q1501" s="4">
        <v>1</v>
      </c>
    </row>
    <row r="1502" spans="1:17" x14ac:dyDescent="0.55000000000000004">
      <c r="A1502" t="s">
        <v>4819</v>
      </c>
      <c r="C1502" t="s">
        <v>1680</v>
      </c>
      <c r="D1502" t="s">
        <v>1681</v>
      </c>
      <c r="E1502" t="s">
        <v>39</v>
      </c>
      <c r="F1502" t="s">
        <v>30</v>
      </c>
      <c r="G1502" t="s">
        <v>31</v>
      </c>
      <c r="H1502" t="s">
        <v>196</v>
      </c>
      <c r="I1502" t="s">
        <v>836</v>
      </c>
      <c r="J1502" t="s">
        <v>837</v>
      </c>
      <c r="K1502" t="s">
        <v>39</v>
      </c>
      <c r="L1502" t="s">
        <v>30</v>
      </c>
      <c r="M1502" t="s">
        <v>31</v>
      </c>
      <c r="N1502" t="s">
        <v>991</v>
      </c>
      <c r="Q1502" s="4">
        <v>1</v>
      </c>
    </row>
    <row r="1503" spans="1:17" x14ac:dyDescent="0.55000000000000004">
      <c r="A1503" t="s">
        <v>4820</v>
      </c>
      <c r="C1503" t="s">
        <v>1686</v>
      </c>
      <c r="D1503" t="s">
        <v>1687</v>
      </c>
      <c r="E1503" t="s">
        <v>39</v>
      </c>
      <c r="F1503" t="s">
        <v>30</v>
      </c>
      <c r="G1503" t="s">
        <v>31</v>
      </c>
      <c r="H1503" t="s">
        <v>196</v>
      </c>
      <c r="I1503" t="s">
        <v>841</v>
      </c>
      <c r="J1503" t="s">
        <v>842</v>
      </c>
      <c r="K1503" t="s">
        <v>39</v>
      </c>
      <c r="L1503" t="s">
        <v>30</v>
      </c>
      <c r="M1503" t="s">
        <v>31</v>
      </c>
      <c r="N1503" t="s">
        <v>991</v>
      </c>
      <c r="Q1503" s="4">
        <v>1</v>
      </c>
    </row>
    <row r="1504" spans="1:17" x14ac:dyDescent="0.55000000000000004">
      <c r="A1504" t="s">
        <v>4821</v>
      </c>
      <c r="C1504" t="s">
        <v>1692</v>
      </c>
      <c r="D1504" t="s">
        <v>1693</v>
      </c>
      <c r="E1504" t="s">
        <v>39</v>
      </c>
      <c r="F1504" t="s">
        <v>30</v>
      </c>
      <c r="G1504" t="s">
        <v>31</v>
      </c>
      <c r="H1504" t="s">
        <v>196</v>
      </c>
      <c r="I1504" t="s">
        <v>846</v>
      </c>
      <c r="J1504" t="s">
        <v>847</v>
      </c>
      <c r="K1504" t="s">
        <v>39</v>
      </c>
      <c r="L1504" t="s">
        <v>30</v>
      </c>
      <c r="M1504" t="s">
        <v>31</v>
      </c>
      <c r="N1504" t="s">
        <v>991</v>
      </c>
      <c r="Q1504" s="4">
        <v>1</v>
      </c>
    </row>
    <row r="1505" spans="1:17" x14ac:dyDescent="0.55000000000000004">
      <c r="A1505" t="s">
        <v>4822</v>
      </c>
      <c r="C1505" t="s">
        <v>1698</v>
      </c>
      <c r="D1505" t="s">
        <v>1699</v>
      </c>
      <c r="E1505" t="s">
        <v>39</v>
      </c>
      <c r="F1505" t="s">
        <v>30</v>
      </c>
      <c r="G1505" t="s">
        <v>31</v>
      </c>
      <c r="H1505" t="s">
        <v>196</v>
      </c>
      <c r="I1505" t="s">
        <v>851</v>
      </c>
      <c r="J1505" t="s">
        <v>852</v>
      </c>
      <c r="K1505" t="s">
        <v>39</v>
      </c>
      <c r="L1505" t="s">
        <v>30</v>
      </c>
      <c r="M1505" t="s">
        <v>31</v>
      </c>
      <c r="N1505" t="s">
        <v>991</v>
      </c>
      <c r="Q1505" s="4">
        <v>1</v>
      </c>
    </row>
    <row r="1506" spans="1:17" x14ac:dyDescent="0.55000000000000004">
      <c r="A1506" t="s">
        <v>4823</v>
      </c>
      <c r="C1506" t="s">
        <v>1704</v>
      </c>
      <c r="D1506" t="s">
        <v>1705</v>
      </c>
      <c r="E1506" t="s">
        <v>39</v>
      </c>
      <c r="F1506" t="s">
        <v>30</v>
      </c>
      <c r="G1506" t="s">
        <v>31</v>
      </c>
      <c r="H1506" t="s">
        <v>196</v>
      </c>
      <c r="I1506" t="s">
        <v>856</v>
      </c>
      <c r="J1506" t="s">
        <v>857</v>
      </c>
      <c r="K1506" t="s">
        <v>39</v>
      </c>
      <c r="L1506" t="s">
        <v>30</v>
      </c>
      <c r="M1506" t="s">
        <v>31</v>
      </c>
      <c r="N1506" t="s">
        <v>991</v>
      </c>
      <c r="Q1506" s="4">
        <v>1</v>
      </c>
    </row>
    <row r="1507" spans="1:17" x14ac:dyDescent="0.55000000000000004">
      <c r="A1507" t="s">
        <v>4824</v>
      </c>
      <c r="C1507" t="s">
        <v>1710</v>
      </c>
      <c r="D1507" t="s">
        <v>1711</v>
      </c>
      <c r="E1507" t="s">
        <v>39</v>
      </c>
      <c r="F1507" t="s">
        <v>30</v>
      </c>
      <c r="G1507" t="s">
        <v>31</v>
      </c>
      <c r="H1507" t="s">
        <v>196</v>
      </c>
      <c r="I1507" t="s">
        <v>861</v>
      </c>
      <c r="J1507" t="s">
        <v>862</v>
      </c>
      <c r="K1507" t="s">
        <v>39</v>
      </c>
      <c r="L1507" t="s">
        <v>30</v>
      </c>
      <c r="M1507" t="s">
        <v>31</v>
      </c>
      <c r="N1507" t="s">
        <v>991</v>
      </c>
      <c r="Q1507" s="4">
        <v>1</v>
      </c>
    </row>
    <row r="1508" spans="1:17" x14ac:dyDescent="0.55000000000000004">
      <c r="A1508" t="s">
        <v>4825</v>
      </c>
      <c r="C1508" t="s">
        <v>1716</v>
      </c>
      <c r="D1508" t="s">
        <v>1717</v>
      </c>
      <c r="E1508" t="s">
        <v>39</v>
      </c>
      <c r="F1508" t="s">
        <v>30</v>
      </c>
      <c r="G1508" t="s">
        <v>31</v>
      </c>
      <c r="H1508" t="s">
        <v>196</v>
      </c>
      <c r="I1508" t="s">
        <v>866</v>
      </c>
      <c r="J1508" t="s">
        <v>867</v>
      </c>
      <c r="K1508" t="s">
        <v>39</v>
      </c>
      <c r="L1508" t="s">
        <v>30</v>
      </c>
      <c r="M1508" t="s">
        <v>31</v>
      </c>
      <c r="N1508" t="s">
        <v>991</v>
      </c>
      <c r="Q1508" s="4">
        <v>1</v>
      </c>
    </row>
    <row r="1509" spans="1:17" x14ac:dyDescent="0.55000000000000004">
      <c r="A1509" t="s">
        <v>4826</v>
      </c>
      <c r="C1509" t="s">
        <v>1722</v>
      </c>
      <c r="D1509" t="s">
        <v>1723</v>
      </c>
      <c r="E1509" t="s">
        <v>39</v>
      </c>
      <c r="F1509" t="s">
        <v>30</v>
      </c>
      <c r="G1509" t="s">
        <v>31</v>
      </c>
      <c r="H1509" t="s">
        <v>196</v>
      </c>
      <c r="I1509" t="s">
        <v>871</v>
      </c>
      <c r="J1509" t="s">
        <v>872</v>
      </c>
      <c r="K1509" t="s">
        <v>39</v>
      </c>
      <c r="L1509" t="s">
        <v>30</v>
      </c>
      <c r="M1509" t="s">
        <v>31</v>
      </c>
      <c r="N1509" t="s">
        <v>991</v>
      </c>
      <c r="Q1509" s="4">
        <v>1</v>
      </c>
    </row>
    <row r="1510" spans="1:17" x14ac:dyDescent="0.55000000000000004">
      <c r="A1510" t="s">
        <v>4827</v>
      </c>
      <c r="C1510" t="s">
        <v>1728</v>
      </c>
      <c r="D1510" t="s">
        <v>1729</v>
      </c>
      <c r="E1510" t="s">
        <v>39</v>
      </c>
      <c r="F1510" t="s">
        <v>30</v>
      </c>
      <c r="G1510" t="s">
        <v>31</v>
      </c>
      <c r="H1510" t="s">
        <v>196</v>
      </c>
      <c r="I1510" t="s">
        <v>876</v>
      </c>
      <c r="J1510" t="s">
        <v>877</v>
      </c>
      <c r="K1510" t="s">
        <v>39</v>
      </c>
      <c r="L1510" t="s">
        <v>30</v>
      </c>
      <c r="M1510" t="s">
        <v>31</v>
      </c>
      <c r="N1510" t="s">
        <v>991</v>
      </c>
      <c r="Q1510" s="4">
        <v>1</v>
      </c>
    </row>
    <row r="1511" spans="1:17" x14ac:dyDescent="0.55000000000000004">
      <c r="A1511" t="s">
        <v>4828</v>
      </c>
      <c r="C1511" t="s">
        <v>1734</v>
      </c>
      <c r="D1511" t="s">
        <v>1735</v>
      </c>
      <c r="E1511" t="s">
        <v>39</v>
      </c>
      <c r="F1511" t="s">
        <v>30</v>
      </c>
      <c r="G1511" t="s">
        <v>31</v>
      </c>
      <c r="H1511" t="s">
        <v>196</v>
      </c>
      <c r="I1511" t="s">
        <v>881</v>
      </c>
      <c r="J1511" t="s">
        <v>882</v>
      </c>
      <c r="K1511" t="s">
        <v>39</v>
      </c>
      <c r="L1511" t="s">
        <v>30</v>
      </c>
      <c r="M1511" t="s">
        <v>31</v>
      </c>
      <c r="N1511" t="s">
        <v>991</v>
      </c>
      <c r="Q1511" s="4">
        <v>1</v>
      </c>
    </row>
    <row r="1512" spans="1:17" x14ac:dyDescent="0.55000000000000004">
      <c r="A1512" t="s">
        <v>4829</v>
      </c>
      <c r="C1512" t="s">
        <v>1740</v>
      </c>
      <c r="D1512" t="s">
        <v>1741</v>
      </c>
      <c r="E1512" t="s">
        <v>39</v>
      </c>
      <c r="F1512" t="s">
        <v>30</v>
      </c>
      <c r="G1512" t="s">
        <v>31</v>
      </c>
      <c r="H1512" t="s">
        <v>196</v>
      </c>
      <c r="I1512" t="s">
        <v>886</v>
      </c>
      <c r="J1512" t="s">
        <v>887</v>
      </c>
      <c r="K1512" t="s">
        <v>39</v>
      </c>
      <c r="L1512" t="s">
        <v>30</v>
      </c>
      <c r="M1512" t="s">
        <v>31</v>
      </c>
      <c r="N1512" t="s">
        <v>991</v>
      </c>
      <c r="Q1512" s="4">
        <v>1</v>
      </c>
    </row>
    <row r="1513" spans="1:17" x14ac:dyDescent="0.55000000000000004">
      <c r="A1513" t="s">
        <v>4830</v>
      </c>
      <c r="C1513" t="s">
        <v>1746</v>
      </c>
      <c r="D1513" t="s">
        <v>1747</v>
      </c>
      <c r="E1513" t="s">
        <v>39</v>
      </c>
      <c r="F1513" t="s">
        <v>30</v>
      </c>
      <c r="G1513" t="s">
        <v>31</v>
      </c>
      <c r="H1513" t="s">
        <v>196</v>
      </c>
      <c r="I1513" t="s">
        <v>891</v>
      </c>
      <c r="J1513" t="s">
        <v>892</v>
      </c>
      <c r="K1513" t="s">
        <v>39</v>
      </c>
      <c r="L1513" t="s">
        <v>30</v>
      </c>
      <c r="M1513" t="s">
        <v>31</v>
      </c>
      <c r="N1513" t="s">
        <v>991</v>
      </c>
      <c r="Q1513" s="4">
        <v>1</v>
      </c>
    </row>
    <row r="1514" spans="1:17" x14ac:dyDescent="0.55000000000000004">
      <c r="A1514" t="s">
        <v>4831</v>
      </c>
      <c r="C1514" t="s">
        <v>1752</v>
      </c>
      <c r="D1514" t="s">
        <v>1753</v>
      </c>
      <c r="E1514" t="s">
        <v>39</v>
      </c>
      <c r="F1514" t="s">
        <v>30</v>
      </c>
      <c r="G1514" t="s">
        <v>31</v>
      </c>
      <c r="H1514" t="s">
        <v>196</v>
      </c>
      <c r="I1514" t="s">
        <v>896</v>
      </c>
      <c r="J1514" t="s">
        <v>897</v>
      </c>
      <c r="K1514" t="s">
        <v>39</v>
      </c>
      <c r="L1514" t="s">
        <v>30</v>
      </c>
      <c r="M1514" t="s">
        <v>31</v>
      </c>
      <c r="N1514" t="s">
        <v>991</v>
      </c>
      <c r="Q1514" s="4">
        <v>1</v>
      </c>
    </row>
    <row r="1515" spans="1:17" x14ac:dyDescent="0.55000000000000004">
      <c r="A1515" t="s">
        <v>4832</v>
      </c>
      <c r="C1515" t="s">
        <v>1758</v>
      </c>
      <c r="D1515" t="s">
        <v>1759</v>
      </c>
      <c r="E1515" t="s">
        <v>39</v>
      </c>
      <c r="F1515" t="s">
        <v>30</v>
      </c>
      <c r="G1515" t="s">
        <v>31</v>
      </c>
      <c r="H1515" t="s">
        <v>196</v>
      </c>
      <c r="I1515" t="s">
        <v>901</v>
      </c>
      <c r="J1515" t="s">
        <v>902</v>
      </c>
      <c r="K1515" t="s">
        <v>39</v>
      </c>
      <c r="L1515" t="s">
        <v>30</v>
      </c>
      <c r="M1515" t="s">
        <v>31</v>
      </c>
      <c r="N1515" t="s">
        <v>991</v>
      </c>
      <c r="Q1515" s="4">
        <v>1</v>
      </c>
    </row>
    <row r="1516" spans="1:17" x14ac:dyDescent="0.55000000000000004">
      <c r="A1516" t="s">
        <v>4833</v>
      </c>
      <c r="C1516" t="s">
        <v>1764</v>
      </c>
      <c r="D1516" t="s">
        <v>1765</v>
      </c>
      <c r="E1516" t="s">
        <v>39</v>
      </c>
      <c r="F1516" t="s">
        <v>30</v>
      </c>
      <c r="G1516" t="s">
        <v>31</v>
      </c>
      <c r="H1516" t="s">
        <v>196</v>
      </c>
      <c r="I1516" t="s">
        <v>906</v>
      </c>
      <c r="J1516" t="s">
        <v>907</v>
      </c>
      <c r="K1516" t="s">
        <v>39</v>
      </c>
      <c r="L1516" t="s">
        <v>30</v>
      </c>
      <c r="M1516" t="s">
        <v>31</v>
      </c>
      <c r="N1516" t="s">
        <v>991</v>
      </c>
      <c r="Q1516" s="4">
        <v>1</v>
      </c>
    </row>
    <row r="1517" spans="1:17" x14ac:dyDescent="0.55000000000000004">
      <c r="A1517" t="s">
        <v>4834</v>
      </c>
      <c r="C1517" t="s">
        <v>1770</v>
      </c>
      <c r="D1517" t="s">
        <v>1771</v>
      </c>
      <c r="E1517" t="s">
        <v>39</v>
      </c>
      <c r="F1517" t="s">
        <v>30</v>
      </c>
      <c r="G1517" t="s">
        <v>31</v>
      </c>
      <c r="H1517" t="s">
        <v>196</v>
      </c>
      <c r="I1517" t="s">
        <v>911</v>
      </c>
      <c r="J1517" t="s">
        <v>912</v>
      </c>
      <c r="K1517" t="s">
        <v>39</v>
      </c>
      <c r="L1517" t="s">
        <v>30</v>
      </c>
      <c r="M1517" t="s">
        <v>31</v>
      </c>
      <c r="N1517" t="s">
        <v>991</v>
      </c>
      <c r="Q1517" s="4">
        <v>1</v>
      </c>
    </row>
    <row r="1518" spans="1:17" x14ac:dyDescent="0.55000000000000004">
      <c r="A1518" t="s">
        <v>4835</v>
      </c>
      <c r="C1518" t="s">
        <v>1776</v>
      </c>
      <c r="D1518" t="s">
        <v>1777</v>
      </c>
      <c r="E1518" t="s">
        <v>39</v>
      </c>
      <c r="F1518" t="s">
        <v>30</v>
      </c>
      <c r="G1518" t="s">
        <v>31</v>
      </c>
      <c r="H1518" t="s">
        <v>196</v>
      </c>
      <c r="I1518" t="s">
        <v>916</v>
      </c>
      <c r="J1518" t="s">
        <v>917</v>
      </c>
      <c r="K1518" t="s">
        <v>39</v>
      </c>
      <c r="L1518" t="s">
        <v>30</v>
      </c>
      <c r="M1518" t="s">
        <v>31</v>
      </c>
      <c r="N1518" t="s">
        <v>991</v>
      </c>
      <c r="Q1518" s="4">
        <v>1</v>
      </c>
    </row>
    <row r="1519" spans="1:17" x14ac:dyDescent="0.55000000000000004">
      <c r="A1519" t="s">
        <v>4836</v>
      </c>
      <c r="C1519" t="s">
        <v>1782</v>
      </c>
      <c r="D1519" t="s">
        <v>1783</v>
      </c>
      <c r="E1519" t="s">
        <v>39</v>
      </c>
      <c r="F1519" t="s">
        <v>30</v>
      </c>
      <c r="G1519" t="s">
        <v>31</v>
      </c>
      <c r="H1519" t="s">
        <v>196</v>
      </c>
      <c r="I1519" t="s">
        <v>921</v>
      </c>
      <c r="J1519" t="s">
        <v>922</v>
      </c>
      <c r="K1519" t="s">
        <v>39</v>
      </c>
      <c r="L1519" t="s">
        <v>30</v>
      </c>
      <c r="M1519" t="s">
        <v>31</v>
      </c>
      <c r="N1519" t="s">
        <v>991</v>
      </c>
      <c r="Q1519" s="4">
        <v>1</v>
      </c>
    </row>
    <row r="1520" spans="1:17" x14ac:dyDescent="0.55000000000000004">
      <c r="A1520" t="s">
        <v>4837</v>
      </c>
      <c r="C1520" t="s">
        <v>1788</v>
      </c>
      <c r="D1520" t="s">
        <v>1789</v>
      </c>
      <c r="E1520" t="s">
        <v>39</v>
      </c>
      <c r="F1520" t="s">
        <v>30</v>
      </c>
      <c r="G1520" t="s">
        <v>31</v>
      </c>
      <c r="H1520" t="s">
        <v>196</v>
      </c>
      <c r="I1520" t="s">
        <v>926</v>
      </c>
      <c r="J1520" t="s">
        <v>927</v>
      </c>
      <c r="K1520" t="s">
        <v>39</v>
      </c>
      <c r="L1520" t="s">
        <v>30</v>
      </c>
      <c r="M1520" t="s">
        <v>31</v>
      </c>
      <c r="N1520" t="s">
        <v>991</v>
      </c>
      <c r="Q1520" s="4">
        <v>1</v>
      </c>
    </row>
    <row r="1521" spans="1:17" x14ac:dyDescent="0.55000000000000004">
      <c r="A1521" t="s">
        <v>4838</v>
      </c>
      <c r="C1521" t="s">
        <v>1794</v>
      </c>
      <c r="D1521" t="s">
        <v>1795</v>
      </c>
      <c r="E1521" t="s">
        <v>39</v>
      </c>
      <c r="F1521" t="s">
        <v>30</v>
      </c>
      <c r="G1521" t="s">
        <v>31</v>
      </c>
      <c r="H1521" t="s">
        <v>196</v>
      </c>
      <c r="I1521" t="s">
        <v>931</v>
      </c>
      <c r="J1521" t="s">
        <v>932</v>
      </c>
      <c r="K1521" t="s">
        <v>39</v>
      </c>
      <c r="L1521" t="s">
        <v>30</v>
      </c>
      <c r="M1521" t="s">
        <v>31</v>
      </c>
      <c r="N1521" t="s">
        <v>991</v>
      </c>
      <c r="Q1521" s="4">
        <v>1</v>
      </c>
    </row>
    <row r="1522" spans="1:17" x14ac:dyDescent="0.55000000000000004">
      <c r="A1522" t="s">
        <v>4839</v>
      </c>
      <c r="C1522" t="s">
        <v>1800</v>
      </c>
      <c r="D1522" t="s">
        <v>1801</v>
      </c>
      <c r="E1522" t="s">
        <v>39</v>
      </c>
      <c r="F1522" t="s">
        <v>30</v>
      </c>
      <c r="G1522" t="s">
        <v>31</v>
      </c>
      <c r="H1522" t="s">
        <v>196</v>
      </c>
      <c r="I1522" t="s">
        <v>936</v>
      </c>
      <c r="J1522" t="s">
        <v>937</v>
      </c>
      <c r="K1522" t="s">
        <v>39</v>
      </c>
      <c r="L1522" t="s">
        <v>30</v>
      </c>
      <c r="M1522" t="s">
        <v>31</v>
      </c>
      <c r="N1522" t="s">
        <v>991</v>
      </c>
      <c r="Q1522" s="4">
        <v>1</v>
      </c>
    </row>
    <row r="1523" spans="1:17" x14ac:dyDescent="0.55000000000000004">
      <c r="A1523" t="s">
        <v>4840</v>
      </c>
      <c r="C1523" t="s">
        <v>1806</v>
      </c>
      <c r="D1523" t="s">
        <v>1807</v>
      </c>
      <c r="E1523" t="s">
        <v>39</v>
      </c>
      <c r="F1523" t="s">
        <v>30</v>
      </c>
      <c r="G1523" t="s">
        <v>31</v>
      </c>
      <c r="H1523" t="s">
        <v>196</v>
      </c>
      <c r="I1523" t="s">
        <v>941</v>
      </c>
      <c r="J1523" t="s">
        <v>942</v>
      </c>
      <c r="K1523" t="s">
        <v>39</v>
      </c>
      <c r="L1523" t="s">
        <v>30</v>
      </c>
      <c r="M1523" t="s">
        <v>31</v>
      </c>
      <c r="N1523" t="s">
        <v>991</v>
      </c>
      <c r="Q1523" s="4">
        <v>1</v>
      </c>
    </row>
    <row r="1524" spans="1:17" x14ac:dyDescent="0.55000000000000004">
      <c r="A1524" t="s">
        <v>4841</v>
      </c>
      <c r="C1524" t="s">
        <v>1812</v>
      </c>
      <c r="D1524" t="s">
        <v>1813</v>
      </c>
      <c r="E1524" t="s">
        <v>39</v>
      </c>
      <c r="F1524" t="s">
        <v>30</v>
      </c>
      <c r="G1524" t="s">
        <v>31</v>
      </c>
      <c r="H1524" t="s">
        <v>196</v>
      </c>
      <c r="I1524" t="s">
        <v>946</v>
      </c>
      <c r="J1524" t="s">
        <v>947</v>
      </c>
      <c r="K1524" t="s">
        <v>39</v>
      </c>
      <c r="L1524" t="s">
        <v>30</v>
      </c>
      <c r="M1524" t="s">
        <v>31</v>
      </c>
      <c r="N1524" t="s">
        <v>991</v>
      </c>
      <c r="Q1524" s="4">
        <v>1</v>
      </c>
    </row>
    <row r="1525" spans="1:17" x14ac:dyDescent="0.55000000000000004">
      <c r="A1525" t="s">
        <v>4842</v>
      </c>
      <c r="C1525" t="s">
        <v>1818</v>
      </c>
      <c r="D1525" t="s">
        <v>1819</v>
      </c>
      <c r="E1525" t="s">
        <v>39</v>
      </c>
      <c r="F1525" t="s">
        <v>30</v>
      </c>
      <c r="G1525" t="s">
        <v>31</v>
      </c>
      <c r="H1525" t="s">
        <v>196</v>
      </c>
      <c r="I1525" t="s">
        <v>951</v>
      </c>
      <c r="J1525" t="s">
        <v>952</v>
      </c>
      <c r="K1525" t="s">
        <v>39</v>
      </c>
      <c r="L1525" t="s">
        <v>30</v>
      </c>
      <c r="M1525" t="s">
        <v>31</v>
      </c>
      <c r="N1525" t="s">
        <v>991</v>
      </c>
      <c r="Q1525" s="4">
        <v>1</v>
      </c>
    </row>
    <row r="1526" spans="1:17" x14ac:dyDescent="0.55000000000000004">
      <c r="A1526" t="s">
        <v>4843</v>
      </c>
      <c r="C1526" t="s">
        <v>1824</v>
      </c>
      <c r="D1526" t="s">
        <v>1825</v>
      </c>
      <c r="E1526" t="s">
        <v>39</v>
      </c>
      <c r="F1526" t="s">
        <v>30</v>
      </c>
      <c r="G1526" t="s">
        <v>31</v>
      </c>
      <c r="H1526" t="s">
        <v>196</v>
      </c>
      <c r="I1526" t="s">
        <v>956</v>
      </c>
      <c r="J1526" t="s">
        <v>957</v>
      </c>
      <c r="K1526" t="s">
        <v>39</v>
      </c>
      <c r="L1526" t="s">
        <v>30</v>
      </c>
      <c r="M1526" t="s">
        <v>31</v>
      </c>
      <c r="N1526" t="s">
        <v>991</v>
      </c>
      <c r="Q1526" s="4">
        <v>1</v>
      </c>
    </row>
    <row r="1527" spans="1:17" x14ac:dyDescent="0.55000000000000004">
      <c r="A1527" t="s">
        <v>4844</v>
      </c>
      <c r="C1527" t="s">
        <v>1830</v>
      </c>
      <c r="D1527" t="s">
        <v>1831</v>
      </c>
      <c r="E1527" t="s">
        <v>39</v>
      </c>
      <c r="F1527" t="s">
        <v>30</v>
      </c>
      <c r="G1527" t="s">
        <v>31</v>
      </c>
      <c r="H1527" t="s">
        <v>196</v>
      </c>
      <c r="I1527" t="s">
        <v>961</v>
      </c>
      <c r="J1527" t="s">
        <v>962</v>
      </c>
      <c r="K1527" t="s">
        <v>39</v>
      </c>
      <c r="L1527" t="s">
        <v>30</v>
      </c>
      <c r="M1527" t="s">
        <v>31</v>
      </c>
      <c r="N1527" t="s">
        <v>991</v>
      </c>
      <c r="Q1527" s="4">
        <v>1</v>
      </c>
    </row>
    <row r="1528" spans="1:17" x14ac:dyDescent="0.55000000000000004">
      <c r="A1528" t="s">
        <v>4845</v>
      </c>
      <c r="C1528" t="s">
        <v>1836</v>
      </c>
      <c r="D1528" t="s">
        <v>1837</v>
      </c>
      <c r="E1528" t="s">
        <v>39</v>
      </c>
      <c r="F1528" t="s">
        <v>30</v>
      </c>
      <c r="G1528" t="s">
        <v>31</v>
      </c>
      <c r="H1528" t="s">
        <v>196</v>
      </c>
      <c r="I1528" t="s">
        <v>966</v>
      </c>
      <c r="J1528" t="s">
        <v>967</v>
      </c>
      <c r="K1528" t="s">
        <v>39</v>
      </c>
      <c r="L1528" t="s">
        <v>30</v>
      </c>
      <c r="M1528" t="s">
        <v>31</v>
      </c>
      <c r="N1528" t="s">
        <v>991</v>
      </c>
      <c r="Q1528" s="4">
        <v>1</v>
      </c>
    </row>
    <row r="1529" spans="1:17" x14ac:dyDescent="0.55000000000000004">
      <c r="A1529" t="s">
        <v>4846</v>
      </c>
      <c r="C1529" t="s">
        <v>1842</v>
      </c>
      <c r="D1529" t="s">
        <v>1843</v>
      </c>
      <c r="E1529" t="s">
        <v>39</v>
      </c>
      <c r="F1529" t="s">
        <v>30</v>
      </c>
      <c r="G1529" t="s">
        <v>31</v>
      </c>
      <c r="H1529" t="s">
        <v>196</v>
      </c>
      <c r="I1529" t="s">
        <v>971</v>
      </c>
      <c r="J1529" t="s">
        <v>972</v>
      </c>
      <c r="K1529" t="s">
        <v>39</v>
      </c>
      <c r="L1529" t="s">
        <v>30</v>
      </c>
      <c r="M1529" t="s">
        <v>31</v>
      </c>
      <c r="N1529" t="s">
        <v>991</v>
      </c>
      <c r="Q1529" s="4">
        <v>1</v>
      </c>
    </row>
    <row r="1530" spans="1:17" x14ac:dyDescent="0.55000000000000004">
      <c r="A1530" t="s">
        <v>4847</v>
      </c>
      <c r="C1530" t="s">
        <v>1848</v>
      </c>
      <c r="D1530" t="s">
        <v>1849</v>
      </c>
      <c r="E1530" t="s">
        <v>39</v>
      </c>
      <c r="F1530" t="s">
        <v>30</v>
      </c>
      <c r="G1530" t="s">
        <v>31</v>
      </c>
      <c r="H1530" t="s">
        <v>196</v>
      </c>
      <c r="I1530" t="s">
        <v>976</v>
      </c>
      <c r="J1530" t="s">
        <v>977</v>
      </c>
      <c r="K1530" t="s">
        <v>39</v>
      </c>
      <c r="L1530" t="s">
        <v>30</v>
      </c>
      <c r="M1530" t="s">
        <v>31</v>
      </c>
      <c r="N1530" t="s">
        <v>991</v>
      </c>
      <c r="Q1530" s="4">
        <v>1</v>
      </c>
    </row>
    <row r="1531" spans="1:17" s="16" customFormat="1" ht="18.5" thickBot="1" x14ac:dyDescent="0.6">
      <c r="A1531" s="16" t="s">
        <v>4848</v>
      </c>
      <c r="C1531" s="16" t="s">
        <v>1854</v>
      </c>
      <c r="D1531" s="16" t="s">
        <v>1855</v>
      </c>
      <c r="E1531" s="16" t="s">
        <v>39</v>
      </c>
      <c r="F1531" s="16" t="s">
        <v>30</v>
      </c>
      <c r="G1531" s="16" t="s">
        <v>31</v>
      </c>
      <c r="H1531" s="16" t="s">
        <v>196</v>
      </c>
      <c r="I1531" s="16" t="s">
        <v>981</v>
      </c>
      <c r="J1531" s="16" t="s">
        <v>982</v>
      </c>
      <c r="K1531" s="16" t="s">
        <v>39</v>
      </c>
      <c r="L1531" s="16" t="s">
        <v>30</v>
      </c>
      <c r="M1531" s="16" t="s">
        <v>31</v>
      </c>
      <c r="N1531" s="16" t="s">
        <v>991</v>
      </c>
      <c r="Q1531" s="18">
        <v>1</v>
      </c>
    </row>
    <row r="1532" spans="1:17" x14ac:dyDescent="0.55000000000000004">
      <c r="A1532" t="s">
        <v>4849</v>
      </c>
      <c r="C1532" t="s">
        <v>28</v>
      </c>
      <c r="E1532" t="s">
        <v>29</v>
      </c>
      <c r="F1532" t="s">
        <v>30</v>
      </c>
      <c r="G1532" t="s">
        <v>31</v>
      </c>
      <c r="I1532" t="s">
        <v>33</v>
      </c>
      <c r="J1532" t="s">
        <v>34</v>
      </c>
      <c r="K1532" t="s">
        <v>35</v>
      </c>
      <c r="L1532" t="s">
        <v>30</v>
      </c>
      <c r="M1532" t="s">
        <v>31</v>
      </c>
      <c r="N1532" t="s">
        <v>36</v>
      </c>
      <c r="Q1532" s="4">
        <v>1</v>
      </c>
    </row>
    <row r="1533" spans="1:17" x14ac:dyDescent="0.55000000000000004">
      <c r="A1533" t="s">
        <v>4850</v>
      </c>
      <c r="C1533" t="s">
        <v>28</v>
      </c>
      <c r="E1533" t="s">
        <v>29</v>
      </c>
      <c r="F1533" t="s">
        <v>30</v>
      </c>
      <c r="G1533" t="s">
        <v>31</v>
      </c>
      <c r="I1533" t="s">
        <v>42</v>
      </c>
      <c r="J1533" t="s">
        <v>43</v>
      </c>
      <c r="K1533" t="s">
        <v>35</v>
      </c>
      <c r="L1533" t="s">
        <v>30</v>
      </c>
      <c r="M1533" t="s">
        <v>31</v>
      </c>
      <c r="N1533" t="s">
        <v>36</v>
      </c>
      <c r="Q1533" s="4">
        <v>1</v>
      </c>
    </row>
    <row r="1534" spans="1:17" x14ac:dyDescent="0.55000000000000004">
      <c r="A1534" t="s">
        <v>4851</v>
      </c>
      <c r="C1534" t="s">
        <v>28</v>
      </c>
      <c r="E1534" t="s">
        <v>29</v>
      </c>
      <c r="F1534" t="s">
        <v>30</v>
      </c>
      <c r="G1534" t="s">
        <v>31</v>
      </c>
      <c r="I1534" t="s">
        <v>47</v>
      </c>
      <c r="J1534" t="s">
        <v>48</v>
      </c>
      <c r="K1534" t="s">
        <v>35</v>
      </c>
      <c r="L1534" t="s">
        <v>30</v>
      </c>
      <c r="M1534" t="s">
        <v>31</v>
      </c>
      <c r="N1534" t="s">
        <v>36</v>
      </c>
      <c r="Q1534" s="4">
        <v>1</v>
      </c>
    </row>
    <row r="1535" spans="1:17" x14ac:dyDescent="0.55000000000000004">
      <c r="A1535" t="s">
        <v>4852</v>
      </c>
      <c r="C1535" t="s">
        <v>28</v>
      </c>
      <c r="E1535" t="s">
        <v>29</v>
      </c>
      <c r="F1535" t="s">
        <v>30</v>
      </c>
      <c r="G1535" t="s">
        <v>31</v>
      </c>
      <c r="I1535" t="s">
        <v>52</v>
      </c>
      <c r="J1535" t="s">
        <v>53</v>
      </c>
      <c r="K1535" t="s">
        <v>35</v>
      </c>
      <c r="L1535" t="s">
        <v>30</v>
      </c>
      <c r="M1535" t="s">
        <v>31</v>
      </c>
      <c r="N1535" t="s">
        <v>36</v>
      </c>
      <c r="Q1535" s="4">
        <v>1</v>
      </c>
    </row>
    <row r="1536" spans="1:17" x14ac:dyDescent="0.55000000000000004">
      <c r="A1536" t="s">
        <v>4853</v>
      </c>
      <c r="C1536" t="s">
        <v>28</v>
      </c>
      <c r="E1536" t="s">
        <v>29</v>
      </c>
      <c r="F1536" t="s">
        <v>30</v>
      </c>
      <c r="G1536" t="s">
        <v>31</v>
      </c>
      <c r="I1536" t="s">
        <v>57</v>
      </c>
      <c r="J1536" t="s">
        <v>58</v>
      </c>
      <c r="K1536" t="s">
        <v>35</v>
      </c>
      <c r="L1536" t="s">
        <v>30</v>
      </c>
      <c r="M1536" t="s">
        <v>31</v>
      </c>
      <c r="N1536" t="s">
        <v>36</v>
      </c>
      <c r="Q1536" s="4">
        <v>1</v>
      </c>
    </row>
    <row r="1537" spans="1:17" x14ac:dyDescent="0.55000000000000004">
      <c r="A1537" t="s">
        <v>4854</v>
      </c>
      <c r="C1537" t="s">
        <v>28</v>
      </c>
      <c r="E1537" t="s">
        <v>29</v>
      </c>
      <c r="F1537" t="s">
        <v>30</v>
      </c>
      <c r="G1537" t="s">
        <v>31</v>
      </c>
      <c r="I1537" t="s">
        <v>62</v>
      </c>
      <c r="J1537" t="s">
        <v>63</v>
      </c>
      <c r="K1537" t="s">
        <v>35</v>
      </c>
      <c r="L1537" t="s">
        <v>30</v>
      </c>
      <c r="M1537" t="s">
        <v>31</v>
      </c>
      <c r="N1537" t="s">
        <v>36</v>
      </c>
      <c r="Q1537" s="4">
        <v>1</v>
      </c>
    </row>
    <row r="1538" spans="1:17" x14ac:dyDescent="0.55000000000000004">
      <c r="A1538" t="s">
        <v>4855</v>
      </c>
      <c r="C1538" t="s">
        <v>28</v>
      </c>
      <c r="E1538" t="s">
        <v>29</v>
      </c>
      <c r="F1538" t="s">
        <v>30</v>
      </c>
      <c r="G1538" t="s">
        <v>31</v>
      </c>
      <c r="I1538" t="s">
        <v>67</v>
      </c>
      <c r="J1538" t="s">
        <v>68</v>
      </c>
      <c r="K1538" t="s">
        <v>35</v>
      </c>
      <c r="L1538" t="s">
        <v>30</v>
      </c>
      <c r="M1538" t="s">
        <v>31</v>
      </c>
      <c r="N1538" t="s">
        <v>36</v>
      </c>
      <c r="Q1538" s="4">
        <v>1</v>
      </c>
    </row>
    <row r="1539" spans="1:17" x14ac:dyDescent="0.55000000000000004">
      <c r="A1539" t="s">
        <v>4856</v>
      </c>
      <c r="C1539" t="s">
        <v>28</v>
      </c>
      <c r="E1539" t="s">
        <v>29</v>
      </c>
      <c r="F1539" t="s">
        <v>30</v>
      </c>
      <c r="G1539" t="s">
        <v>31</v>
      </c>
      <c r="I1539" t="s">
        <v>72</v>
      </c>
      <c r="J1539" t="s">
        <v>73</v>
      </c>
      <c r="K1539" t="s">
        <v>35</v>
      </c>
      <c r="L1539" t="s">
        <v>30</v>
      </c>
      <c r="M1539" t="s">
        <v>31</v>
      </c>
      <c r="N1539" t="s">
        <v>36</v>
      </c>
      <c r="Q1539" s="4">
        <v>1</v>
      </c>
    </row>
    <row r="1540" spans="1:17" x14ac:dyDescent="0.55000000000000004">
      <c r="A1540" t="s">
        <v>4857</v>
      </c>
      <c r="C1540" t="s">
        <v>28</v>
      </c>
      <c r="E1540" t="s">
        <v>29</v>
      </c>
      <c r="F1540" t="s">
        <v>30</v>
      </c>
      <c r="G1540" t="s">
        <v>31</v>
      </c>
      <c r="I1540" t="s">
        <v>77</v>
      </c>
      <c r="J1540" t="s">
        <v>78</v>
      </c>
      <c r="K1540" t="s">
        <v>35</v>
      </c>
      <c r="L1540" t="s">
        <v>30</v>
      </c>
      <c r="M1540" t="s">
        <v>31</v>
      </c>
      <c r="N1540" t="s">
        <v>36</v>
      </c>
      <c r="Q1540" s="4">
        <v>1</v>
      </c>
    </row>
    <row r="1541" spans="1:17" x14ac:dyDescent="0.55000000000000004">
      <c r="A1541" t="s">
        <v>4858</v>
      </c>
      <c r="C1541" t="s">
        <v>28</v>
      </c>
      <c r="E1541" t="s">
        <v>29</v>
      </c>
      <c r="F1541" t="s">
        <v>30</v>
      </c>
      <c r="G1541" t="s">
        <v>31</v>
      </c>
      <c r="I1541" t="s">
        <v>82</v>
      </c>
      <c r="J1541" t="s">
        <v>83</v>
      </c>
      <c r="K1541" t="s">
        <v>35</v>
      </c>
      <c r="L1541" t="s">
        <v>30</v>
      </c>
      <c r="M1541" t="s">
        <v>31</v>
      </c>
      <c r="N1541" t="s">
        <v>36</v>
      </c>
      <c r="Q1541" s="4">
        <v>1</v>
      </c>
    </row>
    <row r="1542" spans="1:17" x14ac:dyDescent="0.55000000000000004">
      <c r="A1542" t="s">
        <v>4859</v>
      </c>
      <c r="C1542" t="s">
        <v>28</v>
      </c>
      <c r="E1542" t="s">
        <v>29</v>
      </c>
      <c r="F1542" t="s">
        <v>30</v>
      </c>
      <c r="G1542" t="s">
        <v>31</v>
      </c>
      <c r="I1542" t="s">
        <v>87</v>
      </c>
      <c r="J1542" t="s">
        <v>88</v>
      </c>
      <c r="K1542" t="s">
        <v>35</v>
      </c>
      <c r="L1542" t="s">
        <v>30</v>
      </c>
      <c r="M1542" t="s">
        <v>31</v>
      </c>
      <c r="N1542" t="s">
        <v>36</v>
      </c>
      <c r="Q1542" s="4">
        <v>1</v>
      </c>
    </row>
    <row r="1543" spans="1:17" x14ac:dyDescent="0.55000000000000004">
      <c r="A1543" t="s">
        <v>4860</v>
      </c>
      <c r="C1543" t="s">
        <v>3202</v>
      </c>
      <c r="E1543" t="s">
        <v>29</v>
      </c>
      <c r="F1543" t="s">
        <v>30</v>
      </c>
      <c r="G1543" t="s">
        <v>31</v>
      </c>
      <c r="I1543" t="s">
        <v>3395</v>
      </c>
      <c r="J1543" t="s">
        <v>3396</v>
      </c>
      <c r="K1543" t="s">
        <v>35</v>
      </c>
      <c r="L1543" t="s">
        <v>30</v>
      </c>
      <c r="M1543" t="s">
        <v>31</v>
      </c>
      <c r="N1543" t="s">
        <v>36</v>
      </c>
      <c r="Q1543" s="4">
        <v>1</v>
      </c>
    </row>
    <row r="1544" spans="1:17" x14ac:dyDescent="0.55000000000000004">
      <c r="A1544" t="s">
        <v>4861</v>
      </c>
      <c r="C1544" t="s">
        <v>3202</v>
      </c>
      <c r="E1544" t="s">
        <v>29</v>
      </c>
      <c r="F1544" t="s">
        <v>30</v>
      </c>
      <c r="G1544" t="s">
        <v>31</v>
      </c>
      <c r="I1544" t="s">
        <v>3399</v>
      </c>
      <c r="J1544" t="s">
        <v>3400</v>
      </c>
      <c r="K1544" t="s">
        <v>35</v>
      </c>
      <c r="L1544" t="s">
        <v>30</v>
      </c>
      <c r="M1544" t="s">
        <v>31</v>
      </c>
      <c r="N1544" t="s">
        <v>36</v>
      </c>
      <c r="Q1544" s="4">
        <v>1</v>
      </c>
    </row>
    <row r="1545" spans="1:17" x14ac:dyDescent="0.55000000000000004">
      <c r="A1545" t="s">
        <v>4862</v>
      </c>
      <c r="C1545" t="s">
        <v>3202</v>
      </c>
      <c r="E1545" t="s">
        <v>29</v>
      </c>
      <c r="F1545" t="s">
        <v>30</v>
      </c>
      <c r="G1545" t="s">
        <v>31</v>
      </c>
      <c r="I1545" t="s">
        <v>3403</v>
      </c>
      <c r="J1545" t="s">
        <v>3404</v>
      </c>
      <c r="K1545" t="s">
        <v>35</v>
      </c>
      <c r="L1545" t="s">
        <v>30</v>
      </c>
      <c r="M1545" t="s">
        <v>31</v>
      </c>
      <c r="N1545" t="s">
        <v>36</v>
      </c>
      <c r="Q1545" s="4">
        <v>1</v>
      </c>
    </row>
    <row r="1546" spans="1:17" x14ac:dyDescent="0.55000000000000004">
      <c r="A1546" t="s">
        <v>4863</v>
      </c>
      <c r="C1546" t="s">
        <v>3202</v>
      </c>
      <c r="E1546" t="s">
        <v>29</v>
      </c>
      <c r="F1546" t="s">
        <v>30</v>
      </c>
      <c r="G1546" t="s">
        <v>31</v>
      </c>
      <c r="I1546" t="s">
        <v>3407</v>
      </c>
      <c r="J1546" t="s">
        <v>3408</v>
      </c>
      <c r="K1546" t="s">
        <v>35</v>
      </c>
      <c r="L1546" t="s">
        <v>30</v>
      </c>
      <c r="M1546" t="s">
        <v>31</v>
      </c>
      <c r="N1546" t="s">
        <v>36</v>
      </c>
      <c r="Q1546" s="4">
        <v>1</v>
      </c>
    </row>
    <row r="1547" spans="1:17" x14ac:dyDescent="0.55000000000000004">
      <c r="A1547" t="s">
        <v>4864</v>
      </c>
      <c r="C1547" t="s">
        <v>3202</v>
      </c>
      <c r="E1547" t="s">
        <v>29</v>
      </c>
      <c r="F1547" t="s">
        <v>30</v>
      </c>
      <c r="G1547" t="s">
        <v>31</v>
      </c>
      <c r="I1547" t="s">
        <v>3411</v>
      </c>
      <c r="J1547" t="s">
        <v>3412</v>
      </c>
      <c r="K1547" t="s">
        <v>35</v>
      </c>
      <c r="L1547" t="s">
        <v>30</v>
      </c>
      <c r="M1547" t="s">
        <v>31</v>
      </c>
      <c r="N1547" t="s">
        <v>36</v>
      </c>
      <c r="Q1547" s="4">
        <v>1</v>
      </c>
    </row>
    <row r="1548" spans="1:17" x14ac:dyDescent="0.55000000000000004">
      <c r="A1548" t="s">
        <v>4865</v>
      </c>
      <c r="C1548" t="s">
        <v>3202</v>
      </c>
      <c r="E1548" t="s">
        <v>29</v>
      </c>
      <c r="F1548" t="s">
        <v>30</v>
      </c>
      <c r="G1548" t="s">
        <v>31</v>
      </c>
      <c r="I1548" t="s">
        <v>3415</v>
      </c>
      <c r="J1548" t="s">
        <v>3416</v>
      </c>
      <c r="K1548" t="s">
        <v>35</v>
      </c>
      <c r="L1548" t="s">
        <v>30</v>
      </c>
      <c r="M1548" t="s">
        <v>31</v>
      </c>
      <c r="N1548" t="s">
        <v>36</v>
      </c>
      <c r="Q1548" s="4">
        <v>1</v>
      </c>
    </row>
    <row r="1549" spans="1:17" x14ac:dyDescent="0.55000000000000004">
      <c r="A1549" t="s">
        <v>4866</v>
      </c>
      <c r="C1549" t="s">
        <v>3202</v>
      </c>
      <c r="E1549" t="s">
        <v>29</v>
      </c>
      <c r="F1549" t="s">
        <v>30</v>
      </c>
      <c r="G1549" t="s">
        <v>31</v>
      </c>
      <c r="I1549" t="s">
        <v>3419</v>
      </c>
      <c r="J1549" t="s">
        <v>3420</v>
      </c>
      <c r="K1549" t="s">
        <v>35</v>
      </c>
      <c r="L1549" t="s">
        <v>30</v>
      </c>
      <c r="M1549" t="s">
        <v>31</v>
      </c>
      <c r="N1549" t="s">
        <v>36</v>
      </c>
      <c r="Q1549" s="4">
        <v>1</v>
      </c>
    </row>
    <row r="1550" spans="1:17" x14ac:dyDescent="0.55000000000000004">
      <c r="A1550" t="s">
        <v>4867</v>
      </c>
      <c r="C1550" t="s">
        <v>3202</v>
      </c>
      <c r="E1550" t="s">
        <v>29</v>
      </c>
      <c r="F1550" t="s">
        <v>30</v>
      </c>
      <c r="G1550" t="s">
        <v>31</v>
      </c>
      <c r="I1550" t="s">
        <v>3423</v>
      </c>
      <c r="J1550" t="s">
        <v>3424</v>
      </c>
      <c r="K1550" t="s">
        <v>35</v>
      </c>
      <c r="L1550" t="s">
        <v>30</v>
      </c>
      <c r="M1550" t="s">
        <v>31</v>
      </c>
      <c r="N1550" t="s">
        <v>36</v>
      </c>
      <c r="Q1550" s="4">
        <v>1</v>
      </c>
    </row>
    <row r="1551" spans="1:17" x14ac:dyDescent="0.55000000000000004">
      <c r="A1551" t="s">
        <v>4868</v>
      </c>
      <c r="C1551" t="s">
        <v>3202</v>
      </c>
      <c r="E1551" t="s">
        <v>29</v>
      </c>
      <c r="F1551" t="s">
        <v>30</v>
      </c>
      <c r="G1551" t="s">
        <v>31</v>
      </c>
      <c r="I1551" t="s">
        <v>3427</v>
      </c>
      <c r="J1551" t="s">
        <v>3428</v>
      </c>
      <c r="K1551" t="s">
        <v>35</v>
      </c>
      <c r="L1551" t="s">
        <v>30</v>
      </c>
      <c r="M1551" t="s">
        <v>31</v>
      </c>
      <c r="N1551" t="s">
        <v>36</v>
      </c>
      <c r="Q1551" s="4">
        <v>1</v>
      </c>
    </row>
    <row r="1552" spans="1:17" x14ac:dyDescent="0.55000000000000004">
      <c r="A1552" t="s">
        <v>4869</v>
      </c>
      <c r="C1552" t="s">
        <v>3202</v>
      </c>
      <c r="E1552" t="s">
        <v>29</v>
      </c>
      <c r="F1552" t="s">
        <v>30</v>
      </c>
      <c r="G1552" t="s">
        <v>31</v>
      </c>
      <c r="I1552" t="s">
        <v>3431</v>
      </c>
      <c r="J1552" t="s">
        <v>3432</v>
      </c>
      <c r="K1552" t="s">
        <v>35</v>
      </c>
      <c r="L1552" t="s">
        <v>30</v>
      </c>
      <c r="M1552" t="s">
        <v>31</v>
      </c>
      <c r="N1552" t="s">
        <v>36</v>
      </c>
      <c r="Q1552" s="4">
        <v>1</v>
      </c>
    </row>
    <row r="1553" spans="1:17" x14ac:dyDescent="0.55000000000000004">
      <c r="A1553" t="s">
        <v>4870</v>
      </c>
      <c r="C1553" t="s">
        <v>3202</v>
      </c>
      <c r="E1553" t="s">
        <v>29</v>
      </c>
      <c r="F1553" t="s">
        <v>30</v>
      </c>
      <c r="G1553" t="s">
        <v>31</v>
      </c>
      <c r="I1553" t="s">
        <v>3435</v>
      </c>
      <c r="J1553" t="s">
        <v>3436</v>
      </c>
      <c r="K1553" t="s">
        <v>35</v>
      </c>
      <c r="L1553" t="s">
        <v>30</v>
      </c>
      <c r="M1553" t="s">
        <v>31</v>
      </c>
      <c r="N1553" t="s">
        <v>36</v>
      </c>
      <c r="Q1553" s="4">
        <v>1</v>
      </c>
    </row>
    <row r="1554" spans="1:17" x14ac:dyDescent="0.55000000000000004">
      <c r="A1554" t="s">
        <v>4871</v>
      </c>
      <c r="C1554" t="s">
        <v>3202</v>
      </c>
      <c r="E1554" t="s">
        <v>29</v>
      </c>
      <c r="F1554" t="s">
        <v>30</v>
      </c>
      <c r="G1554" t="s">
        <v>31</v>
      </c>
      <c r="I1554" t="s">
        <v>3439</v>
      </c>
      <c r="J1554" t="s">
        <v>3440</v>
      </c>
      <c r="K1554" t="s">
        <v>35</v>
      </c>
      <c r="L1554" t="s">
        <v>30</v>
      </c>
      <c r="M1554" t="s">
        <v>31</v>
      </c>
      <c r="N1554" t="s">
        <v>36</v>
      </c>
      <c r="Q1554" s="4">
        <v>1</v>
      </c>
    </row>
    <row r="1555" spans="1:17" x14ac:dyDescent="0.55000000000000004">
      <c r="A1555" t="s">
        <v>4872</v>
      </c>
      <c r="C1555" t="s">
        <v>3202</v>
      </c>
      <c r="E1555" t="s">
        <v>29</v>
      </c>
      <c r="F1555" t="s">
        <v>30</v>
      </c>
      <c r="G1555" t="s">
        <v>31</v>
      </c>
      <c r="I1555" t="s">
        <v>3443</v>
      </c>
      <c r="J1555" t="s">
        <v>3444</v>
      </c>
      <c r="K1555" t="s">
        <v>35</v>
      </c>
      <c r="L1555" t="s">
        <v>30</v>
      </c>
      <c r="M1555" t="s">
        <v>31</v>
      </c>
      <c r="N1555" t="s">
        <v>36</v>
      </c>
      <c r="Q1555" s="4">
        <v>1</v>
      </c>
    </row>
    <row r="1556" spans="1:17" x14ac:dyDescent="0.55000000000000004">
      <c r="A1556" t="s">
        <v>4873</v>
      </c>
      <c r="C1556" t="s">
        <v>3202</v>
      </c>
      <c r="E1556" t="s">
        <v>29</v>
      </c>
      <c r="F1556" t="s">
        <v>30</v>
      </c>
      <c r="G1556" t="s">
        <v>31</v>
      </c>
      <c r="I1556" t="s">
        <v>3447</v>
      </c>
      <c r="J1556" t="s">
        <v>3448</v>
      </c>
      <c r="K1556" t="s">
        <v>35</v>
      </c>
      <c r="L1556" t="s">
        <v>30</v>
      </c>
      <c r="M1556" t="s">
        <v>31</v>
      </c>
      <c r="N1556" t="s">
        <v>36</v>
      </c>
      <c r="Q1556" s="4">
        <v>1</v>
      </c>
    </row>
    <row r="1557" spans="1:17" x14ac:dyDescent="0.55000000000000004">
      <c r="A1557" t="s">
        <v>4874</v>
      </c>
      <c r="C1557" t="s">
        <v>3202</v>
      </c>
      <c r="E1557" t="s">
        <v>29</v>
      </c>
      <c r="F1557" t="s">
        <v>30</v>
      </c>
      <c r="G1557" t="s">
        <v>31</v>
      </c>
      <c r="I1557" t="s">
        <v>3451</v>
      </c>
      <c r="J1557" t="s">
        <v>3452</v>
      </c>
      <c r="K1557" t="s">
        <v>35</v>
      </c>
      <c r="L1557" t="s">
        <v>30</v>
      </c>
      <c r="M1557" t="s">
        <v>31</v>
      </c>
      <c r="N1557" t="s">
        <v>36</v>
      </c>
      <c r="Q1557" s="4">
        <v>1</v>
      </c>
    </row>
    <row r="1558" spans="1:17" x14ac:dyDescent="0.55000000000000004">
      <c r="A1558" t="s">
        <v>4875</v>
      </c>
      <c r="C1558" t="s">
        <v>3202</v>
      </c>
      <c r="E1558" t="s">
        <v>29</v>
      </c>
      <c r="F1558" t="s">
        <v>30</v>
      </c>
      <c r="G1558" t="s">
        <v>31</v>
      </c>
      <c r="I1558" t="s">
        <v>3455</v>
      </c>
      <c r="J1558" t="s">
        <v>3456</v>
      </c>
      <c r="K1558" t="s">
        <v>35</v>
      </c>
      <c r="L1558" t="s">
        <v>30</v>
      </c>
      <c r="M1558" t="s">
        <v>31</v>
      </c>
      <c r="N1558" t="s">
        <v>36</v>
      </c>
      <c r="Q1558" s="4">
        <v>1</v>
      </c>
    </row>
    <row r="1559" spans="1:17" x14ac:dyDescent="0.55000000000000004">
      <c r="A1559" t="s">
        <v>4876</v>
      </c>
      <c r="C1559" t="s">
        <v>3202</v>
      </c>
      <c r="E1559" t="s">
        <v>29</v>
      </c>
      <c r="F1559" t="s">
        <v>30</v>
      </c>
      <c r="G1559" t="s">
        <v>31</v>
      </c>
      <c r="I1559" t="s">
        <v>3459</v>
      </c>
      <c r="J1559" t="s">
        <v>3460</v>
      </c>
      <c r="K1559" t="s">
        <v>35</v>
      </c>
      <c r="L1559" t="s">
        <v>30</v>
      </c>
      <c r="M1559" t="s">
        <v>31</v>
      </c>
      <c r="N1559" t="s">
        <v>36</v>
      </c>
      <c r="Q1559" s="4">
        <v>1</v>
      </c>
    </row>
    <row r="1560" spans="1:17" x14ac:dyDescent="0.55000000000000004">
      <c r="A1560" t="s">
        <v>4877</v>
      </c>
      <c r="C1560" t="s">
        <v>3202</v>
      </c>
      <c r="E1560" t="s">
        <v>29</v>
      </c>
      <c r="F1560" t="s">
        <v>30</v>
      </c>
      <c r="G1560" t="s">
        <v>31</v>
      </c>
      <c r="I1560" t="s">
        <v>3463</v>
      </c>
      <c r="J1560" t="s">
        <v>3464</v>
      </c>
      <c r="K1560" t="s">
        <v>35</v>
      </c>
      <c r="L1560" t="s">
        <v>30</v>
      </c>
      <c r="M1560" t="s">
        <v>31</v>
      </c>
      <c r="N1560" t="s">
        <v>36</v>
      </c>
      <c r="Q1560" s="4">
        <v>1</v>
      </c>
    </row>
    <row r="1561" spans="1:17" x14ac:dyDescent="0.55000000000000004">
      <c r="A1561" t="s">
        <v>4878</v>
      </c>
      <c r="C1561" t="s">
        <v>28</v>
      </c>
      <c r="E1561" t="s">
        <v>29</v>
      </c>
      <c r="F1561" t="s">
        <v>30</v>
      </c>
      <c r="G1561" t="s">
        <v>31</v>
      </c>
      <c r="I1561" t="s">
        <v>92</v>
      </c>
      <c r="J1561" t="s">
        <v>93</v>
      </c>
      <c r="K1561" t="s">
        <v>35</v>
      </c>
      <c r="L1561" t="s">
        <v>30</v>
      </c>
      <c r="M1561" t="s">
        <v>31</v>
      </c>
      <c r="N1561" t="s">
        <v>36</v>
      </c>
      <c r="Q1561" s="4">
        <v>1</v>
      </c>
    </row>
    <row r="1562" spans="1:17" x14ac:dyDescent="0.55000000000000004">
      <c r="A1562" t="s">
        <v>4879</v>
      </c>
      <c r="C1562" t="s">
        <v>28</v>
      </c>
      <c r="E1562" t="s">
        <v>29</v>
      </c>
      <c r="F1562" t="s">
        <v>30</v>
      </c>
      <c r="G1562" t="s">
        <v>31</v>
      </c>
      <c r="I1562" t="s">
        <v>97</v>
      </c>
      <c r="J1562" t="s">
        <v>98</v>
      </c>
      <c r="K1562" t="s">
        <v>35</v>
      </c>
      <c r="L1562" t="s">
        <v>30</v>
      </c>
      <c r="M1562" t="s">
        <v>31</v>
      </c>
      <c r="N1562" t="s">
        <v>36</v>
      </c>
      <c r="Q1562" s="4">
        <v>1</v>
      </c>
    </row>
    <row r="1563" spans="1:17" x14ac:dyDescent="0.55000000000000004">
      <c r="A1563" t="s">
        <v>4880</v>
      </c>
      <c r="C1563" t="s">
        <v>28</v>
      </c>
      <c r="E1563" t="s">
        <v>29</v>
      </c>
      <c r="F1563" t="s">
        <v>30</v>
      </c>
      <c r="G1563" t="s">
        <v>31</v>
      </c>
      <c r="I1563" t="s">
        <v>102</v>
      </c>
      <c r="J1563" t="s">
        <v>103</v>
      </c>
      <c r="K1563" t="s">
        <v>35</v>
      </c>
      <c r="L1563" t="s">
        <v>30</v>
      </c>
      <c r="M1563" t="s">
        <v>31</v>
      </c>
      <c r="N1563" t="s">
        <v>36</v>
      </c>
      <c r="Q1563" s="4">
        <v>1</v>
      </c>
    </row>
    <row r="1564" spans="1:17" x14ac:dyDescent="0.55000000000000004">
      <c r="A1564" t="s">
        <v>4881</v>
      </c>
      <c r="C1564" t="s">
        <v>28</v>
      </c>
      <c r="E1564" t="s">
        <v>29</v>
      </c>
      <c r="F1564" t="s">
        <v>30</v>
      </c>
      <c r="G1564" t="s">
        <v>31</v>
      </c>
      <c r="I1564" t="s">
        <v>107</v>
      </c>
      <c r="J1564" t="s">
        <v>108</v>
      </c>
      <c r="K1564" t="s">
        <v>35</v>
      </c>
      <c r="L1564" t="s">
        <v>30</v>
      </c>
      <c r="M1564" t="s">
        <v>31</v>
      </c>
      <c r="N1564" t="s">
        <v>36</v>
      </c>
      <c r="Q1564" s="4">
        <v>1</v>
      </c>
    </row>
    <row r="1565" spans="1:17" x14ac:dyDescent="0.55000000000000004">
      <c r="A1565" t="s">
        <v>4882</v>
      </c>
      <c r="C1565" t="s">
        <v>28</v>
      </c>
      <c r="E1565" t="s">
        <v>29</v>
      </c>
      <c r="F1565" t="s">
        <v>30</v>
      </c>
      <c r="G1565" t="s">
        <v>31</v>
      </c>
      <c r="I1565" t="s">
        <v>112</v>
      </c>
      <c r="J1565" t="s">
        <v>113</v>
      </c>
      <c r="K1565" t="s">
        <v>35</v>
      </c>
      <c r="L1565" t="s">
        <v>30</v>
      </c>
      <c r="M1565" t="s">
        <v>31</v>
      </c>
      <c r="N1565" t="s">
        <v>36</v>
      </c>
      <c r="Q1565" s="4">
        <v>1</v>
      </c>
    </row>
    <row r="1566" spans="1:17" x14ac:dyDescent="0.55000000000000004">
      <c r="A1566" t="s">
        <v>4883</v>
      </c>
      <c r="C1566" t="s">
        <v>28</v>
      </c>
      <c r="E1566" t="s">
        <v>29</v>
      </c>
      <c r="F1566" t="s">
        <v>30</v>
      </c>
      <c r="G1566" t="s">
        <v>31</v>
      </c>
      <c r="I1566" t="s">
        <v>117</v>
      </c>
      <c r="J1566" t="s">
        <v>118</v>
      </c>
      <c r="K1566" t="s">
        <v>35</v>
      </c>
      <c r="L1566" t="s">
        <v>30</v>
      </c>
      <c r="M1566" t="s">
        <v>31</v>
      </c>
      <c r="N1566" t="s">
        <v>36</v>
      </c>
      <c r="Q1566" s="4">
        <v>1</v>
      </c>
    </row>
    <row r="1567" spans="1:17" x14ac:dyDescent="0.55000000000000004">
      <c r="A1567" t="s">
        <v>4884</v>
      </c>
      <c r="C1567" t="s">
        <v>28</v>
      </c>
      <c r="E1567" t="s">
        <v>29</v>
      </c>
      <c r="F1567" t="s">
        <v>30</v>
      </c>
      <c r="G1567" t="s">
        <v>31</v>
      </c>
      <c r="I1567" t="s">
        <v>122</v>
      </c>
      <c r="J1567" t="s">
        <v>123</v>
      </c>
      <c r="K1567" t="s">
        <v>35</v>
      </c>
      <c r="L1567" t="s">
        <v>30</v>
      </c>
      <c r="M1567" t="s">
        <v>31</v>
      </c>
      <c r="N1567" t="s">
        <v>36</v>
      </c>
      <c r="Q1567" s="4">
        <v>1</v>
      </c>
    </row>
    <row r="1568" spans="1:17" x14ac:dyDescent="0.55000000000000004">
      <c r="A1568" t="s">
        <v>4885</v>
      </c>
      <c r="C1568" t="s">
        <v>28</v>
      </c>
      <c r="E1568" t="s">
        <v>29</v>
      </c>
      <c r="F1568" t="s">
        <v>30</v>
      </c>
      <c r="G1568" t="s">
        <v>31</v>
      </c>
      <c r="I1568" t="s">
        <v>127</v>
      </c>
      <c r="J1568" t="s">
        <v>128</v>
      </c>
      <c r="K1568" t="s">
        <v>35</v>
      </c>
      <c r="L1568" t="s">
        <v>30</v>
      </c>
      <c r="M1568" t="s">
        <v>31</v>
      </c>
      <c r="N1568" t="s">
        <v>36</v>
      </c>
      <c r="Q1568" s="4">
        <v>1</v>
      </c>
    </row>
    <row r="1569" spans="1:17" x14ac:dyDescent="0.55000000000000004">
      <c r="A1569" t="s">
        <v>4886</v>
      </c>
      <c r="C1569" t="s">
        <v>28</v>
      </c>
      <c r="E1569" t="s">
        <v>29</v>
      </c>
      <c r="F1569" t="s">
        <v>30</v>
      </c>
      <c r="G1569" t="s">
        <v>31</v>
      </c>
      <c r="I1569" t="s">
        <v>132</v>
      </c>
      <c r="J1569" t="s">
        <v>133</v>
      </c>
      <c r="K1569" t="s">
        <v>35</v>
      </c>
      <c r="L1569" t="s">
        <v>30</v>
      </c>
      <c r="M1569" t="s">
        <v>31</v>
      </c>
      <c r="N1569" t="s">
        <v>36</v>
      </c>
      <c r="Q1569" s="4">
        <v>1</v>
      </c>
    </row>
    <row r="1570" spans="1:17" x14ac:dyDescent="0.55000000000000004">
      <c r="A1570" t="s">
        <v>4887</v>
      </c>
      <c r="C1570" t="s">
        <v>28</v>
      </c>
      <c r="E1570" t="s">
        <v>29</v>
      </c>
      <c r="F1570" t="s">
        <v>30</v>
      </c>
      <c r="G1570" t="s">
        <v>31</v>
      </c>
      <c r="I1570" t="s">
        <v>137</v>
      </c>
      <c r="J1570" t="s">
        <v>138</v>
      </c>
      <c r="K1570" t="s">
        <v>35</v>
      </c>
      <c r="L1570" t="s">
        <v>30</v>
      </c>
      <c r="M1570" t="s">
        <v>31</v>
      </c>
      <c r="N1570" t="s">
        <v>36</v>
      </c>
      <c r="Q1570" s="4">
        <v>1</v>
      </c>
    </row>
    <row r="1571" spans="1:17" x14ac:dyDescent="0.55000000000000004">
      <c r="A1571" t="s">
        <v>4888</v>
      </c>
      <c r="C1571" t="s">
        <v>28</v>
      </c>
      <c r="E1571" t="s">
        <v>29</v>
      </c>
      <c r="F1571" t="s">
        <v>30</v>
      </c>
      <c r="G1571" t="s">
        <v>31</v>
      </c>
      <c r="I1571" t="s">
        <v>142</v>
      </c>
      <c r="J1571" t="s">
        <v>143</v>
      </c>
      <c r="K1571" t="s">
        <v>35</v>
      </c>
      <c r="L1571" t="s">
        <v>30</v>
      </c>
      <c r="M1571" t="s">
        <v>31</v>
      </c>
      <c r="N1571" t="s">
        <v>36</v>
      </c>
      <c r="Q1571" s="4">
        <v>1</v>
      </c>
    </row>
    <row r="1572" spans="1:17" x14ac:dyDescent="0.55000000000000004">
      <c r="A1572" t="s">
        <v>4889</v>
      </c>
      <c r="C1572" t="s">
        <v>3202</v>
      </c>
      <c r="E1572" t="s">
        <v>29</v>
      </c>
      <c r="F1572" t="s">
        <v>30</v>
      </c>
      <c r="G1572" t="s">
        <v>31</v>
      </c>
      <c r="I1572" t="s">
        <v>3467</v>
      </c>
      <c r="J1572" t="s">
        <v>3468</v>
      </c>
      <c r="K1572" t="s">
        <v>35</v>
      </c>
      <c r="L1572" t="s">
        <v>30</v>
      </c>
      <c r="M1572" t="s">
        <v>31</v>
      </c>
      <c r="N1572" t="s">
        <v>36</v>
      </c>
      <c r="Q1572" s="4">
        <v>1</v>
      </c>
    </row>
    <row r="1573" spans="1:17" x14ac:dyDescent="0.55000000000000004">
      <c r="A1573" t="s">
        <v>4890</v>
      </c>
      <c r="C1573" t="s">
        <v>3202</v>
      </c>
      <c r="E1573" t="s">
        <v>29</v>
      </c>
      <c r="F1573" t="s">
        <v>30</v>
      </c>
      <c r="G1573" t="s">
        <v>31</v>
      </c>
      <c r="I1573" t="s">
        <v>3471</v>
      </c>
      <c r="J1573" t="s">
        <v>3472</v>
      </c>
      <c r="K1573" t="s">
        <v>35</v>
      </c>
      <c r="L1573" t="s">
        <v>30</v>
      </c>
      <c r="M1573" t="s">
        <v>31</v>
      </c>
      <c r="N1573" t="s">
        <v>36</v>
      </c>
      <c r="Q1573" s="4">
        <v>1</v>
      </c>
    </row>
    <row r="1574" spans="1:17" x14ac:dyDescent="0.55000000000000004">
      <c r="A1574" t="s">
        <v>3800</v>
      </c>
      <c r="C1574" t="s">
        <v>3202</v>
      </c>
      <c r="E1574" t="s">
        <v>29</v>
      </c>
      <c r="F1574" t="s">
        <v>30</v>
      </c>
      <c r="G1574" t="s">
        <v>31</v>
      </c>
      <c r="I1574" t="s">
        <v>3475</v>
      </c>
      <c r="J1574" t="s">
        <v>3476</v>
      </c>
      <c r="K1574" t="s">
        <v>35</v>
      </c>
      <c r="L1574" t="s">
        <v>30</v>
      </c>
      <c r="M1574" t="s">
        <v>31</v>
      </c>
      <c r="N1574" t="s">
        <v>36</v>
      </c>
      <c r="Q1574" s="4">
        <v>1</v>
      </c>
    </row>
    <row r="1575" spans="1:17" x14ac:dyDescent="0.55000000000000004">
      <c r="A1575" t="s">
        <v>3801</v>
      </c>
      <c r="C1575" t="s">
        <v>3202</v>
      </c>
      <c r="E1575" t="s">
        <v>29</v>
      </c>
      <c r="F1575" t="s">
        <v>30</v>
      </c>
      <c r="G1575" t="s">
        <v>31</v>
      </c>
      <c r="I1575" t="s">
        <v>3479</v>
      </c>
      <c r="J1575" t="s">
        <v>3480</v>
      </c>
      <c r="K1575" t="s">
        <v>35</v>
      </c>
      <c r="L1575" t="s">
        <v>30</v>
      </c>
      <c r="M1575" t="s">
        <v>31</v>
      </c>
      <c r="N1575" t="s">
        <v>36</v>
      </c>
      <c r="Q1575" s="4">
        <v>1</v>
      </c>
    </row>
    <row r="1576" spans="1:17" x14ac:dyDescent="0.55000000000000004">
      <c r="A1576" t="s">
        <v>3802</v>
      </c>
      <c r="C1576" t="s">
        <v>3202</v>
      </c>
      <c r="E1576" t="s">
        <v>29</v>
      </c>
      <c r="F1576" t="s">
        <v>30</v>
      </c>
      <c r="G1576" t="s">
        <v>31</v>
      </c>
      <c r="I1576" t="s">
        <v>3483</v>
      </c>
      <c r="J1576" t="s">
        <v>3484</v>
      </c>
      <c r="K1576" t="s">
        <v>35</v>
      </c>
      <c r="L1576" t="s">
        <v>30</v>
      </c>
      <c r="M1576" t="s">
        <v>31</v>
      </c>
      <c r="N1576" t="s">
        <v>36</v>
      </c>
      <c r="Q1576" s="4">
        <v>1</v>
      </c>
    </row>
    <row r="1577" spans="1:17" x14ac:dyDescent="0.55000000000000004">
      <c r="A1577" t="s">
        <v>3803</v>
      </c>
      <c r="C1577" t="s">
        <v>3202</v>
      </c>
      <c r="E1577" t="s">
        <v>29</v>
      </c>
      <c r="F1577" t="s">
        <v>30</v>
      </c>
      <c r="G1577" t="s">
        <v>31</v>
      </c>
      <c r="I1577" t="s">
        <v>3487</v>
      </c>
      <c r="J1577" t="s">
        <v>3488</v>
      </c>
      <c r="K1577" t="s">
        <v>35</v>
      </c>
      <c r="L1577" t="s">
        <v>30</v>
      </c>
      <c r="M1577" t="s">
        <v>31</v>
      </c>
      <c r="N1577" t="s">
        <v>36</v>
      </c>
      <c r="Q1577" s="4">
        <v>1</v>
      </c>
    </row>
    <row r="1578" spans="1:17" x14ac:dyDescent="0.55000000000000004">
      <c r="A1578" t="s">
        <v>3804</v>
      </c>
      <c r="C1578" t="s">
        <v>3202</v>
      </c>
      <c r="E1578" t="s">
        <v>29</v>
      </c>
      <c r="F1578" t="s">
        <v>30</v>
      </c>
      <c r="G1578" t="s">
        <v>31</v>
      </c>
      <c r="I1578" t="s">
        <v>3491</v>
      </c>
      <c r="J1578" t="s">
        <v>3492</v>
      </c>
      <c r="K1578" t="s">
        <v>35</v>
      </c>
      <c r="L1578" t="s">
        <v>30</v>
      </c>
      <c r="M1578" t="s">
        <v>31</v>
      </c>
      <c r="N1578" t="s">
        <v>36</v>
      </c>
      <c r="Q1578" s="4">
        <v>1</v>
      </c>
    </row>
    <row r="1579" spans="1:17" x14ac:dyDescent="0.55000000000000004">
      <c r="A1579" t="s">
        <v>3805</v>
      </c>
      <c r="C1579" t="s">
        <v>3202</v>
      </c>
      <c r="E1579" t="s">
        <v>29</v>
      </c>
      <c r="F1579" t="s">
        <v>30</v>
      </c>
      <c r="G1579" t="s">
        <v>31</v>
      </c>
      <c r="I1579" t="s">
        <v>3495</v>
      </c>
      <c r="J1579" t="s">
        <v>3496</v>
      </c>
      <c r="K1579" t="s">
        <v>35</v>
      </c>
      <c r="L1579" t="s">
        <v>30</v>
      </c>
      <c r="M1579" t="s">
        <v>31</v>
      </c>
      <c r="N1579" t="s">
        <v>36</v>
      </c>
      <c r="Q1579" s="4">
        <v>1</v>
      </c>
    </row>
    <row r="1580" spans="1:17" x14ac:dyDescent="0.55000000000000004">
      <c r="A1580" t="s">
        <v>3806</v>
      </c>
      <c r="C1580" t="s">
        <v>3202</v>
      </c>
      <c r="E1580" t="s">
        <v>29</v>
      </c>
      <c r="F1580" t="s">
        <v>30</v>
      </c>
      <c r="G1580" t="s">
        <v>31</v>
      </c>
      <c r="I1580" t="s">
        <v>3499</v>
      </c>
      <c r="J1580" t="s">
        <v>3500</v>
      </c>
      <c r="K1580" t="s">
        <v>35</v>
      </c>
      <c r="L1580" t="s">
        <v>30</v>
      </c>
      <c r="M1580" t="s">
        <v>31</v>
      </c>
      <c r="N1580" t="s">
        <v>36</v>
      </c>
      <c r="Q1580" s="4">
        <v>1</v>
      </c>
    </row>
    <row r="1581" spans="1:17" x14ac:dyDescent="0.55000000000000004">
      <c r="A1581" t="s">
        <v>3807</v>
      </c>
      <c r="C1581" t="s">
        <v>3202</v>
      </c>
      <c r="E1581" t="s">
        <v>29</v>
      </c>
      <c r="F1581" t="s">
        <v>30</v>
      </c>
      <c r="G1581" t="s">
        <v>31</v>
      </c>
      <c r="I1581" t="s">
        <v>3503</v>
      </c>
      <c r="J1581" t="s">
        <v>3504</v>
      </c>
      <c r="K1581" t="s">
        <v>35</v>
      </c>
      <c r="L1581" t="s">
        <v>30</v>
      </c>
      <c r="M1581" t="s">
        <v>31</v>
      </c>
      <c r="N1581" t="s">
        <v>36</v>
      </c>
      <c r="Q1581" s="4">
        <v>1</v>
      </c>
    </row>
    <row r="1582" spans="1:17" x14ac:dyDescent="0.55000000000000004">
      <c r="A1582" t="s">
        <v>3808</v>
      </c>
      <c r="C1582" t="s">
        <v>3202</v>
      </c>
      <c r="E1582" t="s">
        <v>29</v>
      </c>
      <c r="F1582" t="s">
        <v>30</v>
      </c>
      <c r="G1582" t="s">
        <v>31</v>
      </c>
      <c r="I1582" t="s">
        <v>3507</v>
      </c>
      <c r="J1582" t="s">
        <v>3508</v>
      </c>
      <c r="K1582" t="s">
        <v>35</v>
      </c>
      <c r="L1582" t="s">
        <v>30</v>
      </c>
      <c r="M1582" t="s">
        <v>31</v>
      </c>
      <c r="N1582" t="s">
        <v>36</v>
      </c>
      <c r="Q1582" s="4">
        <v>1</v>
      </c>
    </row>
    <row r="1583" spans="1:17" x14ac:dyDescent="0.55000000000000004">
      <c r="A1583" t="s">
        <v>3809</v>
      </c>
      <c r="C1583" t="s">
        <v>3202</v>
      </c>
      <c r="E1583" t="s">
        <v>29</v>
      </c>
      <c r="F1583" t="s">
        <v>30</v>
      </c>
      <c r="G1583" t="s">
        <v>31</v>
      </c>
      <c r="I1583" t="s">
        <v>3511</v>
      </c>
      <c r="J1583" t="s">
        <v>3512</v>
      </c>
      <c r="K1583" t="s">
        <v>35</v>
      </c>
      <c r="L1583" t="s">
        <v>30</v>
      </c>
      <c r="M1583" t="s">
        <v>31</v>
      </c>
      <c r="N1583" t="s">
        <v>36</v>
      </c>
      <c r="Q1583" s="4">
        <v>1</v>
      </c>
    </row>
    <row r="1584" spans="1:17" x14ac:dyDescent="0.55000000000000004">
      <c r="A1584" t="s">
        <v>3810</v>
      </c>
      <c r="C1584" t="s">
        <v>3202</v>
      </c>
      <c r="E1584" t="s">
        <v>29</v>
      </c>
      <c r="F1584" t="s">
        <v>30</v>
      </c>
      <c r="G1584" t="s">
        <v>31</v>
      </c>
      <c r="I1584" t="s">
        <v>3515</v>
      </c>
      <c r="J1584" t="s">
        <v>3516</v>
      </c>
      <c r="K1584" t="s">
        <v>35</v>
      </c>
      <c r="L1584" t="s">
        <v>30</v>
      </c>
      <c r="M1584" t="s">
        <v>31</v>
      </c>
      <c r="N1584" t="s">
        <v>36</v>
      </c>
      <c r="Q1584" s="4">
        <v>1</v>
      </c>
    </row>
    <row r="1585" spans="1:17" x14ac:dyDescent="0.55000000000000004">
      <c r="A1585" t="s">
        <v>3811</v>
      </c>
      <c r="C1585" t="s">
        <v>3202</v>
      </c>
      <c r="E1585" t="s">
        <v>29</v>
      </c>
      <c r="F1585" t="s">
        <v>30</v>
      </c>
      <c r="G1585" t="s">
        <v>31</v>
      </c>
      <c r="I1585" t="s">
        <v>3519</v>
      </c>
      <c r="J1585" t="s">
        <v>3520</v>
      </c>
      <c r="K1585" t="s">
        <v>35</v>
      </c>
      <c r="L1585" t="s">
        <v>30</v>
      </c>
      <c r="M1585" t="s">
        <v>31</v>
      </c>
      <c r="N1585" t="s">
        <v>36</v>
      </c>
      <c r="Q1585" s="4">
        <v>1</v>
      </c>
    </row>
    <row r="1586" spans="1:17" x14ac:dyDescent="0.55000000000000004">
      <c r="A1586" t="s">
        <v>3812</v>
      </c>
      <c r="C1586" t="s">
        <v>3202</v>
      </c>
      <c r="E1586" t="s">
        <v>29</v>
      </c>
      <c r="F1586" t="s">
        <v>30</v>
      </c>
      <c r="G1586" t="s">
        <v>31</v>
      </c>
      <c r="I1586" t="s">
        <v>3523</v>
      </c>
      <c r="J1586" t="s">
        <v>3524</v>
      </c>
      <c r="K1586" t="s">
        <v>35</v>
      </c>
      <c r="L1586" t="s">
        <v>30</v>
      </c>
      <c r="M1586" t="s">
        <v>31</v>
      </c>
      <c r="N1586" t="s">
        <v>36</v>
      </c>
      <c r="Q1586" s="4">
        <v>1</v>
      </c>
    </row>
    <row r="1587" spans="1:17" x14ac:dyDescent="0.55000000000000004">
      <c r="A1587" t="s">
        <v>3813</v>
      </c>
      <c r="C1587" t="s">
        <v>3202</v>
      </c>
      <c r="E1587" t="s">
        <v>29</v>
      </c>
      <c r="F1587" t="s">
        <v>30</v>
      </c>
      <c r="G1587" t="s">
        <v>31</v>
      </c>
      <c r="I1587" t="s">
        <v>3527</v>
      </c>
      <c r="J1587" t="s">
        <v>3528</v>
      </c>
      <c r="K1587" t="s">
        <v>35</v>
      </c>
      <c r="L1587" t="s">
        <v>30</v>
      </c>
      <c r="M1587" t="s">
        <v>31</v>
      </c>
      <c r="N1587" t="s">
        <v>36</v>
      </c>
      <c r="Q1587" s="4">
        <v>1</v>
      </c>
    </row>
    <row r="1588" spans="1:17" x14ac:dyDescent="0.55000000000000004">
      <c r="A1588" t="s">
        <v>3814</v>
      </c>
      <c r="C1588" t="s">
        <v>3202</v>
      </c>
      <c r="E1588" t="s">
        <v>29</v>
      </c>
      <c r="F1588" t="s">
        <v>30</v>
      </c>
      <c r="G1588" t="s">
        <v>31</v>
      </c>
      <c r="I1588" t="s">
        <v>3531</v>
      </c>
      <c r="J1588" t="s">
        <v>3532</v>
      </c>
      <c r="K1588" t="s">
        <v>35</v>
      </c>
      <c r="L1588" t="s">
        <v>30</v>
      </c>
      <c r="M1588" t="s">
        <v>31</v>
      </c>
      <c r="N1588" t="s">
        <v>36</v>
      </c>
      <c r="Q1588" s="4">
        <v>1</v>
      </c>
    </row>
    <row r="1589" spans="1:17" x14ac:dyDescent="0.55000000000000004">
      <c r="A1589" t="s">
        <v>3815</v>
      </c>
      <c r="C1589" t="s">
        <v>3202</v>
      </c>
      <c r="E1589" t="s">
        <v>29</v>
      </c>
      <c r="F1589" t="s">
        <v>30</v>
      </c>
      <c r="G1589" t="s">
        <v>31</v>
      </c>
      <c r="I1589" t="s">
        <v>3535</v>
      </c>
      <c r="J1589" t="s">
        <v>3536</v>
      </c>
      <c r="K1589" t="s">
        <v>35</v>
      </c>
      <c r="L1589" t="s">
        <v>30</v>
      </c>
      <c r="M1589" t="s">
        <v>31</v>
      </c>
      <c r="N1589" t="s">
        <v>36</v>
      </c>
      <c r="Q1589" s="4">
        <v>1</v>
      </c>
    </row>
    <row r="1590" spans="1:17" x14ac:dyDescent="0.55000000000000004">
      <c r="A1590" t="s">
        <v>3816</v>
      </c>
      <c r="C1590" t="s">
        <v>28</v>
      </c>
      <c r="E1590" t="s">
        <v>29</v>
      </c>
      <c r="F1590" t="s">
        <v>30</v>
      </c>
      <c r="G1590" t="s">
        <v>31</v>
      </c>
      <c r="I1590" t="s">
        <v>147</v>
      </c>
      <c r="J1590" t="s">
        <v>148</v>
      </c>
      <c r="K1590" t="s">
        <v>35</v>
      </c>
      <c r="L1590" t="s">
        <v>30</v>
      </c>
      <c r="M1590" t="s">
        <v>31</v>
      </c>
      <c r="N1590" t="s">
        <v>36</v>
      </c>
      <c r="Q1590" s="4">
        <v>1</v>
      </c>
    </row>
    <row r="1591" spans="1:17" x14ac:dyDescent="0.55000000000000004">
      <c r="A1591" t="s">
        <v>3817</v>
      </c>
      <c r="C1591" t="s">
        <v>28</v>
      </c>
      <c r="E1591" t="s">
        <v>29</v>
      </c>
      <c r="F1591" t="s">
        <v>30</v>
      </c>
      <c r="G1591" t="s">
        <v>31</v>
      </c>
      <c r="I1591" t="s">
        <v>152</v>
      </c>
      <c r="J1591" t="s">
        <v>153</v>
      </c>
      <c r="K1591" t="s">
        <v>35</v>
      </c>
      <c r="L1591" t="s">
        <v>30</v>
      </c>
      <c r="M1591" t="s">
        <v>31</v>
      </c>
      <c r="N1591" t="s">
        <v>36</v>
      </c>
      <c r="Q1591" s="4">
        <v>1</v>
      </c>
    </row>
    <row r="1592" spans="1:17" x14ac:dyDescent="0.55000000000000004">
      <c r="A1592" t="s">
        <v>3818</v>
      </c>
      <c r="C1592" t="s">
        <v>28</v>
      </c>
      <c r="E1592" t="s">
        <v>29</v>
      </c>
      <c r="F1592" t="s">
        <v>30</v>
      </c>
      <c r="G1592" t="s">
        <v>31</v>
      </c>
      <c r="I1592" t="s">
        <v>157</v>
      </c>
      <c r="J1592" t="s">
        <v>158</v>
      </c>
      <c r="K1592" t="s">
        <v>35</v>
      </c>
      <c r="L1592" t="s">
        <v>30</v>
      </c>
      <c r="M1592" t="s">
        <v>31</v>
      </c>
      <c r="N1592" t="s">
        <v>36</v>
      </c>
      <c r="Q1592" s="4">
        <v>1</v>
      </c>
    </row>
    <row r="1593" spans="1:17" x14ac:dyDescent="0.55000000000000004">
      <c r="A1593" t="s">
        <v>3819</v>
      </c>
      <c r="C1593" t="s">
        <v>28</v>
      </c>
      <c r="E1593" t="s">
        <v>29</v>
      </c>
      <c r="F1593" t="s">
        <v>30</v>
      </c>
      <c r="G1593" t="s">
        <v>31</v>
      </c>
      <c r="I1593" t="s">
        <v>162</v>
      </c>
      <c r="J1593" t="s">
        <v>163</v>
      </c>
      <c r="K1593" t="s">
        <v>35</v>
      </c>
      <c r="L1593" t="s">
        <v>30</v>
      </c>
      <c r="M1593" t="s">
        <v>31</v>
      </c>
      <c r="N1593" t="s">
        <v>36</v>
      </c>
      <c r="Q1593" s="4">
        <v>1</v>
      </c>
    </row>
    <row r="1594" spans="1:17" x14ac:dyDescent="0.55000000000000004">
      <c r="A1594" t="s">
        <v>3820</v>
      </c>
      <c r="C1594" t="s">
        <v>28</v>
      </c>
      <c r="E1594" t="s">
        <v>29</v>
      </c>
      <c r="F1594" t="s">
        <v>30</v>
      </c>
      <c r="G1594" t="s">
        <v>31</v>
      </c>
      <c r="I1594" t="s">
        <v>167</v>
      </c>
      <c r="J1594" t="s">
        <v>168</v>
      </c>
      <c r="K1594" t="s">
        <v>35</v>
      </c>
      <c r="L1594" t="s">
        <v>30</v>
      </c>
      <c r="M1594" t="s">
        <v>31</v>
      </c>
      <c r="N1594" t="s">
        <v>36</v>
      </c>
      <c r="Q1594" s="4">
        <v>1</v>
      </c>
    </row>
    <row r="1595" spans="1:17" x14ac:dyDescent="0.55000000000000004">
      <c r="A1595" t="s">
        <v>3821</v>
      </c>
      <c r="C1595" t="s">
        <v>28</v>
      </c>
      <c r="E1595" t="s">
        <v>29</v>
      </c>
      <c r="F1595" t="s">
        <v>30</v>
      </c>
      <c r="G1595" t="s">
        <v>31</v>
      </c>
      <c r="I1595" t="s">
        <v>172</v>
      </c>
      <c r="J1595" t="s">
        <v>173</v>
      </c>
      <c r="K1595" t="s">
        <v>35</v>
      </c>
      <c r="L1595" t="s">
        <v>30</v>
      </c>
      <c r="M1595" t="s">
        <v>31</v>
      </c>
      <c r="N1595" t="s">
        <v>36</v>
      </c>
      <c r="Q1595" s="4">
        <v>1</v>
      </c>
    </row>
    <row r="1596" spans="1:17" x14ac:dyDescent="0.55000000000000004">
      <c r="A1596" t="s">
        <v>3822</v>
      </c>
      <c r="C1596" t="s">
        <v>28</v>
      </c>
      <c r="E1596" t="s">
        <v>29</v>
      </c>
      <c r="F1596" t="s">
        <v>30</v>
      </c>
      <c r="G1596" t="s">
        <v>31</v>
      </c>
      <c r="I1596" t="s">
        <v>177</v>
      </c>
      <c r="J1596" t="s">
        <v>178</v>
      </c>
      <c r="K1596" t="s">
        <v>35</v>
      </c>
      <c r="L1596" t="s">
        <v>30</v>
      </c>
      <c r="M1596" t="s">
        <v>31</v>
      </c>
      <c r="N1596" t="s">
        <v>36</v>
      </c>
      <c r="Q1596" s="4">
        <v>1</v>
      </c>
    </row>
    <row r="1597" spans="1:17" x14ac:dyDescent="0.55000000000000004">
      <c r="A1597" t="s">
        <v>3823</v>
      </c>
      <c r="C1597" t="s">
        <v>28</v>
      </c>
      <c r="E1597" t="s">
        <v>29</v>
      </c>
      <c r="F1597" t="s">
        <v>30</v>
      </c>
      <c r="G1597" t="s">
        <v>31</v>
      </c>
      <c r="I1597" t="s">
        <v>182</v>
      </c>
      <c r="J1597" t="s">
        <v>183</v>
      </c>
      <c r="K1597" t="s">
        <v>35</v>
      </c>
      <c r="L1597" t="s">
        <v>30</v>
      </c>
      <c r="M1597" t="s">
        <v>31</v>
      </c>
      <c r="N1597" t="s">
        <v>36</v>
      </c>
      <c r="Q1597" s="4">
        <v>1</v>
      </c>
    </row>
    <row r="1598" spans="1:17" x14ac:dyDescent="0.55000000000000004">
      <c r="A1598" t="s">
        <v>3824</v>
      </c>
      <c r="C1598" t="s">
        <v>28</v>
      </c>
      <c r="E1598" t="s">
        <v>29</v>
      </c>
      <c r="F1598" t="s">
        <v>30</v>
      </c>
      <c r="G1598" t="s">
        <v>31</v>
      </c>
      <c r="I1598" t="s">
        <v>187</v>
      </c>
      <c r="J1598" t="s">
        <v>188</v>
      </c>
      <c r="K1598" t="s">
        <v>35</v>
      </c>
      <c r="L1598" t="s">
        <v>30</v>
      </c>
      <c r="M1598" t="s">
        <v>31</v>
      </c>
      <c r="N1598" t="s">
        <v>36</v>
      </c>
      <c r="Q1598" s="4">
        <v>1</v>
      </c>
    </row>
    <row r="1599" spans="1:17" x14ac:dyDescent="0.55000000000000004">
      <c r="A1599" t="s">
        <v>3825</v>
      </c>
      <c r="C1599" t="s">
        <v>28</v>
      </c>
      <c r="E1599" t="s">
        <v>29</v>
      </c>
      <c r="F1599" t="s">
        <v>30</v>
      </c>
      <c r="G1599" t="s">
        <v>31</v>
      </c>
      <c r="I1599" t="s">
        <v>4012</v>
      </c>
      <c r="J1599" t="s">
        <v>4013</v>
      </c>
      <c r="K1599" t="s">
        <v>35</v>
      </c>
      <c r="L1599" t="s">
        <v>30</v>
      </c>
      <c r="M1599" t="s">
        <v>31</v>
      </c>
      <c r="N1599" t="s">
        <v>36</v>
      </c>
      <c r="Q1599" s="4">
        <v>1</v>
      </c>
    </row>
    <row r="1600" spans="1:17" x14ac:dyDescent="0.55000000000000004">
      <c r="A1600" t="s">
        <v>3826</v>
      </c>
      <c r="C1600" t="s">
        <v>28</v>
      </c>
      <c r="E1600" t="s">
        <v>29</v>
      </c>
      <c r="F1600" t="s">
        <v>30</v>
      </c>
      <c r="G1600" t="s">
        <v>31</v>
      </c>
      <c r="I1600" t="s">
        <v>4019</v>
      </c>
      <c r="J1600" t="s">
        <v>4020</v>
      </c>
      <c r="K1600" t="s">
        <v>35</v>
      </c>
      <c r="L1600" t="s">
        <v>30</v>
      </c>
      <c r="M1600" t="s">
        <v>31</v>
      </c>
      <c r="N1600" t="s">
        <v>36</v>
      </c>
      <c r="Q1600" s="4">
        <v>1</v>
      </c>
    </row>
    <row r="1601" spans="1:17" x14ac:dyDescent="0.55000000000000004">
      <c r="A1601" t="s">
        <v>3827</v>
      </c>
      <c r="C1601" t="s">
        <v>28</v>
      </c>
      <c r="E1601" t="s">
        <v>29</v>
      </c>
      <c r="F1601" t="s">
        <v>30</v>
      </c>
      <c r="G1601" t="s">
        <v>31</v>
      </c>
      <c r="I1601" t="s">
        <v>4025</v>
      </c>
      <c r="J1601" t="s">
        <v>4026</v>
      </c>
      <c r="K1601" t="s">
        <v>35</v>
      </c>
      <c r="L1601" t="s">
        <v>30</v>
      </c>
      <c r="M1601" t="s">
        <v>31</v>
      </c>
      <c r="N1601" t="s">
        <v>36</v>
      </c>
      <c r="Q1601" s="4">
        <v>1</v>
      </c>
    </row>
    <row r="1602" spans="1:17" x14ac:dyDescent="0.55000000000000004">
      <c r="A1602" t="s">
        <v>3828</v>
      </c>
      <c r="C1602" t="s">
        <v>28</v>
      </c>
      <c r="E1602" t="s">
        <v>29</v>
      </c>
      <c r="F1602" t="s">
        <v>30</v>
      </c>
      <c r="G1602" t="s">
        <v>31</v>
      </c>
      <c r="I1602" t="s">
        <v>4031</v>
      </c>
      <c r="J1602" t="s">
        <v>4032</v>
      </c>
      <c r="K1602" t="s">
        <v>35</v>
      </c>
      <c r="L1602" t="s">
        <v>30</v>
      </c>
      <c r="M1602" t="s">
        <v>31</v>
      </c>
      <c r="N1602" t="s">
        <v>36</v>
      </c>
      <c r="Q1602" s="4">
        <v>1</v>
      </c>
    </row>
    <row r="1603" spans="1:17" x14ac:dyDescent="0.55000000000000004">
      <c r="A1603" t="s">
        <v>3829</v>
      </c>
      <c r="C1603" t="s">
        <v>28</v>
      </c>
      <c r="E1603" t="s">
        <v>29</v>
      </c>
      <c r="F1603" t="s">
        <v>30</v>
      </c>
      <c r="G1603" t="s">
        <v>31</v>
      </c>
      <c r="I1603" t="s">
        <v>4037</v>
      </c>
      <c r="J1603" t="s">
        <v>4038</v>
      </c>
      <c r="K1603" t="s">
        <v>35</v>
      </c>
      <c r="L1603" t="s">
        <v>30</v>
      </c>
      <c r="M1603" t="s">
        <v>31</v>
      </c>
      <c r="N1603" t="s">
        <v>36</v>
      </c>
      <c r="Q1603" s="4">
        <v>1</v>
      </c>
    </row>
    <row r="1604" spans="1:17" x14ac:dyDescent="0.55000000000000004">
      <c r="A1604" t="s">
        <v>3830</v>
      </c>
      <c r="C1604" t="s">
        <v>28</v>
      </c>
      <c r="E1604" t="s">
        <v>29</v>
      </c>
      <c r="F1604" t="s">
        <v>30</v>
      </c>
      <c r="G1604" t="s">
        <v>31</v>
      </c>
      <c r="I1604" t="s">
        <v>4043</v>
      </c>
      <c r="J1604" t="s">
        <v>4044</v>
      </c>
      <c r="K1604" t="s">
        <v>35</v>
      </c>
      <c r="L1604" t="s">
        <v>30</v>
      </c>
      <c r="M1604" t="s">
        <v>31</v>
      </c>
      <c r="N1604" t="s">
        <v>36</v>
      </c>
      <c r="Q1604" s="4">
        <v>1</v>
      </c>
    </row>
    <row r="1605" spans="1:17" x14ac:dyDescent="0.55000000000000004">
      <c r="A1605" t="s">
        <v>3831</v>
      </c>
      <c r="C1605" t="s">
        <v>28</v>
      </c>
      <c r="E1605" t="s">
        <v>29</v>
      </c>
      <c r="F1605" t="s">
        <v>30</v>
      </c>
      <c r="G1605" t="s">
        <v>31</v>
      </c>
      <c r="I1605" t="s">
        <v>4049</v>
      </c>
      <c r="J1605" t="s">
        <v>4050</v>
      </c>
      <c r="K1605" t="s">
        <v>35</v>
      </c>
      <c r="L1605" t="s">
        <v>30</v>
      </c>
      <c r="M1605" t="s">
        <v>31</v>
      </c>
      <c r="N1605" t="s">
        <v>36</v>
      </c>
      <c r="Q1605" s="4">
        <v>1</v>
      </c>
    </row>
    <row r="1606" spans="1:17" x14ac:dyDescent="0.55000000000000004">
      <c r="A1606" t="s">
        <v>3832</v>
      </c>
      <c r="C1606" t="s">
        <v>28</v>
      </c>
      <c r="E1606" t="s">
        <v>29</v>
      </c>
      <c r="F1606" t="s">
        <v>30</v>
      </c>
      <c r="G1606" t="s">
        <v>31</v>
      </c>
      <c r="I1606" t="s">
        <v>4066</v>
      </c>
      <c r="J1606" t="s">
        <v>4067</v>
      </c>
      <c r="K1606" t="s">
        <v>35</v>
      </c>
      <c r="L1606" t="s">
        <v>30</v>
      </c>
      <c r="M1606" t="s">
        <v>31</v>
      </c>
      <c r="N1606" t="s">
        <v>36</v>
      </c>
      <c r="Q1606" s="4">
        <v>1</v>
      </c>
    </row>
    <row r="1607" spans="1:17" x14ac:dyDescent="0.55000000000000004">
      <c r="A1607" t="s">
        <v>3833</v>
      </c>
      <c r="C1607" t="s">
        <v>28</v>
      </c>
      <c r="E1607" t="s">
        <v>29</v>
      </c>
      <c r="F1607" t="s">
        <v>30</v>
      </c>
      <c r="G1607" t="s">
        <v>31</v>
      </c>
      <c r="I1607" t="s">
        <v>4072</v>
      </c>
      <c r="J1607" t="s">
        <v>4073</v>
      </c>
      <c r="K1607" t="s">
        <v>35</v>
      </c>
      <c r="L1607" t="s">
        <v>30</v>
      </c>
      <c r="M1607" t="s">
        <v>31</v>
      </c>
      <c r="N1607" t="s">
        <v>36</v>
      </c>
      <c r="Q1607" s="4">
        <v>1</v>
      </c>
    </row>
    <row r="1608" spans="1:17" x14ac:dyDescent="0.55000000000000004">
      <c r="A1608" t="s">
        <v>3834</v>
      </c>
      <c r="C1608" t="s">
        <v>28</v>
      </c>
      <c r="E1608" t="s">
        <v>29</v>
      </c>
      <c r="F1608" t="s">
        <v>30</v>
      </c>
      <c r="G1608" t="s">
        <v>31</v>
      </c>
      <c r="I1608" t="s">
        <v>4078</v>
      </c>
      <c r="J1608" t="s">
        <v>4079</v>
      </c>
      <c r="K1608" t="s">
        <v>35</v>
      </c>
      <c r="L1608" t="s">
        <v>30</v>
      </c>
      <c r="M1608" t="s">
        <v>31</v>
      </c>
      <c r="N1608" t="s">
        <v>36</v>
      </c>
      <c r="Q1608" s="4">
        <v>1</v>
      </c>
    </row>
    <row r="1609" spans="1:17" x14ac:dyDescent="0.55000000000000004">
      <c r="A1609" t="s">
        <v>3835</v>
      </c>
      <c r="C1609" t="s">
        <v>28</v>
      </c>
      <c r="E1609" t="s">
        <v>29</v>
      </c>
      <c r="F1609" t="s">
        <v>30</v>
      </c>
      <c r="G1609" t="s">
        <v>31</v>
      </c>
      <c r="I1609" t="s">
        <v>4084</v>
      </c>
      <c r="J1609" t="s">
        <v>4085</v>
      </c>
      <c r="K1609" t="s">
        <v>35</v>
      </c>
      <c r="L1609" t="s">
        <v>30</v>
      </c>
      <c r="M1609" t="s">
        <v>31</v>
      </c>
      <c r="N1609" t="s">
        <v>36</v>
      </c>
      <c r="Q1609" s="4">
        <v>1</v>
      </c>
    </row>
    <row r="1610" spans="1:17" x14ac:dyDescent="0.55000000000000004">
      <c r="A1610" t="s">
        <v>3836</v>
      </c>
      <c r="C1610" t="s">
        <v>28</v>
      </c>
      <c r="E1610" t="s">
        <v>29</v>
      </c>
      <c r="F1610" t="s">
        <v>30</v>
      </c>
      <c r="G1610" t="s">
        <v>31</v>
      </c>
      <c r="I1610" t="s">
        <v>4090</v>
      </c>
      <c r="J1610" t="s">
        <v>4091</v>
      </c>
      <c r="K1610" t="s">
        <v>35</v>
      </c>
      <c r="L1610" t="s">
        <v>30</v>
      </c>
      <c r="M1610" t="s">
        <v>31</v>
      </c>
      <c r="N1610" t="s">
        <v>36</v>
      </c>
      <c r="Q1610" s="4">
        <v>1</v>
      </c>
    </row>
    <row r="1611" spans="1:17" x14ac:dyDescent="0.55000000000000004">
      <c r="A1611" t="s">
        <v>3837</v>
      </c>
      <c r="C1611" t="s">
        <v>28</v>
      </c>
      <c r="E1611" t="s">
        <v>29</v>
      </c>
      <c r="F1611" t="s">
        <v>30</v>
      </c>
      <c r="G1611" t="s">
        <v>31</v>
      </c>
      <c r="I1611" t="s">
        <v>4096</v>
      </c>
      <c r="J1611" t="s">
        <v>4097</v>
      </c>
      <c r="K1611" t="s">
        <v>35</v>
      </c>
      <c r="L1611" t="s">
        <v>30</v>
      </c>
      <c r="M1611" t="s">
        <v>31</v>
      </c>
      <c r="N1611" t="s">
        <v>36</v>
      </c>
      <c r="Q1611" s="4">
        <v>1</v>
      </c>
    </row>
    <row r="1612" spans="1:17" x14ac:dyDescent="0.55000000000000004">
      <c r="A1612" t="s">
        <v>3838</v>
      </c>
      <c r="C1612" t="s">
        <v>28</v>
      </c>
      <c r="E1612" t="s">
        <v>29</v>
      </c>
      <c r="F1612" t="s">
        <v>30</v>
      </c>
      <c r="G1612" t="s">
        <v>31</v>
      </c>
      <c r="I1612" t="s">
        <v>4102</v>
      </c>
      <c r="J1612" t="s">
        <v>4103</v>
      </c>
      <c r="K1612" t="s">
        <v>35</v>
      </c>
      <c r="L1612" t="s">
        <v>30</v>
      </c>
      <c r="M1612" t="s">
        <v>31</v>
      </c>
      <c r="N1612" t="s">
        <v>36</v>
      </c>
      <c r="Q1612" s="4">
        <v>1</v>
      </c>
    </row>
    <row r="1613" spans="1:17" x14ac:dyDescent="0.55000000000000004">
      <c r="A1613" t="s">
        <v>3839</v>
      </c>
      <c r="C1613" t="s">
        <v>28</v>
      </c>
      <c r="E1613" t="s">
        <v>29</v>
      </c>
      <c r="F1613" t="s">
        <v>30</v>
      </c>
      <c r="G1613" t="s">
        <v>31</v>
      </c>
      <c r="I1613" t="s">
        <v>4108</v>
      </c>
      <c r="J1613" t="s">
        <v>4109</v>
      </c>
      <c r="K1613" t="s">
        <v>35</v>
      </c>
      <c r="L1613" t="s">
        <v>30</v>
      </c>
      <c r="M1613" t="s">
        <v>31</v>
      </c>
      <c r="N1613" t="s">
        <v>36</v>
      </c>
      <c r="Q1613" s="4">
        <v>1</v>
      </c>
    </row>
    <row r="1614" spans="1:17" x14ac:dyDescent="0.55000000000000004">
      <c r="A1614" t="s">
        <v>3840</v>
      </c>
      <c r="C1614" t="s">
        <v>28</v>
      </c>
      <c r="E1614" t="s">
        <v>29</v>
      </c>
      <c r="F1614" t="s">
        <v>30</v>
      </c>
      <c r="G1614" t="s">
        <v>31</v>
      </c>
      <c r="I1614" t="s">
        <v>4114</v>
      </c>
      <c r="J1614" t="s">
        <v>4115</v>
      </c>
      <c r="K1614" t="s">
        <v>35</v>
      </c>
      <c r="L1614" t="s">
        <v>30</v>
      </c>
      <c r="M1614" t="s">
        <v>31</v>
      </c>
      <c r="N1614" t="s">
        <v>36</v>
      </c>
      <c r="Q1614" s="4">
        <v>1</v>
      </c>
    </row>
    <row r="1615" spans="1:17" x14ac:dyDescent="0.55000000000000004">
      <c r="A1615" t="s">
        <v>3841</v>
      </c>
      <c r="C1615" t="s">
        <v>28</v>
      </c>
      <c r="E1615" t="s">
        <v>29</v>
      </c>
      <c r="F1615" t="s">
        <v>30</v>
      </c>
      <c r="G1615" t="s">
        <v>31</v>
      </c>
      <c r="I1615" t="s">
        <v>4120</v>
      </c>
      <c r="J1615" t="s">
        <v>4121</v>
      </c>
      <c r="K1615" t="s">
        <v>35</v>
      </c>
      <c r="L1615" t="s">
        <v>30</v>
      </c>
      <c r="M1615" t="s">
        <v>31</v>
      </c>
      <c r="N1615" t="s">
        <v>36</v>
      </c>
      <c r="Q1615" s="4">
        <v>1</v>
      </c>
    </row>
    <row r="1616" spans="1:17" x14ac:dyDescent="0.55000000000000004">
      <c r="A1616" t="s">
        <v>3842</v>
      </c>
      <c r="C1616" t="s">
        <v>28</v>
      </c>
      <c r="E1616" t="s">
        <v>29</v>
      </c>
      <c r="F1616" t="s">
        <v>30</v>
      </c>
      <c r="G1616" t="s">
        <v>31</v>
      </c>
      <c r="I1616" t="s">
        <v>4126</v>
      </c>
      <c r="J1616" t="s">
        <v>4127</v>
      </c>
      <c r="K1616" t="s">
        <v>35</v>
      </c>
      <c r="L1616" t="s">
        <v>30</v>
      </c>
      <c r="M1616" t="s">
        <v>31</v>
      </c>
      <c r="N1616" t="s">
        <v>36</v>
      </c>
      <c r="Q1616" s="4">
        <v>1</v>
      </c>
    </row>
    <row r="1617" spans="1:17" x14ac:dyDescent="0.55000000000000004">
      <c r="A1617" t="s">
        <v>3843</v>
      </c>
      <c r="C1617" t="s">
        <v>28</v>
      </c>
      <c r="E1617" t="s">
        <v>29</v>
      </c>
      <c r="F1617" t="s">
        <v>30</v>
      </c>
      <c r="G1617" t="s">
        <v>31</v>
      </c>
      <c r="I1617" t="s">
        <v>4132</v>
      </c>
      <c r="J1617" t="s">
        <v>4133</v>
      </c>
      <c r="K1617" t="s">
        <v>35</v>
      </c>
      <c r="L1617" t="s">
        <v>30</v>
      </c>
      <c r="M1617" t="s">
        <v>31</v>
      </c>
      <c r="N1617" t="s">
        <v>36</v>
      </c>
      <c r="Q1617" s="4">
        <v>1</v>
      </c>
    </row>
    <row r="1618" spans="1:17" x14ac:dyDescent="0.55000000000000004">
      <c r="A1618" t="s">
        <v>3844</v>
      </c>
      <c r="C1618" t="s">
        <v>28</v>
      </c>
      <c r="E1618" t="s">
        <v>29</v>
      </c>
      <c r="F1618" t="s">
        <v>30</v>
      </c>
      <c r="G1618" t="s">
        <v>31</v>
      </c>
      <c r="I1618" t="s">
        <v>4138</v>
      </c>
      <c r="J1618" t="s">
        <v>4139</v>
      </c>
      <c r="K1618" t="s">
        <v>35</v>
      </c>
      <c r="L1618" t="s">
        <v>30</v>
      </c>
      <c r="M1618" t="s">
        <v>31</v>
      </c>
      <c r="N1618" t="s">
        <v>36</v>
      </c>
      <c r="Q1618" s="4">
        <v>1</v>
      </c>
    </row>
    <row r="1619" spans="1:17" x14ac:dyDescent="0.55000000000000004">
      <c r="A1619" t="s">
        <v>3845</v>
      </c>
      <c r="C1619" t="s">
        <v>28</v>
      </c>
      <c r="E1619" t="s">
        <v>29</v>
      </c>
      <c r="F1619" t="s">
        <v>30</v>
      </c>
      <c r="G1619" t="s">
        <v>31</v>
      </c>
      <c r="I1619" t="s">
        <v>4144</v>
      </c>
      <c r="J1619" t="s">
        <v>4145</v>
      </c>
      <c r="K1619" t="s">
        <v>35</v>
      </c>
      <c r="L1619" t="s">
        <v>30</v>
      </c>
      <c r="M1619" t="s">
        <v>31</v>
      </c>
      <c r="N1619" t="s">
        <v>36</v>
      </c>
      <c r="Q1619" s="4">
        <v>1</v>
      </c>
    </row>
    <row r="1620" spans="1:17" x14ac:dyDescent="0.55000000000000004">
      <c r="A1620" t="s">
        <v>3846</v>
      </c>
      <c r="C1620" t="s">
        <v>3202</v>
      </c>
      <c r="E1620" t="s">
        <v>29</v>
      </c>
      <c r="F1620" t="s">
        <v>30</v>
      </c>
      <c r="G1620" t="s">
        <v>31</v>
      </c>
      <c r="I1620" t="s">
        <v>3203</v>
      </c>
      <c r="J1620" t="s">
        <v>3204</v>
      </c>
      <c r="K1620" t="s">
        <v>35</v>
      </c>
      <c r="L1620" t="s">
        <v>30</v>
      </c>
      <c r="M1620" t="s">
        <v>31</v>
      </c>
      <c r="N1620" t="s">
        <v>36</v>
      </c>
      <c r="Q1620" s="4">
        <v>1</v>
      </c>
    </row>
    <row r="1621" spans="1:17" x14ac:dyDescent="0.55000000000000004">
      <c r="A1621" t="s">
        <v>3847</v>
      </c>
      <c r="C1621" t="s">
        <v>3202</v>
      </c>
      <c r="E1621" t="s">
        <v>29</v>
      </c>
      <c r="F1621" t="s">
        <v>30</v>
      </c>
      <c r="G1621" t="s">
        <v>31</v>
      </c>
      <c r="I1621" t="s">
        <v>3207</v>
      </c>
      <c r="J1621" t="s">
        <v>3208</v>
      </c>
      <c r="K1621" t="s">
        <v>35</v>
      </c>
      <c r="L1621" t="s">
        <v>30</v>
      </c>
      <c r="M1621" t="s">
        <v>31</v>
      </c>
      <c r="N1621" t="s">
        <v>36</v>
      </c>
      <c r="Q1621" s="4">
        <v>1</v>
      </c>
    </row>
    <row r="1622" spans="1:17" x14ac:dyDescent="0.55000000000000004">
      <c r="A1622" t="s">
        <v>3848</v>
      </c>
      <c r="C1622" t="s">
        <v>3202</v>
      </c>
      <c r="E1622" t="s">
        <v>29</v>
      </c>
      <c r="F1622" t="s">
        <v>30</v>
      </c>
      <c r="G1622" t="s">
        <v>31</v>
      </c>
      <c r="I1622" t="s">
        <v>3211</v>
      </c>
      <c r="J1622" t="s">
        <v>3212</v>
      </c>
      <c r="K1622" t="s">
        <v>35</v>
      </c>
      <c r="L1622" t="s">
        <v>30</v>
      </c>
      <c r="M1622" t="s">
        <v>31</v>
      </c>
      <c r="N1622" t="s">
        <v>36</v>
      </c>
      <c r="Q1622" s="4">
        <v>1</v>
      </c>
    </row>
    <row r="1623" spans="1:17" x14ac:dyDescent="0.55000000000000004">
      <c r="A1623" t="s">
        <v>3849</v>
      </c>
      <c r="C1623" t="s">
        <v>3202</v>
      </c>
      <c r="E1623" t="s">
        <v>29</v>
      </c>
      <c r="F1623" t="s">
        <v>30</v>
      </c>
      <c r="G1623" t="s">
        <v>31</v>
      </c>
      <c r="I1623" t="s">
        <v>3215</v>
      </c>
      <c r="J1623" t="s">
        <v>3216</v>
      </c>
      <c r="K1623" t="s">
        <v>35</v>
      </c>
      <c r="L1623" t="s">
        <v>30</v>
      </c>
      <c r="M1623" t="s">
        <v>31</v>
      </c>
      <c r="N1623" t="s">
        <v>36</v>
      </c>
      <c r="Q1623" s="4">
        <v>1</v>
      </c>
    </row>
    <row r="1624" spans="1:17" x14ac:dyDescent="0.55000000000000004">
      <c r="A1624" t="s">
        <v>3850</v>
      </c>
      <c r="C1624" t="s">
        <v>3202</v>
      </c>
      <c r="E1624" t="s">
        <v>29</v>
      </c>
      <c r="F1624" t="s">
        <v>30</v>
      </c>
      <c r="G1624" t="s">
        <v>31</v>
      </c>
      <c r="I1624" t="s">
        <v>3219</v>
      </c>
      <c r="J1624" t="s">
        <v>3220</v>
      </c>
      <c r="K1624" t="s">
        <v>35</v>
      </c>
      <c r="L1624" t="s">
        <v>30</v>
      </c>
      <c r="M1624" t="s">
        <v>31</v>
      </c>
      <c r="N1624" t="s">
        <v>36</v>
      </c>
      <c r="Q1624" s="4">
        <v>1</v>
      </c>
    </row>
    <row r="1625" spans="1:17" x14ac:dyDescent="0.55000000000000004">
      <c r="A1625" t="s">
        <v>3851</v>
      </c>
      <c r="C1625" t="s">
        <v>3202</v>
      </c>
      <c r="E1625" t="s">
        <v>29</v>
      </c>
      <c r="F1625" t="s">
        <v>30</v>
      </c>
      <c r="G1625" t="s">
        <v>31</v>
      </c>
      <c r="I1625" t="s">
        <v>3223</v>
      </c>
      <c r="J1625" t="s">
        <v>3224</v>
      </c>
      <c r="K1625" t="s">
        <v>35</v>
      </c>
      <c r="L1625" t="s">
        <v>30</v>
      </c>
      <c r="M1625" t="s">
        <v>31</v>
      </c>
      <c r="N1625" t="s">
        <v>36</v>
      </c>
      <c r="Q1625" s="4">
        <v>1</v>
      </c>
    </row>
    <row r="1626" spans="1:17" x14ac:dyDescent="0.55000000000000004">
      <c r="A1626" t="s">
        <v>3852</v>
      </c>
      <c r="C1626" t="s">
        <v>3202</v>
      </c>
      <c r="E1626" t="s">
        <v>29</v>
      </c>
      <c r="F1626" t="s">
        <v>30</v>
      </c>
      <c r="G1626" t="s">
        <v>31</v>
      </c>
      <c r="I1626" t="s">
        <v>3227</v>
      </c>
      <c r="J1626" t="s">
        <v>3228</v>
      </c>
      <c r="K1626" t="s">
        <v>35</v>
      </c>
      <c r="L1626" t="s">
        <v>30</v>
      </c>
      <c r="M1626" t="s">
        <v>31</v>
      </c>
      <c r="N1626" t="s">
        <v>36</v>
      </c>
      <c r="Q1626" s="4">
        <v>1</v>
      </c>
    </row>
    <row r="1627" spans="1:17" x14ac:dyDescent="0.55000000000000004">
      <c r="A1627" t="s">
        <v>3853</v>
      </c>
      <c r="C1627" t="s">
        <v>3202</v>
      </c>
      <c r="E1627" t="s">
        <v>29</v>
      </c>
      <c r="F1627" t="s">
        <v>30</v>
      </c>
      <c r="G1627" t="s">
        <v>31</v>
      </c>
      <c r="I1627" t="s">
        <v>3231</v>
      </c>
      <c r="J1627" t="s">
        <v>3232</v>
      </c>
      <c r="K1627" t="s">
        <v>35</v>
      </c>
      <c r="L1627" t="s">
        <v>30</v>
      </c>
      <c r="M1627" t="s">
        <v>31</v>
      </c>
      <c r="N1627" t="s">
        <v>36</v>
      </c>
      <c r="Q1627" s="4">
        <v>1</v>
      </c>
    </row>
    <row r="1628" spans="1:17" x14ac:dyDescent="0.55000000000000004">
      <c r="A1628" t="s">
        <v>3854</v>
      </c>
      <c r="C1628" t="s">
        <v>3202</v>
      </c>
      <c r="E1628" t="s">
        <v>29</v>
      </c>
      <c r="F1628" t="s">
        <v>30</v>
      </c>
      <c r="G1628" t="s">
        <v>31</v>
      </c>
      <c r="I1628" t="s">
        <v>3235</v>
      </c>
      <c r="J1628" t="s">
        <v>3236</v>
      </c>
      <c r="K1628" t="s">
        <v>35</v>
      </c>
      <c r="L1628" t="s">
        <v>30</v>
      </c>
      <c r="M1628" t="s">
        <v>31</v>
      </c>
      <c r="N1628" t="s">
        <v>36</v>
      </c>
      <c r="Q1628" s="4">
        <v>1</v>
      </c>
    </row>
    <row r="1629" spans="1:17" x14ac:dyDescent="0.55000000000000004">
      <c r="A1629" t="s">
        <v>3855</v>
      </c>
      <c r="C1629" t="s">
        <v>3202</v>
      </c>
      <c r="E1629" t="s">
        <v>29</v>
      </c>
      <c r="F1629" t="s">
        <v>30</v>
      </c>
      <c r="G1629" t="s">
        <v>31</v>
      </c>
      <c r="I1629" t="s">
        <v>3239</v>
      </c>
      <c r="J1629" t="s">
        <v>3240</v>
      </c>
      <c r="K1629" t="s">
        <v>35</v>
      </c>
      <c r="L1629" t="s">
        <v>30</v>
      </c>
      <c r="M1629" t="s">
        <v>31</v>
      </c>
      <c r="N1629" t="s">
        <v>36</v>
      </c>
      <c r="Q1629" s="4">
        <v>1</v>
      </c>
    </row>
    <row r="1630" spans="1:17" x14ac:dyDescent="0.55000000000000004">
      <c r="A1630" t="s">
        <v>3856</v>
      </c>
      <c r="C1630" t="s">
        <v>3202</v>
      </c>
      <c r="E1630" t="s">
        <v>29</v>
      </c>
      <c r="F1630" t="s">
        <v>30</v>
      </c>
      <c r="G1630" t="s">
        <v>31</v>
      </c>
      <c r="I1630" t="s">
        <v>3243</v>
      </c>
      <c r="J1630" t="s">
        <v>3244</v>
      </c>
      <c r="K1630" t="s">
        <v>35</v>
      </c>
      <c r="L1630" t="s">
        <v>30</v>
      </c>
      <c r="M1630" t="s">
        <v>31</v>
      </c>
      <c r="N1630" t="s">
        <v>36</v>
      </c>
      <c r="Q1630" s="4">
        <v>1</v>
      </c>
    </row>
    <row r="1631" spans="1:17" x14ac:dyDescent="0.55000000000000004">
      <c r="A1631" t="s">
        <v>3857</v>
      </c>
      <c r="C1631" t="s">
        <v>3202</v>
      </c>
      <c r="E1631" t="s">
        <v>29</v>
      </c>
      <c r="F1631" t="s">
        <v>30</v>
      </c>
      <c r="G1631" t="s">
        <v>31</v>
      </c>
      <c r="I1631" t="s">
        <v>3247</v>
      </c>
      <c r="J1631" t="s">
        <v>3248</v>
      </c>
      <c r="K1631" t="s">
        <v>35</v>
      </c>
      <c r="L1631" t="s">
        <v>30</v>
      </c>
      <c r="M1631" t="s">
        <v>31</v>
      </c>
      <c r="N1631" t="s">
        <v>36</v>
      </c>
      <c r="Q1631" s="4">
        <v>1</v>
      </c>
    </row>
    <row r="1632" spans="1:17" x14ac:dyDescent="0.55000000000000004">
      <c r="A1632" t="s">
        <v>3858</v>
      </c>
      <c r="C1632" t="s">
        <v>3202</v>
      </c>
      <c r="E1632" t="s">
        <v>29</v>
      </c>
      <c r="F1632" t="s">
        <v>30</v>
      </c>
      <c r="G1632" t="s">
        <v>31</v>
      </c>
      <c r="I1632" t="s">
        <v>3251</v>
      </c>
      <c r="J1632" t="s">
        <v>3252</v>
      </c>
      <c r="K1632" t="s">
        <v>35</v>
      </c>
      <c r="L1632" t="s">
        <v>30</v>
      </c>
      <c r="M1632" t="s">
        <v>31</v>
      </c>
      <c r="N1632" t="s">
        <v>36</v>
      </c>
      <c r="Q1632" s="4">
        <v>1</v>
      </c>
    </row>
    <row r="1633" spans="1:17" x14ac:dyDescent="0.55000000000000004">
      <c r="A1633" t="s">
        <v>3859</v>
      </c>
      <c r="C1633" t="s">
        <v>3202</v>
      </c>
      <c r="E1633" t="s">
        <v>29</v>
      </c>
      <c r="F1633" t="s">
        <v>30</v>
      </c>
      <c r="G1633" t="s">
        <v>31</v>
      </c>
      <c r="I1633" t="s">
        <v>3255</v>
      </c>
      <c r="J1633" t="s">
        <v>3256</v>
      </c>
      <c r="K1633" t="s">
        <v>35</v>
      </c>
      <c r="L1633" t="s">
        <v>30</v>
      </c>
      <c r="M1633" t="s">
        <v>31</v>
      </c>
      <c r="N1633" t="s">
        <v>36</v>
      </c>
      <c r="Q1633" s="4">
        <v>1</v>
      </c>
    </row>
    <row r="1634" spans="1:17" x14ac:dyDescent="0.55000000000000004">
      <c r="A1634" t="s">
        <v>3860</v>
      </c>
      <c r="C1634" t="s">
        <v>3202</v>
      </c>
      <c r="E1634" t="s">
        <v>29</v>
      </c>
      <c r="F1634" t="s">
        <v>30</v>
      </c>
      <c r="G1634" t="s">
        <v>31</v>
      </c>
      <c r="I1634" t="s">
        <v>3259</v>
      </c>
      <c r="J1634" t="s">
        <v>3260</v>
      </c>
      <c r="K1634" t="s">
        <v>35</v>
      </c>
      <c r="L1634" t="s">
        <v>30</v>
      </c>
      <c r="M1634" t="s">
        <v>31</v>
      </c>
      <c r="N1634" t="s">
        <v>36</v>
      </c>
      <c r="Q1634" s="4">
        <v>1</v>
      </c>
    </row>
    <row r="1635" spans="1:17" x14ac:dyDescent="0.55000000000000004">
      <c r="A1635" t="s">
        <v>3861</v>
      </c>
      <c r="C1635" t="s">
        <v>3202</v>
      </c>
      <c r="E1635" t="s">
        <v>29</v>
      </c>
      <c r="F1635" t="s">
        <v>30</v>
      </c>
      <c r="G1635" t="s">
        <v>31</v>
      </c>
      <c r="I1635" t="s">
        <v>3263</v>
      </c>
      <c r="J1635" t="s">
        <v>3264</v>
      </c>
      <c r="K1635" t="s">
        <v>35</v>
      </c>
      <c r="L1635" t="s">
        <v>30</v>
      </c>
      <c r="M1635" t="s">
        <v>31</v>
      </c>
      <c r="N1635" t="s">
        <v>36</v>
      </c>
      <c r="Q1635" s="4">
        <v>1</v>
      </c>
    </row>
    <row r="1636" spans="1:17" x14ac:dyDescent="0.55000000000000004">
      <c r="A1636" t="s">
        <v>3862</v>
      </c>
      <c r="C1636" t="s">
        <v>3202</v>
      </c>
      <c r="E1636" t="s">
        <v>29</v>
      </c>
      <c r="F1636" t="s">
        <v>30</v>
      </c>
      <c r="G1636" t="s">
        <v>31</v>
      </c>
      <c r="I1636" t="s">
        <v>3267</v>
      </c>
      <c r="J1636" t="s">
        <v>3268</v>
      </c>
      <c r="K1636" t="s">
        <v>35</v>
      </c>
      <c r="L1636" t="s">
        <v>30</v>
      </c>
      <c r="M1636" t="s">
        <v>31</v>
      </c>
      <c r="N1636" t="s">
        <v>36</v>
      </c>
      <c r="Q1636" s="4">
        <v>1</v>
      </c>
    </row>
    <row r="1637" spans="1:17" x14ac:dyDescent="0.55000000000000004">
      <c r="A1637" t="s">
        <v>3863</v>
      </c>
      <c r="C1637" t="s">
        <v>3202</v>
      </c>
      <c r="E1637" t="s">
        <v>29</v>
      </c>
      <c r="F1637" t="s">
        <v>30</v>
      </c>
      <c r="G1637" t="s">
        <v>31</v>
      </c>
      <c r="I1637" t="s">
        <v>3271</v>
      </c>
      <c r="J1637" t="s">
        <v>3272</v>
      </c>
      <c r="K1637" t="s">
        <v>35</v>
      </c>
      <c r="L1637" t="s">
        <v>30</v>
      </c>
      <c r="M1637" t="s">
        <v>31</v>
      </c>
      <c r="N1637" t="s">
        <v>36</v>
      </c>
      <c r="Q1637" s="4">
        <v>1</v>
      </c>
    </row>
    <row r="1638" spans="1:17" x14ac:dyDescent="0.55000000000000004">
      <c r="A1638" t="s">
        <v>3864</v>
      </c>
      <c r="C1638" t="s">
        <v>3202</v>
      </c>
      <c r="E1638" t="s">
        <v>29</v>
      </c>
      <c r="F1638" t="s">
        <v>30</v>
      </c>
      <c r="G1638" t="s">
        <v>31</v>
      </c>
      <c r="I1638" t="s">
        <v>3275</v>
      </c>
      <c r="J1638" t="s">
        <v>3276</v>
      </c>
      <c r="K1638" t="s">
        <v>35</v>
      </c>
      <c r="L1638" t="s">
        <v>30</v>
      </c>
      <c r="M1638" t="s">
        <v>31</v>
      </c>
      <c r="N1638" t="s">
        <v>36</v>
      </c>
      <c r="Q1638" s="4">
        <v>1</v>
      </c>
    </row>
    <row r="1639" spans="1:17" x14ac:dyDescent="0.55000000000000004">
      <c r="A1639" t="s">
        <v>3865</v>
      </c>
      <c r="C1639" t="s">
        <v>3202</v>
      </c>
      <c r="E1639" t="s">
        <v>29</v>
      </c>
      <c r="F1639" t="s">
        <v>30</v>
      </c>
      <c r="G1639" t="s">
        <v>31</v>
      </c>
      <c r="I1639" t="s">
        <v>3279</v>
      </c>
      <c r="J1639" t="s">
        <v>3280</v>
      </c>
      <c r="K1639" t="s">
        <v>35</v>
      </c>
      <c r="L1639" t="s">
        <v>30</v>
      </c>
      <c r="M1639" t="s">
        <v>31</v>
      </c>
      <c r="N1639" t="s">
        <v>36</v>
      </c>
      <c r="Q1639" s="4">
        <v>1</v>
      </c>
    </row>
    <row r="1640" spans="1:17" x14ac:dyDescent="0.55000000000000004">
      <c r="A1640" t="s">
        <v>3866</v>
      </c>
      <c r="C1640" t="s">
        <v>3202</v>
      </c>
      <c r="E1640" t="s">
        <v>29</v>
      </c>
      <c r="F1640" t="s">
        <v>30</v>
      </c>
      <c r="G1640" t="s">
        <v>31</v>
      </c>
      <c r="I1640" t="s">
        <v>3283</v>
      </c>
      <c r="J1640" t="s">
        <v>3284</v>
      </c>
      <c r="K1640" t="s">
        <v>35</v>
      </c>
      <c r="L1640" t="s">
        <v>30</v>
      </c>
      <c r="M1640" t="s">
        <v>31</v>
      </c>
      <c r="N1640" t="s">
        <v>36</v>
      </c>
      <c r="Q1640" s="4">
        <v>1</v>
      </c>
    </row>
    <row r="1641" spans="1:17" x14ac:dyDescent="0.55000000000000004">
      <c r="A1641" t="s">
        <v>3867</v>
      </c>
      <c r="C1641" t="s">
        <v>3202</v>
      </c>
      <c r="E1641" t="s">
        <v>29</v>
      </c>
      <c r="F1641" t="s">
        <v>30</v>
      </c>
      <c r="G1641" t="s">
        <v>31</v>
      </c>
      <c r="I1641" t="s">
        <v>3287</v>
      </c>
      <c r="J1641" t="s">
        <v>3288</v>
      </c>
      <c r="K1641" t="s">
        <v>35</v>
      </c>
      <c r="L1641" t="s">
        <v>30</v>
      </c>
      <c r="M1641" t="s">
        <v>31</v>
      </c>
      <c r="N1641" t="s">
        <v>36</v>
      </c>
      <c r="Q1641" s="4">
        <v>1</v>
      </c>
    </row>
    <row r="1642" spans="1:17" x14ac:dyDescent="0.55000000000000004">
      <c r="A1642" t="s">
        <v>3868</v>
      </c>
      <c r="C1642" t="s">
        <v>3202</v>
      </c>
      <c r="E1642" t="s">
        <v>29</v>
      </c>
      <c r="F1642" t="s">
        <v>30</v>
      </c>
      <c r="G1642" t="s">
        <v>31</v>
      </c>
      <c r="I1642" t="s">
        <v>3291</v>
      </c>
      <c r="J1642" t="s">
        <v>3292</v>
      </c>
      <c r="K1642" t="s">
        <v>35</v>
      </c>
      <c r="L1642" t="s">
        <v>30</v>
      </c>
      <c r="M1642" t="s">
        <v>31</v>
      </c>
      <c r="N1642" t="s">
        <v>36</v>
      </c>
      <c r="Q1642" s="4">
        <v>1</v>
      </c>
    </row>
    <row r="1643" spans="1:17" x14ac:dyDescent="0.55000000000000004">
      <c r="A1643" t="s">
        <v>3869</v>
      </c>
      <c r="C1643" t="s">
        <v>3202</v>
      </c>
      <c r="E1643" t="s">
        <v>29</v>
      </c>
      <c r="F1643" t="s">
        <v>30</v>
      </c>
      <c r="G1643" t="s">
        <v>31</v>
      </c>
      <c r="I1643" t="s">
        <v>3295</v>
      </c>
      <c r="J1643" t="s">
        <v>3296</v>
      </c>
      <c r="K1643" t="s">
        <v>35</v>
      </c>
      <c r="L1643" t="s">
        <v>30</v>
      </c>
      <c r="M1643" t="s">
        <v>31</v>
      </c>
      <c r="N1643" t="s">
        <v>36</v>
      </c>
      <c r="Q1643" s="4">
        <v>1</v>
      </c>
    </row>
    <row r="1644" spans="1:17" x14ac:dyDescent="0.55000000000000004">
      <c r="A1644" t="s">
        <v>3870</v>
      </c>
      <c r="C1644" t="s">
        <v>3202</v>
      </c>
      <c r="E1644" t="s">
        <v>29</v>
      </c>
      <c r="F1644" t="s">
        <v>30</v>
      </c>
      <c r="G1644" t="s">
        <v>31</v>
      </c>
      <c r="I1644" t="s">
        <v>3299</v>
      </c>
      <c r="J1644" t="s">
        <v>3300</v>
      </c>
      <c r="K1644" t="s">
        <v>35</v>
      </c>
      <c r="L1644" t="s">
        <v>30</v>
      </c>
      <c r="M1644" t="s">
        <v>31</v>
      </c>
      <c r="N1644" t="s">
        <v>36</v>
      </c>
      <c r="Q1644" s="4">
        <v>1</v>
      </c>
    </row>
    <row r="1645" spans="1:17" x14ac:dyDescent="0.55000000000000004">
      <c r="A1645" t="s">
        <v>3871</v>
      </c>
      <c r="C1645" t="s">
        <v>3202</v>
      </c>
      <c r="E1645" t="s">
        <v>29</v>
      </c>
      <c r="F1645" t="s">
        <v>30</v>
      </c>
      <c r="G1645" t="s">
        <v>31</v>
      </c>
      <c r="I1645" t="s">
        <v>3303</v>
      </c>
      <c r="J1645" t="s">
        <v>3304</v>
      </c>
      <c r="K1645" t="s">
        <v>35</v>
      </c>
      <c r="L1645" t="s">
        <v>30</v>
      </c>
      <c r="M1645" t="s">
        <v>31</v>
      </c>
      <c r="N1645" t="s">
        <v>36</v>
      </c>
      <c r="Q1645" s="4">
        <v>1</v>
      </c>
    </row>
    <row r="1646" spans="1:17" x14ac:dyDescent="0.55000000000000004">
      <c r="A1646" t="s">
        <v>3872</v>
      </c>
      <c r="C1646" t="s">
        <v>3202</v>
      </c>
      <c r="E1646" t="s">
        <v>29</v>
      </c>
      <c r="F1646" t="s">
        <v>30</v>
      </c>
      <c r="G1646" t="s">
        <v>31</v>
      </c>
      <c r="I1646" t="s">
        <v>3307</v>
      </c>
      <c r="J1646" t="s">
        <v>3308</v>
      </c>
      <c r="K1646" t="s">
        <v>35</v>
      </c>
      <c r="L1646" t="s">
        <v>30</v>
      </c>
      <c r="M1646" t="s">
        <v>31</v>
      </c>
      <c r="N1646" t="s">
        <v>36</v>
      </c>
      <c r="Q1646" s="4">
        <v>1</v>
      </c>
    </row>
    <row r="1647" spans="1:17" x14ac:dyDescent="0.55000000000000004">
      <c r="A1647" t="s">
        <v>3873</v>
      </c>
      <c r="C1647" t="s">
        <v>3202</v>
      </c>
      <c r="E1647" t="s">
        <v>29</v>
      </c>
      <c r="F1647" t="s">
        <v>30</v>
      </c>
      <c r="G1647" t="s">
        <v>31</v>
      </c>
      <c r="I1647" t="s">
        <v>3311</v>
      </c>
      <c r="J1647" t="s">
        <v>3312</v>
      </c>
      <c r="K1647" t="s">
        <v>35</v>
      </c>
      <c r="L1647" t="s">
        <v>30</v>
      </c>
      <c r="M1647" t="s">
        <v>31</v>
      </c>
      <c r="N1647" t="s">
        <v>36</v>
      </c>
      <c r="Q1647" s="4">
        <v>1</v>
      </c>
    </row>
    <row r="1648" spans="1:17" x14ac:dyDescent="0.55000000000000004">
      <c r="A1648" t="s">
        <v>3874</v>
      </c>
      <c r="C1648" t="s">
        <v>3202</v>
      </c>
      <c r="E1648" t="s">
        <v>29</v>
      </c>
      <c r="F1648" t="s">
        <v>30</v>
      </c>
      <c r="G1648" t="s">
        <v>31</v>
      </c>
      <c r="I1648" t="s">
        <v>3315</v>
      </c>
      <c r="J1648" t="s">
        <v>3316</v>
      </c>
      <c r="K1648" t="s">
        <v>35</v>
      </c>
      <c r="L1648" t="s">
        <v>30</v>
      </c>
      <c r="M1648" t="s">
        <v>31</v>
      </c>
      <c r="N1648" t="s">
        <v>36</v>
      </c>
      <c r="Q1648" s="4">
        <v>1</v>
      </c>
    </row>
    <row r="1649" spans="1:17" x14ac:dyDescent="0.55000000000000004">
      <c r="A1649" t="s">
        <v>3875</v>
      </c>
      <c r="C1649" t="s">
        <v>3202</v>
      </c>
      <c r="E1649" t="s">
        <v>29</v>
      </c>
      <c r="F1649" t="s">
        <v>30</v>
      </c>
      <c r="G1649" t="s">
        <v>31</v>
      </c>
      <c r="I1649" t="s">
        <v>3319</v>
      </c>
      <c r="J1649" t="s">
        <v>3320</v>
      </c>
      <c r="K1649" t="s">
        <v>35</v>
      </c>
      <c r="L1649" t="s">
        <v>30</v>
      </c>
      <c r="M1649" t="s">
        <v>31</v>
      </c>
      <c r="N1649" t="s">
        <v>36</v>
      </c>
      <c r="Q1649" s="4">
        <v>1</v>
      </c>
    </row>
    <row r="1650" spans="1:17" x14ac:dyDescent="0.55000000000000004">
      <c r="A1650" t="s">
        <v>3876</v>
      </c>
      <c r="C1650" t="s">
        <v>3202</v>
      </c>
      <c r="E1650" t="s">
        <v>29</v>
      </c>
      <c r="F1650" t="s">
        <v>30</v>
      </c>
      <c r="G1650" t="s">
        <v>31</v>
      </c>
      <c r="I1650" t="s">
        <v>3323</v>
      </c>
      <c r="J1650" t="s">
        <v>3324</v>
      </c>
      <c r="K1650" t="s">
        <v>35</v>
      </c>
      <c r="L1650" t="s">
        <v>30</v>
      </c>
      <c r="M1650" t="s">
        <v>31</v>
      </c>
      <c r="N1650" t="s">
        <v>36</v>
      </c>
      <c r="Q1650" s="4">
        <v>1</v>
      </c>
    </row>
    <row r="1651" spans="1:17" x14ac:dyDescent="0.55000000000000004">
      <c r="A1651" t="s">
        <v>3877</v>
      </c>
      <c r="C1651" t="s">
        <v>3202</v>
      </c>
      <c r="E1651" t="s">
        <v>29</v>
      </c>
      <c r="F1651" t="s">
        <v>30</v>
      </c>
      <c r="G1651" t="s">
        <v>31</v>
      </c>
      <c r="I1651" t="s">
        <v>3327</v>
      </c>
      <c r="J1651" t="s">
        <v>3328</v>
      </c>
      <c r="K1651" t="s">
        <v>35</v>
      </c>
      <c r="L1651" t="s">
        <v>30</v>
      </c>
      <c r="M1651" t="s">
        <v>31</v>
      </c>
      <c r="N1651" t="s">
        <v>36</v>
      </c>
      <c r="Q1651" s="4">
        <v>1</v>
      </c>
    </row>
    <row r="1652" spans="1:17" x14ac:dyDescent="0.55000000000000004">
      <c r="A1652" t="s">
        <v>3878</v>
      </c>
      <c r="C1652" t="s">
        <v>3202</v>
      </c>
      <c r="E1652" t="s">
        <v>29</v>
      </c>
      <c r="F1652" t="s">
        <v>30</v>
      </c>
      <c r="G1652" t="s">
        <v>31</v>
      </c>
      <c r="I1652" t="s">
        <v>3331</v>
      </c>
      <c r="J1652" t="s">
        <v>3332</v>
      </c>
      <c r="K1652" t="s">
        <v>35</v>
      </c>
      <c r="L1652" t="s">
        <v>30</v>
      </c>
      <c r="M1652" t="s">
        <v>31</v>
      </c>
      <c r="N1652" t="s">
        <v>36</v>
      </c>
      <c r="Q1652" s="4">
        <v>1</v>
      </c>
    </row>
    <row r="1653" spans="1:17" x14ac:dyDescent="0.55000000000000004">
      <c r="A1653" t="s">
        <v>3879</v>
      </c>
      <c r="C1653" t="s">
        <v>3202</v>
      </c>
      <c r="E1653" t="s">
        <v>29</v>
      </c>
      <c r="F1653" t="s">
        <v>30</v>
      </c>
      <c r="G1653" t="s">
        <v>31</v>
      </c>
      <c r="I1653" t="s">
        <v>3335</v>
      </c>
      <c r="J1653" t="s">
        <v>3336</v>
      </c>
      <c r="K1653" t="s">
        <v>35</v>
      </c>
      <c r="L1653" t="s">
        <v>30</v>
      </c>
      <c r="M1653" t="s">
        <v>31</v>
      </c>
      <c r="N1653" t="s">
        <v>36</v>
      </c>
      <c r="Q1653" s="4">
        <v>1</v>
      </c>
    </row>
    <row r="1654" spans="1:17" x14ac:dyDescent="0.55000000000000004">
      <c r="A1654" t="s">
        <v>3880</v>
      </c>
      <c r="C1654" t="s">
        <v>3202</v>
      </c>
      <c r="E1654" t="s">
        <v>29</v>
      </c>
      <c r="F1654" t="s">
        <v>30</v>
      </c>
      <c r="G1654" t="s">
        <v>31</v>
      </c>
      <c r="I1654" t="s">
        <v>3339</v>
      </c>
      <c r="J1654" t="s">
        <v>3340</v>
      </c>
      <c r="K1654" t="s">
        <v>35</v>
      </c>
      <c r="L1654" t="s">
        <v>30</v>
      </c>
      <c r="M1654" t="s">
        <v>31</v>
      </c>
      <c r="N1654" t="s">
        <v>36</v>
      </c>
      <c r="Q1654" s="4">
        <v>1</v>
      </c>
    </row>
    <row r="1655" spans="1:17" x14ac:dyDescent="0.55000000000000004">
      <c r="A1655" t="s">
        <v>3881</v>
      </c>
      <c r="C1655" t="s">
        <v>3202</v>
      </c>
      <c r="E1655" t="s">
        <v>29</v>
      </c>
      <c r="F1655" t="s">
        <v>30</v>
      </c>
      <c r="G1655" t="s">
        <v>31</v>
      </c>
      <c r="I1655" t="s">
        <v>3343</v>
      </c>
      <c r="J1655" t="s">
        <v>3344</v>
      </c>
      <c r="K1655" t="s">
        <v>35</v>
      </c>
      <c r="L1655" t="s">
        <v>30</v>
      </c>
      <c r="M1655" t="s">
        <v>31</v>
      </c>
      <c r="N1655" t="s">
        <v>36</v>
      </c>
      <c r="Q1655" s="4">
        <v>1</v>
      </c>
    </row>
    <row r="1656" spans="1:17" x14ac:dyDescent="0.55000000000000004">
      <c r="A1656" t="s">
        <v>3882</v>
      </c>
      <c r="C1656" t="s">
        <v>3202</v>
      </c>
      <c r="E1656" t="s">
        <v>29</v>
      </c>
      <c r="F1656" t="s">
        <v>30</v>
      </c>
      <c r="G1656" t="s">
        <v>31</v>
      </c>
      <c r="I1656" t="s">
        <v>3347</v>
      </c>
      <c r="J1656" t="s">
        <v>3348</v>
      </c>
      <c r="K1656" t="s">
        <v>35</v>
      </c>
      <c r="L1656" t="s">
        <v>30</v>
      </c>
      <c r="M1656" t="s">
        <v>31</v>
      </c>
      <c r="N1656" t="s">
        <v>36</v>
      </c>
      <c r="Q1656" s="4">
        <v>1</v>
      </c>
    </row>
    <row r="1657" spans="1:17" x14ac:dyDescent="0.55000000000000004">
      <c r="A1657" t="s">
        <v>3883</v>
      </c>
      <c r="C1657" t="s">
        <v>3202</v>
      </c>
      <c r="E1657" t="s">
        <v>29</v>
      </c>
      <c r="F1657" t="s">
        <v>30</v>
      </c>
      <c r="G1657" t="s">
        <v>31</v>
      </c>
      <c r="I1657" t="s">
        <v>3351</v>
      </c>
      <c r="J1657" t="s">
        <v>3352</v>
      </c>
      <c r="K1657" t="s">
        <v>35</v>
      </c>
      <c r="L1657" t="s">
        <v>30</v>
      </c>
      <c r="M1657" t="s">
        <v>31</v>
      </c>
      <c r="N1657" t="s">
        <v>36</v>
      </c>
      <c r="Q1657" s="4">
        <v>1</v>
      </c>
    </row>
    <row r="1658" spans="1:17" x14ac:dyDescent="0.55000000000000004">
      <c r="A1658" t="s">
        <v>3884</v>
      </c>
      <c r="C1658" t="s">
        <v>3202</v>
      </c>
      <c r="E1658" t="s">
        <v>29</v>
      </c>
      <c r="F1658" t="s">
        <v>30</v>
      </c>
      <c r="G1658" t="s">
        <v>31</v>
      </c>
      <c r="I1658" t="s">
        <v>3355</v>
      </c>
      <c r="J1658" t="s">
        <v>3356</v>
      </c>
      <c r="K1658" t="s">
        <v>35</v>
      </c>
      <c r="L1658" t="s">
        <v>30</v>
      </c>
      <c r="M1658" t="s">
        <v>31</v>
      </c>
      <c r="N1658" t="s">
        <v>36</v>
      </c>
      <c r="Q1658" s="4">
        <v>1</v>
      </c>
    </row>
    <row r="1659" spans="1:17" x14ac:dyDescent="0.55000000000000004">
      <c r="A1659" t="s">
        <v>3885</v>
      </c>
      <c r="C1659" t="s">
        <v>3202</v>
      </c>
      <c r="E1659" t="s">
        <v>29</v>
      </c>
      <c r="F1659" t="s">
        <v>30</v>
      </c>
      <c r="G1659" t="s">
        <v>31</v>
      </c>
      <c r="I1659" t="s">
        <v>3359</v>
      </c>
      <c r="J1659" t="s">
        <v>3360</v>
      </c>
      <c r="K1659" t="s">
        <v>35</v>
      </c>
      <c r="L1659" t="s">
        <v>30</v>
      </c>
      <c r="M1659" t="s">
        <v>31</v>
      </c>
      <c r="N1659" t="s">
        <v>36</v>
      </c>
      <c r="Q1659" s="4">
        <v>1</v>
      </c>
    </row>
    <row r="1660" spans="1:17" x14ac:dyDescent="0.55000000000000004">
      <c r="A1660" t="s">
        <v>3886</v>
      </c>
      <c r="C1660" t="s">
        <v>3202</v>
      </c>
      <c r="E1660" t="s">
        <v>29</v>
      </c>
      <c r="F1660" t="s">
        <v>30</v>
      </c>
      <c r="G1660" t="s">
        <v>31</v>
      </c>
      <c r="I1660" t="s">
        <v>3363</v>
      </c>
      <c r="J1660" t="s">
        <v>3364</v>
      </c>
      <c r="K1660" t="s">
        <v>35</v>
      </c>
      <c r="L1660" t="s">
        <v>30</v>
      </c>
      <c r="M1660" t="s">
        <v>31</v>
      </c>
      <c r="N1660" t="s">
        <v>36</v>
      </c>
      <c r="Q1660" s="4">
        <v>1</v>
      </c>
    </row>
    <row r="1661" spans="1:17" x14ac:dyDescent="0.55000000000000004">
      <c r="A1661" t="s">
        <v>3887</v>
      </c>
      <c r="C1661" t="s">
        <v>3202</v>
      </c>
      <c r="E1661" t="s">
        <v>29</v>
      </c>
      <c r="F1661" t="s">
        <v>30</v>
      </c>
      <c r="G1661" t="s">
        <v>31</v>
      </c>
      <c r="I1661" t="s">
        <v>3367</v>
      </c>
      <c r="J1661" t="s">
        <v>3368</v>
      </c>
      <c r="K1661" t="s">
        <v>35</v>
      </c>
      <c r="L1661" t="s">
        <v>30</v>
      </c>
      <c r="M1661" t="s">
        <v>31</v>
      </c>
      <c r="N1661" t="s">
        <v>36</v>
      </c>
      <c r="Q1661" s="4">
        <v>1</v>
      </c>
    </row>
    <row r="1662" spans="1:17" x14ac:dyDescent="0.55000000000000004">
      <c r="A1662" t="s">
        <v>3888</v>
      </c>
      <c r="C1662" t="s">
        <v>3202</v>
      </c>
      <c r="E1662" t="s">
        <v>29</v>
      </c>
      <c r="F1662" t="s">
        <v>30</v>
      </c>
      <c r="G1662" t="s">
        <v>31</v>
      </c>
      <c r="I1662" t="s">
        <v>3371</v>
      </c>
      <c r="J1662" t="s">
        <v>3372</v>
      </c>
      <c r="K1662" t="s">
        <v>35</v>
      </c>
      <c r="L1662" t="s">
        <v>30</v>
      </c>
      <c r="M1662" t="s">
        <v>31</v>
      </c>
      <c r="N1662" t="s">
        <v>36</v>
      </c>
      <c r="Q1662" s="4">
        <v>1</v>
      </c>
    </row>
    <row r="1663" spans="1:17" x14ac:dyDescent="0.55000000000000004">
      <c r="A1663" t="s">
        <v>3889</v>
      </c>
      <c r="C1663" t="s">
        <v>3202</v>
      </c>
      <c r="E1663" t="s">
        <v>29</v>
      </c>
      <c r="F1663" t="s">
        <v>30</v>
      </c>
      <c r="G1663" t="s">
        <v>31</v>
      </c>
      <c r="I1663" t="s">
        <v>3375</v>
      </c>
      <c r="J1663" t="s">
        <v>3376</v>
      </c>
      <c r="K1663" t="s">
        <v>35</v>
      </c>
      <c r="L1663" t="s">
        <v>30</v>
      </c>
      <c r="M1663" t="s">
        <v>31</v>
      </c>
      <c r="N1663" t="s">
        <v>36</v>
      </c>
      <c r="Q1663" s="4">
        <v>1</v>
      </c>
    </row>
    <row r="1664" spans="1:17" x14ac:dyDescent="0.55000000000000004">
      <c r="A1664" t="s">
        <v>3890</v>
      </c>
      <c r="C1664" t="s">
        <v>3202</v>
      </c>
      <c r="E1664" t="s">
        <v>29</v>
      </c>
      <c r="F1664" t="s">
        <v>30</v>
      </c>
      <c r="G1664" t="s">
        <v>31</v>
      </c>
      <c r="I1664" t="s">
        <v>3379</v>
      </c>
      <c r="J1664" t="s">
        <v>3380</v>
      </c>
      <c r="K1664" t="s">
        <v>35</v>
      </c>
      <c r="L1664" t="s">
        <v>30</v>
      </c>
      <c r="M1664" t="s">
        <v>31</v>
      </c>
      <c r="N1664" t="s">
        <v>36</v>
      </c>
      <c r="Q1664" s="4">
        <v>1</v>
      </c>
    </row>
    <row r="1665" spans="1:17" x14ac:dyDescent="0.55000000000000004">
      <c r="A1665" t="s">
        <v>3891</v>
      </c>
      <c r="C1665" t="s">
        <v>3202</v>
      </c>
      <c r="E1665" t="s">
        <v>29</v>
      </c>
      <c r="F1665" t="s">
        <v>30</v>
      </c>
      <c r="G1665" t="s">
        <v>31</v>
      </c>
      <c r="I1665" t="s">
        <v>3383</v>
      </c>
      <c r="J1665" t="s">
        <v>3384</v>
      </c>
      <c r="K1665" t="s">
        <v>35</v>
      </c>
      <c r="L1665" t="s">
        <v>30</v>
      </c>
      <c r="M1665" t="s">
        <v>31</v>
      </c>
      <c r="N1665" t="s">
        <v>36</v>
      </c>
      <c r="Q1665" s="4">
        <v>1</v>
      </c>
    </row>
    <row r="1666" spans="1:17" x14ac:dyDescent="0.55000000000000004">
      <c r="A1666" t="s">
        <v>3892</v>
      </c>
      <c r="C1666" t="s">
        <v>3202</v>
      </c>
      <c r="E1666" t="s">
        <v>29</v>
      </c>
      <c r="F1666" t="s">
        <v>30</v>
      </c>
      <c r="G1666" t="s">
        <v>31</v>
      </c>
      <c r="I1666" t="s">
        <v>3387</v>
      </c>
      <c r="J1666" t="s">
        <v>3388</v>
      </c>
      <c r="K1666" t="s">
        <v>35</v>
      </c>
      <c r="L1666" t="s">
        <v>30</v>
      </c>
      <c r="M1666" t="s">
        <v>31</v>
      </c>
      <c r="N1666" t="s">
        <v>36</v>
      </c>
      <c r="Q1666" s="4">
        <v>1</v>
      </c>
    </row>
    <row r="1667" spans="1:17" x14ac:dyDescent="0.55000000000000004">
      <c r="A1667" t="s">
        <v>3893</v>
      </c>
      <c r="C1667" t="s">
        <v>3202</v>
      </c>
      <c r="E1667" t="s">
        <v>29</v>
      </c>
      <c r="F1667" t="s">
        <v>30</v>
      </c>
      <c r="G1667" t="s">
        <v>31</v>
      </c>
      <c r="I1667" t="s">
        <v>3391</v>
      </c>
      <c r="J1667" t="s">
        <v>3392</v>
      </c>
      <c r="K1667" t="s">
        <v>35</v>
      </c>
      <c r="L1667" t="s">
        <v>30</v>
      </c>
      <c r="M1667" t="s">
        <v>31</v>
      </c>
      <c r="N1667" t="s">
        <v>36</v>
      </c>
      <c r="Q1667" s="4">
        <v>1</v>
      </c>
    </row>
    <row r="1668" spans="1:17" x14ac:dyDescent="0.55000000000000004">
      <c r="A1668" t="s">
        <v>3894</v>
      </c>
      <c r="C1668" t="s">
        <v>28</v>
      </c>
      <c r="E1668" t="s">
        <v>29</v>
      </c>
      <c r="F1668" t="s">
        <v>30</v>
      </c>
      <c r="G1668" t="s">
        <v>31</v>
      </c>
      <c r="I1668" t="s">
        <v>192</v>
      </c>
      <c r="J1668" t="s">
        <v>193</v>
      </c>
      <c r="K1668" t="s">
        <v>35</v>
      </c>
      <c r="L1668" t="s">
        <v>30</v>
      </c>
      <c r="M1668" t="s">
        <v>31</v>
      </c>
      <c r="N1668" t="s">
        <v>36</v>
      </c>
      <c r="Q1668" s="4">
        <v>1</v>
      </c>
    </row>
    <row r="1669" spans="1:17" x14ac:dyDescent="0.55000000000000004">
      <c r="A1669" t="s">
        <v>3895</v>
      </c>
      <c r="C1669" t="s">
        <v>28</v>
      </c>
      <c r="E1669" t="s">
        <v>29</v>
      </c>
      <c r="F1669" t="s">
        <v>30</v>
      </c>
      <c r="G1669" t="s">
        <v>31</v>
      </c>
      <c r="I1669" t="s">
        <v>198</v>
      </c>
      <c r="J1669" t="s">
        <v>199</v>
      </c>
      <c r="K1669" t="s">
        <v>35</v>
      </c>
      <c r="L1669" t="s">
        <v>30</v>
      </c>
      <c r="M1669" t="s">
        <v>31</v>
      </c>
      <c r="N1669" t="s">
        <v>36</v>
      </c>
      <c r="Q1669" s="4">
        <v>1</v>
      </c>
    </row>
    <row r="1670" spans="1:17" x14ac:dyDescent="0.55000000000000004">
      <c r="A1670" t="s">
        <v>3896</v>
      </c>
      <c r="C1670" t="s">
        <v>28</v>
      </c>
      <c r="E1670" t="s">
        <v>29</v>
      </c>
      <c r="F1670" t="s">
        <v>30</v>
      </c>
      <c r="G1670" t="s">
        <v>31</v>
      </c>
      <c r="I1670" t="s">
        <v>203</v>
      </c>
      <c r="J1670" t="s">
        <v>204</v>
      </c>
      <c r="K1670" t="s">
        <v>35</v>
      </c>
      <c r="L1670" t="s">
        <v>30</v>
      </c>
      <c r="M1670" t="s">
        <v>31</v>
      </c>
      <c r="N1670" t="s">
        <v>36</v>
      </c>
      <c r="Q1670" s="4">
        <v>1</v>
      </c>
    </row>
    <row r="1671" spans="1:17" x14ac:dyDescent="0.55000000000000004">
      <c r="A1671" t="s">
        <v>3897</v>
      </c>
      <c r="C1671" t="s">
        <v>28</v>
      </c>
      <c r="E1671" t="s">
        <v>29</v>
      </c>
      <c r="F1671" t="s">
        <v>30</v>
      </c>
      <c r="G1671" t="s">
        <v>31</v>
      </c>
      <c r="I1671" t="s">
        <v>208</v>
      </c>
      <c r="J1671" t="s">
        <v>209</v>
      </c>
      <c r="K1671" t="s">
        <v>35</v>
      </c>
      <c r="L1671" t="s">
        <v>30</v>
      </c>
      <c r="M1671" t="s">
        <v>31</v>
      </c>
      <c r="N1671" t="s">
        <v>36</v>
      </c>
      <c r="Q1671" s="4">
        <v>1</v>
      </c>
    </row>
    <row r="1672" spans="1:17" x14ac:dyDescent="0.55000000000000004">
      <c r="A1672" t="s">
        <v>3898</v>
      </c>
      <c r="C1672" t="s">
        <v>28</v>
      </c>
      <c r="E1672" t="s">
        <v>29</v>
      </c>
      <c r="F1672" t="s">
        <v>30</v>
      </c>
      <c r="G1672" t="s">
        <v>31</v>
      </c>
      <c r="I1672" t="s">
        <v>213</v>
      </c>
      <c r="J1672" t="s">
        <v>214</v>
      </c>
      <c r="K1672" t="s">
        <v>35</v>
      </c>
      <c r="L1672" t="s">
        <v>30</v>
      </c>
      <c r="M1672" t="s">
        <v>31</v>
      </c>
      <c r="N1672" t="s">
        <v>36</v>
      </c>
      <c r="Q1672" s="4">
        <v>1</v>
      </c>
    </row>
    <row r="1673" spans="1:17" x14ac:dyDescent="0.55000000000000004">
      <c r="A1673" t="s">
        <v>3899</v>
      </c>
      <c r="C1673" t="s">
        <v>28</v>
      </c>
      <c r="E1673" t="s">
        <v>29</v>
      </c>
      <c r="F1673" t="s">
        <v>30</v>
      </c>
      <c r="G1673" t="s">
        <v>31</v>
      </c>
      <c r="I1673" t="s">
        <v>218</v>
      </c>
      <c r="J1673" t="s">
        <v>219</v>
      </c>
      <c r="K1673" t="s">
        <v>35</v>
      </c>
      <c r="L1673" t="s">
        <v>30</v>
      </c>
      <c r="M1673" t="s">
        <v>31</v>
      </c>
      <c r="N1673" t="s">
        <v>36</v>
      </c>
      <c r="Q1673" s="4">
        <v>1</v>
      </c>
    </row>
    <row r="1674" spans="1:17" x14ac:dyDescent="0.55000000000000004">
      <c r="A1674" t="s">
        <v>3900</v>
      </c>
      <c r="C1674" t="s">
        <v>28</v>
      </c>
      <c r="E1674" t="s">
        <v>29</v>
      </c>
      <c r="F1674" t="s">
        <v>30</v>
      </c>
      <c r="G1674" t="s">
        <v>31</v>
      </c>
      <c r="I1674" t="s">
        <v>223</v>
      </c>
      <c r="J1674" t="s">
        <v>224</v>
      </c>
      <c r="K1674" t="s">
        <v>35</v>
      </c>
      <c r="L1674" t="s">
        <v>30</v>
      </c>
      <c r="M1674" t="s">
        <v>31</v>
      </c>
      <c r="N1674" t="s">
        <v>36</v>
      </c>
      <c r="Q1674" s="4">
        <v>1</v>
      </c>
    </row>
    <row r="1675" spans="1:17" x14ac:dyDescent="0.55000000000000004">
      <c r="A1675" t="s">
        <v>4891</v>
      </c>
      <c r="C1675" t="s">
        <v>28</v>
      </c>
      <c r="E1675" t="s">
        <v>29</v>
      </c>
      <c r="F1675" t="s">
        <v>30</v>
      </c>
      <c r="G1675" t="s">
        <v>31</v>
      </c>
      <c r="I1675" t="s">
        <v>228</v>
      </c>
      <c r="J1675" t="s">
        <v>229</v>
      </c>
      <c r="K1675" t="s">
        <v>35</v>
      </c>
      <c r="L1675" t="s">
        <v>30</v>
      </c>
      <c r="M1675" t="s">
        <v>31</v>
      </c>
      <c r="N1675" t="s">
        <v>36</v>
      </c>
      <c r="Q1675" s="4">
        <v>1</v>
      </c>
    </row>
    <row r="1676" spans="1:17" x14ac:dyDescent="0.55000000000000004">
      <c r="A1676" t="s">
        <v>4892</v>
      </c>
      <c r="C1676" t="s">
        <v>28</v>
      </c>
      <c r="E1676" t="s">
        <v>29</v>
      </c>
      <c r="F1676" t="s">
        <v>30</v>
      </c>
      <c r="G1676" t="s">
        <v>31</v>
      </c>
      <c r="I1676" t="s">
        <v>233</v>
      </c>
      <c r="J1676" t="s">
        <v>234</v>
      </c>
      <c r="K1676" t="s">
        <v>35</v>
      </c>
      <c r="L1676" t="s">
        <v>30</v>
      </c>
      <c r="M1676" t="s">
        <v>31</v>
      </c>
      <c r="N1676" t="s">
        <v>36</v>
      </c>
      <c r="Q1676" s="4">
        <v>1</v>
      </c>
    </row>
    <row r="1677" spans="1:17" x14ac:dyDescent="0.55000000000000004">
      <c r="A1677" t="s">
        <v>4893</v>
      </c>
      <c r="C1677" t="s">
        <v>28</v>
      </c>
      <c r="E1677" t="s">
        <v>29</v>
      </c>
      <c r="F1677" t="s">
        <v>30</v>
      </c>
      <c r="G1677" t="s">
        <v>31</v>
      </c>
      <c r="I1677" t="s">
        <v>238</v>
      </c>
      <c r="J1677" t="s">
        <v>239</v>
      </c>
      <c r="K1677" t="s">
        <v>35</v>
      </c>
      <c r="L1677" t="s">
        <v>30</v>
      </c>
      <c r="M1677" t="s">
        <v>31</v>
      </c>
      <c r="N1677" t="s">
        <v>36</v>
      </c>
      <c r="Q1677" s="4">
        <v>1</v>
      </c>
    </row>
    <row r="1678" spans="1:17" x14ac:dyDescent="0.55000000000000004">
      <c r="A1678" t="s">
        <v>4894</v>
      </c>
      <c r="C1678" t="s">
        <v>28</v>
      </c>
      <c r="E1678" t="s">
        <v>29</v>
      </c>
      <c r="F1678" t="s">
        <v>30</v>
      </c>
      <c r="G1678" t="s">
        <v>31</v>
      </c>
      <c r="I1678" t="s">
        <v>243</v>
      </c>
      <c r="J1678" t="s">
        <v>244</v>
      </c>
      <c r="K1678" t="s">
        <v>35</v>
      </c>
      <c r="L1678" t="s">
        <v>30</v>
      </c>
      <c r="M1678" t="s">
        <v>31</v>
      </c>
      <c r="N1678" t="s">
        <v>36</v>
      </c>
      <c r="Q1678" s="4">
        <v>1</v>
      </c>
    </row>
    <row r="1679" spans="1:17" x14ac:dyDescent="0.55000000000000004">
      <c r="A1679" t="s">
        <v>4895</v>
      </c>
      <c r="C1679" t="s">
        <v>28</v>
      </c>
      <c r="E1679" t="s">
        <v>29</v>
      </c>
      <c r="F1679" t="s">
        <v>30</v>
      </c>
      <c r="G1679" t="s">
        <v>31</v>
      </c>
      <c r="I1679" t="s">
        <v>248</v>
      </c>
      <c r="J1679" t="s">
        <v>249</v>
      </c>
      <c r="K1679" t="s">
        <v>35</v>
      </c>
      <c r="L1679" t="s">
        <v>30</v>
      </c>
      <c r="M1679" t="s">
        <v>31</v>
      </c>
      <c r="N1679" t="s">
        <v>36</v>
      </c>
      <c r="Q1679" s="4">
        <v>1</v>
      </c>
    </row>
    <row r="1680" spans="1:17" x14ac:dyDescent="0.55000000000000004">
      <c r="A1680" t="s">
        <v>4896</v>
      </c>
      <c r="C1680" t="s">
        <v>28</v>
      </c>
      <c r="E1680" t="s">
        <v>29</v>
      </c>
      <c r="F1680" t="s">
        <v>30</v>
      </c>
      <c r="G1680" t="s">
        <v>31</v>
      </c>
      <c r="I1680" t="s">
        <v>253</v>
      </c>
      <c r="J1680" t="s">
        <v>254</v>
      </c>
      <c r="K1680" t="s">
        <v>35</v>
      </c>
      <c r="L1680" t="s">
        <v>30</v>
      </c>
      <c r="M1680" t="s">
        <v>31</v>
      </c>
      <c r="N1680" t="s">
        <v>36</v>
      </c>
      <c r="Q1680" s="4">
        <v>1</v>
      </c>
    </row>
    <row r="1681" spans="1:17" x14ac:dyDescent="0.55000000000000004">
      <c r="A1681" t="s">
        <v>4897</v>
      </c>
      <c r="C1681" t="s">
        <v>28</v>
      </c>
      <c r="E1681" t="s">
        <v>29</v>
      </c>
      <c r="F1681" t="s">
        <v>30</v>
      </c>
      <c r="G1681" t="s">
        <v>31</v>
      </c>
      <c r="I1681" t="s">
        <v>258</v>
      </c>
      <c r="J1681" t="s">
        <v>259</v>
      </c>
      <c r="K1681" t="s">
        <v>35</v>
      </c>
      <c r="L1681" t="s">
        <v>30</v>
      </c>
      <c r="M1681" t="s">
        <v>31</v>
      </c>
      <c r="N1681" t="s">
        <v>36</v>
      </c>
      <c r="Q1681" s="4">
        <v>1</v>
      </c>
    </row>
    <row r="1682" spans="1:17" x14ac:dyDescent="0.55000000000000004">
      <c r="A1682" t="s">
        <v>4898</v>
      </c>
      <c r="C1682" t="s">
        <v>28</v>
      </c>
      <c r="E1682" t="s">
        <v>29</v>
      </c>
      <c r="F1682" t="s">
        <v>30</v>
      </c>
      <c r="G1682" t="s">
        <v>31</v>
      </c>
      <c r="I1682" t="s">
        <v>263</v>
      </c>
      <c r="J1682" t="s">
        <v>264</v>
      </c>
      <c r="K1682" t="s">
        <v>35</v>
      </c>
      <c r="L1682" t="s">
        <v>30</v>
      </c>
      <c r="M1682" t="s">
        <v>31</v>
      </c>
      <c r="N1682" t="s">
        <v>36</v>
      </c>
      <c r="Q1682" s="4">
        <v>1</v>
      </c>
    </row>
    <row r="1683" spans="1:17" x14ac:dyDescent="0.55000000000000004">
      <c r="A1683" t="s">
        <v>4899</v>
      </c>
      <c r="C1683" t="s">
        <v>28</v>
      </c>
      <c r="E1683" t="s">
        <v>29</v>
      </c>
      <c r="F1683" t="s">
        <v>30</v>
      </c>
      <c r="G1683" t="s">
        <v>31</v>
      </c>
      <c r="I1683" t="s">
        <v>268</v>
      </c>
      <c r="J1683" t="s">
        <v>269</v>
      </c>
      <c r="K1683" t="s">
        <v>35</v>
      </c>
      <c r="L1683" t="s">
        <v>30</v>
      </c>
      <c r="M1683" t="s">
        <v>31</v>
      </c>
      <c r="N1683" t="s">
        <v>36</v>
      </c>
      <c r="Q1683" s="4">
        <v>1</v>
      </c>
    </row>
    <row r="1684" spans="1:17" x14ac:dyDescent="0.55000000000000004">
      <c r="A1684" t="s">
        <v>4900</v>
      </c>
      <c r="C1684" t="s">
        <v>28</v>
      </c>
      <c r="E1684" t="s">
        <v>29</v>
      </c>
      <c r="F1684" t="s">
        <v>30</v>
      </c>
      <c r="G1684" t="s">
        <v>31</v>
      </c>
      <c r="I1684" t="s">
        <v>273</v>
      </c>
      <c r="J1684" t="s">
        <v>274</v>
      </c>
      <c r="K1684" t="s">
        <v>35</v>
      </c>
      <c r="L1684" t="s">
        <v>30</v>
      </c>
      <c r="M1684" t="s">
        <v>31</v>
      </c>
      <c r="N1684" t="s">
        <v>36</v>
      </c>
      <c r="Q1684" s="4">
        <v>1</v>
      </c>
    </row>
    <row r="1685" spans="1:17" x14ac:dyDescent="0.55000000000000004">
      <c r="A1685" t="s">
        <v>4901</v>
      </c>
      <c r="C1685" t="s">
        <v>28</v>
      </c>
      <c r="E1685" t="s">
        <v>29</v>
      </c>
      <c r="F1685" t="s">
        <v>30</v>
      </c>
      <c r="G1685" t="s">
        <v>31</v>
      </c>
      <c r="I1685" t="s">
        <v>278</v>
      </c>
      <c r="J1685" t="s">
        <v>279</v>
      </c>
      <c r="K1685" t="s">
        <v>35</v>
      </c>
      <c r="L1685" t="s">
        <v>30</v>
      </c>
      <c r="M1685" t="s">
        <v>31</v>
      </c>
      <c r="N1685" t="s">
        <v>36</v>
      </c>
      <c r="Q1685" s="4">
        <v>1</v>
      </c>
    </row>
    <row r="1686" spans="1:17" x14ac:dyDescent="0.55000000000000004">
      <c r="A1686" t="s">
        <v>4902</v>
      </c>
      <c r="C1686" t="s">
        <v>28</v>
      </c>
      <c r="E1686" t="s">
        <v>29</v>
      </c>
      <c r="F1686" t="s">
        <v>30</v>
      </c>
      <c r="G1686" t="s">
        <v>31</v>
      </c>
      <c r="I1686" t="s">
        <v>283</v>
      </c>
      <c r="J1686" t="s">
        <v>284</v>
      </c>
      <c r="K1686" t="s">
        <v>35</v>
      </c>
      <c r="L1686" t="s">
        <v>30</v>
      </c>
      <c r="M1686" t="s">
        <v>31</v>
      </c>
      <c r="N1686" t="s">
        <v>36</v>
      </c>
      <c r="Q1686" s="4">
        <v>1</v>
      </c>
    </row>
    <row r="1687" spans="1:17" x14ac:dyDescent="0.55000000000000004">
      <c r="A1687" t="s">
        <v>4903</v>
      </c>
      <c r="C1687" t="s">
        <v>28</v>
      </c>
      <c r="E1687" t="s">
        <v>29</v>
      </c>
      <c r="F1687" t="s">
        <v>30</v>
      </c>
      <c r="G1687" t="s">
        <v>31</v>
      </c>
      <c r="I1687" t="s">
        <v>288</v>
      </c>
      <c r="J1687" t="s">
        <v>289</v>
      </c>
      <c r="K1687" t="s">
        <v>35</v>
      </c>
      <c r="L1687" t="s">
        <v>30</v>
      </c>
      <c r="M1687" t="s">
        <v>31</v>
      </c>
      <c r="N1687" t="s">
        <v>36</v>
      </c>
      <c r="Q1687" s="4">
        <v>1</v>
      </c>
    </row>
    <row r="1688" spans="1:17" x14ac:dyDescent="0.55000000000000004">
      <c r="A1688" t="s">
        <v>4904</v>
      </c>
      <c r="C1688" t="s">
        <v>28</v>
      </c>
      <c r="E1688" t="s">
        <v>29</v>
      </c>
      <c r="F1688" t="s">
        <v>30</v>
      </c>
      <c r="G1688" t="s">
        <v>31</v>
      </c>
      <c r="I1688" t="s">
        <v>293</v>
      </c>
      <c r="J1688" t="s">
        <v>294</v>
      </c>
      <c r="K1688" t="s">
        <v>35</v>
      </c>
      <c r="L1688" t="s">
        <v>30</v>
      </c>
      <c r="M1688" t="s">
        <v>31</v>
      </c>
      <c r="N1688" t="s">
        <v>36</v>
      </c>
      <c r="Q1688" s="4">
        <v>1</v>
      </c>
    </row>
    <row r="1689" spans="1:17" x14ac:dyDescent="0.55000000000000004">
      <c r="A1689" t="s">
        <v>4905</v>
      </c>
      <c r="C1689" t="s">
        <v>28</v>
      </c>
      <c r="E1689" t="s">
        <v>29</v>
      </c>
      <c r="F1689" t="s">
        <v>30</v>
      </c>
      <c r="G1689" t="s">
        <v>31</v>
      </c>
      <c r="I1689" t="s">
        <v>298</v>
      </c>
      <c r="J1689" t="s">
        <v>299</v>
      </c>
      <c r="K1689" t="s">
        <v>35</v>
      </c>
      <c r="L1689" t="s">
        <v>30</v>
      </c>
      <c r="M1689" t="s">
        <v>31</v>
      </c>
      <c r="N1689" t="s">
        <v>36</v>
      </c>
      <c r="Q1689" s="4">
        <v>1</v>
      </c>
    </row>
    <row r="1690" spans="1:17" x14ac:dyDescent="0.55000000000000004">
      <c r="A1690" t="s">
        <v>4906</v>
      </c>
      <c r="C1690" t="s">
        <v>28</v>
      </c>
      <c r="E1690" t="s">
        <v>29</v>
      </c>
      <c r="F1690" t="s">
        <v>30</v>
      </c>
      <c r="G1690" t="s">
        <v>31</v>
      </c>
      <c r="I1690" t="s">
        <v>303</v>
      </c>
      <c r="J1690" t="s">
        <v>304</v>
      </c>
      <c r="K1690" t="s">
        <v>35</v>
      </c>
      <c r="L1690" t="s">
        <v>30</v>
      </c>
      <c r="M1690" t="s">
        <v>31</v>
      </c>
      <c r="N1690" t="s">
        <v>36</v>
      </c>
      <c r="Q1690" s="4">
        <v>1</v>
      </c>
    </row>
    <row r="1691" spans="1:17" x14ac:dyDescent="0.55000000000000004">
      <c r="A1691" t="s">
        <v>4907</v>
      </c>
      <c r="C1691" t="s">
        <v>28</v>
      </c>
      <c r="E1691" t="s">
        <v>29</v>
      </c>
      <c r="F1691" t="s">
        <v>30</v>
      </c>
      <c r="G1691" t="s">
        <v>31</v>
      </c>
      <c r="I1691" t="s">
        <v>308</v>
      </c>
      <c r="J1691" t="s">
        <v>309</v>
      </c>
      <c r="K1691" t="s">
        <v>35</v>
      </c>
      <c r="L1691" t="s">
        <v>30</v>
      </c>
      <c r="M1691" t="s">
        <v>31</v>
      </c>
      <c r="N1691" t="s">
        <v>36</v>
      </c>
      <c r="Q1691" s="4">
        <v>1</v>
      </c>
    </row>
    <row r="1692" spans="1:17" x14ac:dyDescent="0.55000000000000004">
      <c r="A1692" t="s">
        <v>4908</v>
      </c>
      <c r="C1692" t="s">
        <v>28</v>
      </c>
      <c r="E1692" t="s">
        <v>29</v>
      </c>
      <c r="F1692" t="s">
        <v>30</v>
      </c>
      <c r="G1692" t="s">
        <v>31</v>
      </c>
      <c r="I1692" t="s">
        <v>313</v>
      </c>
      <c r="J1692" t="s">
        <v>314</v>
      </c>
      <c r="K1692" t="s">
        <v>35</v>
      </c>
      <c r="L1692" t="s">
        <v>30</v>
      </c>
      <c r="M1692" t="s">
        <v>31</v>
      </c>
      <c r="N1692" t="s">
        <v>36</v>
      </c>
      <c r="Q1692" s="4">
        <v>1</v>
      </c>
    </row>
    <row r="1693" spans="1:17" x14ac:dyDescent="0.55000000000000004">
      <c r="A1693" t="s">
        <v>4909</v>
      </c>
      <c r="C1693" t="s">
        <v>28</v>
      </c>
      <c r="E1693" t="s">
        <v>29</v>
      </c>
      <c r="F1693" t="s">
        <v>30</v>
      </c>
      <c r="G1693" t="s">
        <v>31</v>
      </c>
      <c r="I1693" t="s">
        <v>318</v>
      </c>
      <c r="J1693" t="s">
        <v>319</v>
      </c>
      <c r="K1693" t="s">
        <v>35</v>
      </c>
      <c r="L1693" t="s">
        <v>30</v>
      </c>
      <c r="M1693" t="s">
        <v>31</v>
      </c>
      <c r="N1693" t="s">
        <v>36</v>
      </c>
      <c r="Q1693" s="4">
        <v>1</v>
      </c>
    </row>
    <row r="1694" spans="1:17" x14ac:dyDescent="0.55000000000000004">
      <c r="A1694" t="s">
        <v>4910</v>
      </c>
      <c r="C1694" t="s">
        <v>28</v>
      </c>
      <c r="E1694" t="s">
        <v>29</v>
      </c>
      <c r="F1694" t="s">
        <v>30</v>
      </c>
      <c r="G1694" t="s">
        <v>31</v>
      </c>
      <c r="I1694" t="s">
        <v>323</v>
      </c>
      <c r="J1694" t="s">
        <v>324</v>
      </c>
      <c r="K1694" t="s">
        <v>35</v>
      </c>
      <c r="L1694" t="s">
        <v>30</v>
      </c>
      <c r="M1694" t="s">
        <v>31</v>
      </c>
      <c r="N1694" t="s">
        <v>36</v>
      </c>
      <c r="Q1694" s="4">
        <v>1</v>
      </c>
    </row>
    <row r="1695" spans="1:17" x14ac:dyDescent="0.55000000000000004">
      <c r="A1695" t="s">
        <v>4911</v>
      </c>
      <c r="C1695" t="s">
        <v>28</v>
      </c>
      <c r="E1695" t="s">
        <v>29</v>
      </c>
      <c r="F1695" t="s">
        <v>30</v>
      </c>
      <c r="G1695" t="s">
        <v>31</v>
      </c>
      <c r="I1695" t="s">
        <v>328</v>
      </c>
      <c r="J1695" t="s">
        <v>329</v>
      </c>
      <c r="K1695" t="s">
        <v>35</v>
      </c>
      <c r="L1695" t="s">
        <v>30</v>
      </c>
      <c r="M1695" t="s">
        <v>31</v>
      </c>
      <c r="N1695" t="s">
        <v>36</v>
      </c>
      <c r="Q1695" s="4">
        <v>1</v>
      </c>
    </row>
    <row r="1696" spans="1:17" x14ac:dyDescent="0.55000000000000004">
      <c r="A1696" t="s">
        <v>4912</v>
      </c>
      <c r="C1696" t="s">
        <v>28</v>
      </c>
      <c r="E1696" t="s">
        <v>29</v>
      </c>
      <c r="F1696" t="s">
        <v>30</v>
      </c>
      <c r="G1696" t="s">
        <v>31</v>
      </c>
      <c r="I1696" t="s">
        <v>333</v>
      </c>
      <c r="J1696" t="s">
        <v>334</v>
      </c>
      <c r="K1696" t="s">
        <v>35</v>
      </c>
      <c r="L1696" t="s">
        <v>30</v>
      </c>
      <c r="M1696" t="s">
        <v>31</v>
      </c>
      <c r="N1696" t="s">
        <v>36</v>
      </c>
      <c r="Q1696" s="4">
        <v>1</v>
      </c>
    </row>
    <row r="1697" spans="1:17" x14ac:dyDescent="0.55000000000000004">
      <c r="A1697" t="s">
        <v>4913</v>
      </c>
      <c r="C1697" t="s">
        <v>28</v>
      </c>
      <c r="E1697" t="s">
        <v>29</v>
      </c>
      <c r="F1697" t="s">
        <v>30</v>
      </c>
      <c r="G1697" t="s">
        <v>31</v>
      </c>
      <c r="I1697" t="s">
        <v>338</v>
      </c>
      <c r="J1697" t="s">
        <v>339</v>
      </c>
      <c r="K1697" t="s">
        <v>35</v>
      </c>
      <c r="L1697" t="s">
        <v>30</v>
      </c>
      <c r="M1697" t="s">
        <v>31</v>
      </c>
      <c r="N1697" t="s">
        <v>36</v>
      </c>
      <c r="Q1697" s="4">
        <v>1</v>
      </c>
    </row>
    <row r="1698" spans="1:17" x14ac:dyDescent="0.55000000000000004">
      <c r="A1698" t="s">
        <v>4914</v>
      </c>
      <c r="C1698" t="s">
        <v>28</v>
      </c>
      <c r="E1698" t="s">
        <v>29</v>
      </c>
      <c r="F1698" t="s">
        <v>30</v>
      </c>
      <c r="G1698" t="s">
        <v>31</v>
      </c>
      <c r="I1698" t="s">
        <v>343</v>
      </c>
      <c r="J1698" t="s">
        <v>344</v>
      </c>
      <c r="K1698" t="s">
        <v>35</v>
      </c>
      <c r="L1698" t="s">
        <v>30</v>
      </c>
      <c r="M1698" t="s">
        <v>31</v>
      </c>
      <c r="N1698" t="s">
        <v>36</v>
      </c>
      <c r="Q1698" s="4">
        <v>1</v>
      </c>
    </row>
    <row r="1699" spans="1:17" x14ac:dyDescent="0.55000000000000004">
      <c r="A1699" t="s">
        <v>4915</v>
      </c>
      <c r="C1699" t="s">
        <v>28</v>
      </c>
      <c r="E1699" t="s">
        <v>29</v>
      </c>
      <c r="F1699" t="s">
        <v>30</v>
      </c>
      <c r="G1699" t="s">
        <v>31</v>
      </c>
      <c r="I1699" t="s">
        <v>348</v>
      </c>
      <c r="J1699" t="s">
        <v>349</v>
      </c>
      <c r="K1699" t="s">
        <v>35</v>
      </c>
      <c r="L1699" t="s">
        <v>30</v>
      </c>
      <c r="M1699" t="s">
        <v>31</v>
      </c>
      <c r="N1699" t="s">
        <v>36</v>
      </c>
      <c r="Q1699" s="4">
        <v>1</v>
      </c>
    </row>
    <row r="1700" spans="1:17" x14ac:dyDescent="0.55000000000000004">
      <c r="A1700" t="s">
        <v>4916</v>
      </c>
      <c r="C1700" t="s">
        <v>28</v>
      </c>
      <c r="E1700" t="s">
        <v>29</v>
      </c>
      <c r="F1700" t="s">
        <v>30</v>
      </c>
      <c r="G1700" t="s">
        <v>31</v>
      </c>
      <c r="I1700" t="s">
        <v>353</v>
      </c>
      <c r="J1700" t="s">
        <v>354</v>
      </c>
      <c r="K1700" t="s">
        <v>35</v>
      </c>
      <c r="L1700" t="s">
        <v>30</v>
      </c>
      <c r="M1700" t="s">
        <v>31</v>
      </c>
      <c r="N1700" t="s">
        <v>36</v>
      </c>
      <c r="Q1700" s="4">
        <v>1</v>
      </c>
    </row>
    <row r="1701" spans="1:17" x14ac:dyDescent="0.55000000000000004">
      <c r="A1701" t="s">
        <v>4917</v>
      </c>
      <c r="C1701" t="s">
        <v>2667</v>
      </c>
      <c r="E1701" t="s">
        <v>29</v>
      </c>
      <c r="F1701" t="s">
        <v>30</v>
      </c>
      <c r="G1701" t="s">
        <v>31</v>
      </c>
      <c r="I1701" t="s">
        <v>2824</v>
      </c>
      <c r="J1701" t="s">
        <v>2825</v>
      </c>
      <c r="K1701" t="s">
        <v>35</v>
      </c>
      <c r="L1701" t="s">
        <v>30</v>
      </c>
      <c r="M1701" t="s">
        <v>31</v>
      </c>
      <c r="N1701" t="s">
        <v>36</v>
      </c>
      <c r="Q1701" s="4">
        <v>1</v>
      </c>
    </row>
    <row r="1702" spans="1:17" x14ac:dyDescent="0.55000000000000004">
      <c r="A1702" t="s">
        <v>4918</v>
      </c>
      <c r="C1702" t="s">
        <v>2667</v>
      </c>
      <c r="E1702" t="s">
        <v>29</v>
      </c>
      <c r="F1702" t="s">
        <v>30</v>
      </c>
      <c r="G1702" t="s">
        <v>31</v>
      </c>
      <c r="I1702" t="s">
        <v>2828</v>
      </c>
      <c r="J1702" t="s">
        <v>2829</v>
      </c>
      <c r="K1702" t="s">
        <v>35</v>
      </c>
      <c r="L1702" t="s">
        <v>30</v>
      </c>
      <c r="M1702" t="s">
        <v>31</v>
      </c>
      <c r="N1702" t="s">
        <v>36</v>
      </c>
      <c r="Q1702" s="4">
        <v>1</v>
      </c>
    </row>
    <row r="1703" spans="1:17" x14ac:dyDescent="0.55000000000000004">
      <c r="A1703" t="s">
        <v>4919</v>
      </c>
      <c r="C1703" t="s">
        <v>2667</v>
      </c>
      <c r="E1703" t="s">
        <v>29</v>
      </c>
      <c r="F1703" t="s">
        <v>30</v>
      </c>
      <c r="G1703" t="s">
        <v>31</v>
      </c>
      <c r="I1703" t="s">
        <v>2832</v>
      </c>
      <c r="J1703" t="s">
        <v>2833</v>
      </c>
      <c r="K1703" t="s">
        <v>35</v>
      </c>
      <c r="L1703" t="s">
        <v>30</v>
      </c>
      <c r="M1703" t="s">
        <v>31</v>
      </c>
      <c r="N1703" t="s">
        <v>36</v>
      </c>
      <c r="Q1703" s="4">
        <v>1</v>
      </c>
    </row>
    <row r="1704" spans="1:17" x14ac:dyDescent="0.55000000000000004">
      <c r="A1704" t="s">
        <v>4920</v>
      </c>
      <c r="C1704" t="s">
        <v>2667</v>
      </c>
      <c r="E1704" t="s">
        <v>29</v>
      </c>
      <c r="F1704" t="s">
        <v>30</v>
      </c>
      <c r="G1704" t="s">
        <v>31</v>
      </c>
      <c r="I1704" t="s">
        <v>2836</v>
      </c>
      <c r="J1704" t="s">
        <v>2837</v>
      </c>
      <c r="K1704" t="s">
        <v>35</v>
      </c>
      <c r="L1704" t="s">
        <v>30</v>
      </c>
      <c r="M1704" t="s">
        <v>31</v>
      </c>
      <c r="N1704" t="s">
        <v>36</v>
      </c>
      <c r="Q1704" s="4">
        <v>1</v>
      </c>
    </row>
    <row r="1705" spans="1:17" x14ac:dyDescent="0.55000000000000004">
      <c r="A1705" t="s">
        <v>4921</v>
      </c>
      <c r="C1705" t="s">
        <v>2667</v>
      </c>
      <c r="E1705" t="s">
        <v>29</v>
      </c>
      <c r="F1705" t="s">
        <v>30</v>
      </c>
      <c r="G1705" t="s">
        <v>31</v>
      </c>
      <c r="I1705" t="s">
        <v>2840</v>
      </c>
      <c r="J1705" t="s">
        <v>2841</v>
      </c>
      <c r="K1705" t="s">
        <v>35</v>
      </c>
      <c r="L1705" t="s">
        <v>30</v>
      </c>
      <c r="M1705" t="s">
        <v>31</v>
      </c>
      <c r="N1705" t="s">
        <v>36</v>
      </c>
      <c r="Q1705" s="4">
        <v>1</v>
      </c>
    </row>
    <row r="1706" spans="1:17" x14ac:dyDescent="0.55000000000000004">
      <c r="A1706" t="s">
        <v>4922</v>
      </c>
      <c r="C1706" t="s">
        <v>2667</v>
      </c>
      <c r="E1706" t="s">
        <v>29</v>
      </c>
      <c r="F1706" t="s">
        <v>30</v>
      </c>
      <c r="G1706" t="s">
        <v>31</v>
      </c>
      <c r="I1706" t="s">
        <v>2844</v>
      </c>
      <c r="J1706" t="s">
        <v>2845</v>
      </c>
      <c r="K1706" t="s">
        <v>35</v>
      </c>
      <c r="L1706" t="s">
        <v>30</v>
      </c>
      <c r="M1706" t="s">
        <v>31</v>
      </c>
      <c r="N1706" t="s">
        <v>36</v>
      </c>
      <c r="Q1706" s="4">
        <v>1</v>
      </c>
    </row>
    <row r="1707" spans="1:17" x14ac:dyDescent="0.55000000000000004">
      <c r="A1707" t="s">
        <v>4923</v>
      </c>
      <c r="C1707" t="s">
        <v>2667</v>
      </c>
      <c r="E1707" t="s">
        <v>29</v>
      </c>
      <c r="F1707" t="s">
        <v>30</v>
      </c>
      <c r="G1707" t="s">
        <v>31</v>
      </c>
      <c r="I1707" t="s">
        <v>2848</v>
      </c>
      <c r="J1707" t="s">
        <v>2849</v>
      </c>
      <c r="K1707" t="s">
        <v>35</v>
      </c>
      <c r="L1707" t="s">
        <v>30</v>
      </c>
      <c r="M1707" t="s">
        <v>31</v>
      </c>
      <c r="N1707" t="s">
        <v>36</v>
      </c>
      <c r="Q1707" s="4">
        <v>1</v>
      </c>
    </row>
    <row r="1708" spans="1:17" x14ac:dyDescent="0.55000000000000004">
      <c r="A1708" t="s">
        <v>4924</v>
      </c>
      <c r="C1708" t="s">
        <v>2667</v>
      </c>
      <c r="E1708" t="s">
        <v>29</v>
      </c>
      <c r="F1708" t="s">
        <v>30</v>
      </c>
      <c r="G1708" t="s">
        <v>31</v>
      </c>
      <c r="I1708" t="s">
        <v>2852</v>
      </c>
      <c r="J1708" t="s">
        <v>2853</v>
      </c>
      <c r="K1708" t="s">
        <v>35</v>
      </c>
      <c r="L1708" t="s">
        <v>30</v>
      </c>
      <c r="M1708" t="s">
        <v>31</v>
      </c>
      <c r="N1708" t="s">
        <v>36</v>
      </c>
      <c r="Q1708" s="4">
        <v>1</v>
      </c>
    </row>
    <row r="1709" spans="1:17" x14ac:dyDescent="0.55000000000000004">
      <c r="A1709" t="s">
        <v>4925</v>
      </c>
      <c r="C1709" t="s">
        <v>2667</v>
      </c>
      <c r="E1709" t="s">
        <v>29</v>
      </c>
      <c r="F1709" t="s">
        <v>30</v>
      </c>
      <c r="G1709" t="s">
        <v>31</v>
      </c>
      <c r="I1709" t="s">
        <v>2856</v>
      </c>
      <c r="J1709" t="s">
        <v>2857</v>
      </c>
      <c r="K1709" t="s">
        <v>35</v>
      </c>
      <c r="L1709" t="s">
        <v>30</v>
      </c>
      <c r="M1709" t="s">
        <v>31</v>
      </c>
      <c r="N1709" t="s">
        <v>36</v>
      </c>
      <c r="Q1709" s="4">
        <v>1</v>
      </c>
    </row>
    <row r="1710" spans="1:17" x14ac:dyDescent="0.55000000000000004">
      <c r="A1710" t="s">
        <v>4926</v>
      </c>
      <c r="C1710" t="s">
        <v>2667</v>
      </c>
      <c r="E1710" t="s">
        <v>29</v>
      </c>
      <c r="F1710" t="s">
        <v>30</v>
      </c>
      <c r="G1710" t="s">
        <v>31</v>
      </c>
      <c r="I1710" t="s">
        <v>2860</v>
      </c>
      <c r="J1710" t="s">
        <v>2861</v>
      </c>
      <c r="K1710" t="s">
        <v>35</v>
      </c>
      <c r="L1710" t="s">
        <v>30</v>
      </c>
      <c r="M1710" t="s">
        <v>31</v>
      </c>
      <c r="N1710" t="s">
        <v>36</v>
      </c>
      <c r="Q1710" s="4">
        <v>1</v>
      </c>
    </row>
    <row r="1711" spans="1:17" x14ac:dyDescent="0.55000000000000004">
      <c r="A1711" t="s">
        <v>4927</v>
      </c>
      <c r="C1711" t="s">
        <v>2667</v>
      </c>
      <c r="E1711" t="s">
        <v>29</v>
      </c>
      <c r="F1711" t="s">
        <v>30</v>
      </c>
      <c r="G1711" t="s">
        <v>31</v>
      </c>
      <c r="I1711" t="s">
        <v>2864</v>
      </c>
      <c r="J1711" t="s">
        <v>2865</v>
      </c>
      <c r="K1711" t="s">
        <v>35</v>
      </c>
      <c r="L1711" t="s">
        <v>30</v>
      </c>
      <c r="M1711" t="s">
        <v>31</v>
      </c>
      <c r="N1711" t="s">
        <v>36</v>
      </c>
      <c r="Q1711" s="4">
        <v>1</v>
      </c>
    </row>
    <row r="1712" spans="1:17" x14ac:dyDescent="0.55000000000000004">
      <c r="A1712" t="s">
        <v>4928</v>
      </c>
      <c r="C1712" t="s">
        <v>2667</v>
      </c>
      <c r="E1712" t="s">
        <v>29</v>
      </c>
      <c r="F1712" t="s">
        <v>30</v>
      </c>
      <c r="G1712" t="s">
        <v>31</v>
      </c>
      <c r="I1712" t="s">
        <v>2868</v>
      </c>
      <c r="J1712" t="s">
        <v>2869</v>
      </c>
      <c r="K1712" t="s">
        <v>35</v>
      </c>
      <c r="L1712" t="s">
        <v>30</v>
      </c>
      <c r="M1712" t="s">
        <v>31</v>
      </c>
      <c r="N1712" t="s">
        <v>36</v>
      </c>
      <c r="Q1712" s="4">
        <v>1</v>
      </c>
    </row>
    <row r="1713" spans="1:17" x14ac:dyDescent="0.55000000000000004">
      <c r="A1713" t="s">
        <v>4929</v>
      </c>
      <c r="C1713" t="s">
        <v>2667</v>
      </c>
      <c r="E1713" t="s">
        <v>29</v>
      </c>
      <c r="F1713" t="s">
        <v>30</v>
      </c>
      <c r="G1713" t="s">
        <v>31</v>
      </c>
      <c r="I1713" t="s">
        <v>2872</v>
      </c>
      <c r="J1713" t="s">
        <v>2873</v>
      </c>
      <c r="K1713" t="s">
        <v>35</v>
      </c>
      <c r="L1713" t="s">
        <v>30</v>
      </c>
      <c r="M1713" t="s">
        <v>31</v>
      </c>
      <c r="N1713" t="s">
        <v>36</v>
      </c>
      <c r="Q1713" s="4">
        <v>1</v>
      </c>
    </row>
    <row r="1714" spans="1:17" x14ac:dyDescent="0.55000000000000004">
      <c r="A1714" t="s">
        <v>4930</v>
      </c>
      <c r="C1714" t="s">
        <v>2667</v>
      </c>
      <c r="E1714" t="s">
        <v>29</v>
      </c>
      <c r="F1714" t="s">
        <v>30</v>
      </c>
      <c r="G1714" t="s">
        <v>31</v>
      </c>
      <c r="I1714" t="s">
        <v>2876</v>
      </c>
      <c r="J1714" t="s">
        <v>2877</v>
      </c>
      <c r="K1714" t="s">
        <v>35</v>
      </c>
      <c r="L1714" t="s">
        <v>30</v>
      </c>
      <c r="M1714" t="s">
        <v>31</v>
      </c>
      <c r="N1714" t="s">
        <v>36</v>
      </c>
      <c r="Q1714" s="4">
        <v>1</v>
      </c>
    </row>
    <row r="1715" spans="1:17" x14ac:dyDescent="0.55000000000000004">
      <c r="A1715" t="s">
        <v>4931</v>
      </c>
      <c r="C1715" t="s">
        <v>2667</v>
      </c>
      <c r="E1715" t="s">
        <v>29</v>
      </c>
      <c r="F1715" t="s">
        <v>30</v>
      </c>
      <c r="G1715" t="s">
        <v>31</v>
      </c>
      <c r="I1715" t="s">
        <v>2880</v>
      </c>
      <c r="J1715" t="s">
        <v>2881</v>
      </c>
      <c r="K1715" t="s">
        <v>35</v>
      </c>
      <c r="L1715" t="s">
        <v>30</v>
      </c>
      <c r="M1715" t="s">
        <v>31</v>
      </c>
      <c r="N1715" t="s">
        <v>36</v>
      </c>
      <c r="Q1715" s="4">
        <v>1</v>
      </c>
    </row>
    <row r="1716" spans="1:17" x14ac:dyDescent="0.55000000000000004">
      <c r="A1716" t="s">
        <v>4932</v>
      </c>
      <c r="C1716" t="s">
        <v>2667</v>
      </c>
      <c r="E1716" t="s">
        <v>29</v>
      </c>
      <c r="F1716" t="s">
        <v>30</v>
      </c>
      <c r="G1716" t="s">
        <v>31</v>
      </c>
      <c r="I1716" t="s">
        <v>2884</v>
      </c>
      <c r="J1716" t="s">
        <v>2885</v>
      </c>
      <c r="K1716" t="s">
        <v>35</v>
      </c>
      <c r="L1716" t="s">
        <v>30</v>
      </c>
      <c r="M1716" t="s">
        <v>31</v>
      </c>
      <c r="N1716" t="s">
        <v>36</v>
      </c>
      <c r="Q1716" s="4">
        <v>1</v>
      </c>
    </row>
    <row r="1717" spans="1:17" x14ac:dyDescent="0.55000000000000004">
      <c r="A1717" t="s">
        <v>4933</v>
      </c>
      <c r="C1717" t="s">
        <v>2667</v>
      </c>
      <c r="E1717" t="s">
        <v>29</v>
      </c>
      <c r="F1717" t="s">
        <v>30</v>
      </c>
      <c r="G1717" t="s">
        <v>31</v>
      </c>
      <c r="I1717" t="s">
        <v>2888</v>
      </c>
      <c r="J1717" t="s">
        <v>2889</v>
      </c>
      <c r="K1717" t="s">
        <v>35</v>
      </c>
      <c r="L1717" t="s">
        <v>30</v>
      </c>
      <c r="M1717" t="s">
        <v>31</v>
      </c>
      <c r="N1717" t="s">
        <v>36</v>
      </c>
      <c r="Q1717" s="4">
        <v>1</v>
      </c>
    </row>
    <row r="1718" spans="1:17" x14ac:dyDescent="0.55000000000000004">
      <c r="A1718" t="s">
        <v>4934</v>
      </c>
      <c r="C1718" t="s">
        <v>2667</v>
      </c>
      <c r="E1718" t="s">
        <v>29</v>
      </c>
      <c r="F1718" t="s">
        <v>30</v>
      </c>
      <c r="G1718" t="s">
        <v>31</v>
      </c>
      <c r="I1718" t="s">
        <v>2892</v>
      </c>
      <c r="J1718" t="s">
        <v>2893</v>
      </c>
      <c r="K1718" t="s">
        <v>35</v>
      </c>
      <c r="L1718" t="s">
        <v>30</v>
      </c>
      <c r="M1718" t="s">
        <v>31</v>
      </c>
      <c r="N1718" t="s">
        <v>36</v>
      </c>
      <c r="Q1718" s="4">
        <v>1</v>
      </c>
    </row>
    <row r="1719" spans="1:17" x14ac:dyDescent="0.55000000000000004">
      <c r="A1719" t="s">
        <v>4935</v>
      </c>
      <c r="C1719" t="s">
        <v>2667</v>
      </c>
      <c r="E1719" t="s">
        <v>29</v>
      </c>
      <c r="F1719" t="s">
        <v>30</v>
      </c>
      <c r="G1719" t="s">
        <v>31</v>
      </c>
      <c r="I1719" t="s">
        <v>2896</v>
      </c>
      <c r="J1719" t="s">
        <v>2897</v>
      </c>
      <c r="K1719" t="s">
        <v>35</v>
      </c>
      <c r="L1719" t="s">
        <v>30</v>
      </c>
      <c r="M1719" t="s">
        <v>31</v>
      </c>
      <c r="N1719" t="s">
        <v>36</v>
      </c>
      <c r="Q1719" s="4">
        <v>1</v>
      </c>
    </row>
    <row r="1720" spans="1:17" x14ac:dyDescent="0.55000000000000004">
      <c r="A1720" t="s">
        <v>4936</v>
      </c>
      <c r="C1720" t="s">
        <v>2667</v>
      </c>
      <c r="E1720" t="s">
        <v>29</v>
      </c>
      <c r="F1720" t="s">
        <v>30</v>
      </c>
      <c r="G1720" t="s">
        <v>31</v>
      </c>
      <c r="I1720" t="s">
        <v>2900</v>
      </c>
      <c r="J1720" t="s">
        <v>2901</v>
      </c>
      <c r="K1720" t="s">
        <v>35</v>
      </c>
      <c r="L1720" t="s">
        <v>30</v>
      </c>
      <c r="M1720" t="s">
        <v>31</v>
      </c>
      <c r="N1720" t="s">
        <v>36</v>
      </c>
      <c r="Q1720" s="4">
        <v>1</v>
      </c>
    </row>
    <row r="1721" spans="1:17" x14ac:dyDescent="0.55000000000000004">
      <c r="A1721" t="s">
        <v>4937</v>
      </c>
      <c r="C1721" t="s">
        <v>2667</v>
      </c>
      <c r="E1721" t="s">
        <v>29</v>
      </c>
      <c r="F1721" t="s">
        <v>30</v>
      </c>
      <c r="G1721" t="s">
        <v>31</v>
      </c>
      <c r="I1721" t="s">
        <v>2904</v>
      </c>
      <c r="J1721" t="s">
        <v>2905</v>
      </c>
      <c r="K1721" t="s">
        <v>35</v>
      </c>
      <c r="L1721" t="s">
        <v>30</v>
      </c>
      <c r="M1721" t="s">
        <v>31</v>
      </c>
      <c r="N1721" t="s">
        <v>36</v>
      </c>
      <c r="Q1721" s="4">
        <v>1</v>
      </c>
    </row>
    <row r="1722" spans="1:17" x14ac:dyDescent="0.55000000000000004">
      <c r="A1722" t="s">
        <v>4938</v>
      </c>
      <c r="C1722" t="s">
        <v>2667</v>
      </c>
      <c r="E1722" t="s">
        <v>29</v>
      </c>
      <c r="F1722" t="s">
        <v>30</v>
      </c>
      <c r="G1722" t="s">
        <v>31</v>
      </c>
      <c r="I1722" t="s">
        <v>2908</v>
      </c>
      <c r="J1722" t="s">
        <v>2909</v>
      </c>
      <c r="K1722" t="s">
        <v>35</v>
      </c>
      <c r="L1722" t="s">
        <v>30</v>
      </c>
      <c r="M1722" t="s">
        <v>31</v>
      </c>
      <c r="N1722" t="s">
        <v>36</v>
      </c>
      <c r="Q1722" s="4">
        <v>1</v>
      </c>
    </row>
    <row r="1723" spans="1:17" x14ac:dyDescent="0.55000000000000004">
      <c r="A1723" t="s">
        <v>4939</v>
      </c>
      <c r="C1723" t="s">
        <v>2667</v>
      </c>
      <c r="E1723" t="s">
        <v>29</v>
      </c>
      <c r="F1723" t="s">
        <v>30</v>
      </c>
      <c r="G1723" t="s">
        <v>31</v>
      </c>
      <c r="I1723" t="s">
        <v>2668</v>
      </c>
      <c r="J1723" t="s">
        <v>2669</v>
      </c>
      <c r="K1723" t="s">
        <v>35</v>
      </c>
      <c r="L1723" t="s">
        <v>30</v>
      </c>
      <c r="M1723" t="s">
        <v>31</v>
      </c>
      <c r="N1723" t="s">
        <v>36</v>
      </c>
      <c r="Q1723" s="4">
        <v>1</v>
      </c>
    </row>
    <row r="1724" spans="1:17" x14ac:dyDescent="0.55000000000000004">
      <c r="A1724" t="s">
        <v>4940</v>
      </c>
      <c r="C1724" t="s">
        <v>2667</v>
      </c>
      <c r="E1724" t="s">
        <v>29</v>
      </c>
      <c r="F1724" t="s">
        <v>30</v>
      </c>
      <c r="G1724" t="s">
        <v>31</v>
      </c>
      <c r="I1724" t="s">
        <v>2672</v>
      </c>
      <c r="J1724" t="s">
        <v>2673</v>
      </c>
      <c r="K1724" t="s">
        <v>35</v>
      </c>
      <c r="L1724" t="s">
        <v>30</v>
      </c>
      <c r="M1724" t="s">
        <v>31</v>
      </c>
      <c r="N1724" t="s">
        <v>36</v>
      </c>
      <c r="Q1724" s="4">
        <v>1</v>
      </c>
    </row>
    <row r="1725" spans="1:17" x14ac:dyDescent="0.55000000000000004">
      <c r="A1725" t="s">
        <v>4941</v>
      </c>
      <c r="C1725" t="s">
        <v>2667</v>
      </c>
      <c r="E1725" t="s">
        <v>29</v>
      </c>
      <c r="F1725" t="s">
        <v>30</v>
      </c>
      <c r="G1725" t="s">
        <v>31</v>
      </c>
      <c r="I1725" t="s">
        <v>2676</v>
      </c>
      <c r="J1725" t="s">
        <v>2677</v>
      </c>
      <c r="K1725" t="s">
        <v>35</v>
      </c>
      <c r="L1725" t="s">
        <v>30</v>
      </c>
      <c r="M1725" t="s">
        <v>31</v>
      </c>
      <c r="N1725" t="s">
        <v>36</v>
      </c>
      <c r="Q1725" s="4">
        <v>1</v>
      </c>
    </row>
    <row r="1726" spans="1:17" x14ac:dyDescent="0.55000000000000004">
      <c r="A1726" t="s">
        <v>4942</v>
      </c>
      <c r="C1726" t="s">
        <v>2667</v>
      </c>
      <c r="E1726" t="s">
        <v>29</v>
      </c>
      <c r="F1726" t="s">
        <v>30</v>
      </c>
      <c r="G1726" t="s">
        <v>31</v>
      </c>
      <c r="I1726" t="s">
        <v>2680</v>
      </c>
      <c r="J1726" t="s">
        <v>2681</v>
      </c>
      <c r="K1726" t="s">
        <v>35</v>
      </c>
      <c r="L1726" t="s">
        <v>30</v>
      </c>
      <c r="M1726" t="s">
        <v>31</v>
      </c>
      <c r="N1726" t="s">
        <v>36</v>
      </c>
      <c r="Q1726" s="4">
        <v>1</v>
      </c>
    </row>
    <row r="1727" spans="1:17" x14ac:dyDescent="0.55000000000000004">
      <c r="A1727" t="s">
        <v>4943</v>
      </c>
      <c r="C1727" t="s">
        <v>2667</v>
      </c>
      <c r="E1727" t="s">
        <v>29</v>
      </c>
      <c r="F1727" t="s">
        <v>30</v>
      </c>
      <c r="G1727" t="s">
        <v>31</v>
      </c>
      <c r="I1727" t="s">
        <v>2684</v>
      </c>
      <c r="J1727" t="s">
        <v>2685</v>
      </c>
      <c r="K1727" t="s">
        <v>35</v>
      </c>
      <c r="L1727" t="s">
        <v>30</v>
      </c>
      <c r="M1727" t="s">
        <v>31</v>
      </c>
      <c r="N1727" t="s">
        <v>36</v>
      </c>
      <c r="Q1727" s="4">
        <v>1</v>
      </c>
    </row>
    <row r="1728" spans="1:17" x14ac:dyDescent="0.55000000000000004">
      <c r="A1728" t="s">
        <v>4944</v>
      </c>
      <c r="C1728" t="s">
        <v>2667</v>
      </c>
      <c r="E1728" t="s">
        <v>29</v>
      </c>
      <c r="F1728" t="s">
        <v>30</v>
      </c>
      <c r="G1728" t="s">
        <v>31</v>
      </c>
      <c r="I1728" t="s">
        <v>2688</v>
      </c>
      <c r="J1728" t="s">
        <v>2689</v>
      </c>
      <c r="K1728" t="s">
        <v>35</v>
      </c>
      <c r="L1728" t="s">
        <v>30</v>
      </c>
      <c r="M1728" t="s">
        <v>31</v>
      </c>
      <c r="N1728" t="s">
        <v>36</v>
      </c>
      <c r="Q1728" s="4">
        <v>1</v>
      </c>
    </row>
    <row r="1729" spans="1:17" x14ac:dyDescent="0.55000000000000004">
      <c r="A1729" t="s">
        <v>4945</v>
      </c>
      <c r="C1729" t="s">
        <v>2667</v>
      </c>
      <c r="E1729" t="s">
        <v>29</v>
      </c>
      <c r="F1729" t="s">
        <v>30</v>
      </c>
      <c r="G1729" t="s">
        <v>31</v>
      </c>
      <c r="I1729" t="s">
        <v>2692</v>
      </c>
      <c r="J1729" t="s">
        <v>2693</v>
      </c>
      <c r="K1729" t="s">
        <v>35</v>
      </c>
      <c r="L1729" t="s">
        <v>30</v>
      </c>
      <c r="M1729" t="s">
        <v>31</v>
      </c>
      <c r="N1729" t="s">
        <v>36</v>
      </c>
      <c r="Q1729" s="4">
        <v>1</v>
      </c>
    </row>
    <row r="1730" spans="1:17" x14ac:dyDescent="0.55000000000000004">
      <c r="A1730" t="s">
        <v>4946</v>
      </c>
      <c r="C1730" t="s">
        <v>2667</v>
      </c>
      <c r="E1730" t="s">
        <v>29</v>
      </c>
      <c r="F1730" t="s">
        <v>30</v>
      </c>
      <c r="G1730" t="s">
        <v>31</v>
      </c>
      <c r="I1730" t="s">
        <v>2696</v>
      </c>
      <c r="J1730" t="s">
        <v>2697</v>
      </c>
      <c r="K1730" t="s">
        <v>35</v>
      </c>
      <c r="L1730" t="s">
        <v>30</v>
      </c>
      <c r="M1730" t="s">
        <v>31</v>
      </c>
      <c r="N1730" t="s">
        <v>36</v>
      </c>
      <c r="Q1730" s="4">
        <v>1</v>
      </c>
    </row>
    <row r="1731" spans="1:17" x14ac:dyDescent="0.55000000000000004">
      <c r="A1731" t="s">
        <v>4947</v>
      </c>
      <c r="C1731" t="s">
        <v>2667</v>
      </c>
      <c r="E1731" t="s">
        <v>29</v>
      </c>
      <c r="F1731" t="s">
        <v>30</v>
      </c>
      <c r="G1731" t="s">
        <v>31</v>
      </c>
      <c r="I1731" t="s">
        <v>2700</v>
      </c>
      <c r="J1731" t="s">
        <v>2701</v>
      </c>
      <c r="K1731" t="s">
        <v>35</v>
      </c>
      <c r="L1731" t="s">
        <v>30</v>
      </c>
      <c r="M1731" t="s">
        <v>31</v>
      </c>
      <c r="N1731" t="s">
        <v>36</v>
      </c>
      <c r="Q1731" s="4">
        <v>1</v>
      </c>
    </row>
    <row r="1732" spans="1:17" x14ac:dyDescent="0.55000000000000004">
      <c r="A1732" t="s">
        <v>4948</v>
      </c>
      <c r="C1732" t="s">
        <v>2667</v>
      </c>
      <c r="E1732" t="s">
        <v>29</v>
      </c>
      <c r="F1732" t="s">
        <v>30</v>
      </c>
      <c r="G1732" t="s">
        <v>31</v>
      </c>
      <c r="I1732" t="s">
        <v>2704</v>
      </c>
      <c r="J1732" t="s">
        <v>2705</v>
      </c>
      <c r="K1732" t="s">
        <v>35</v>
      </c>
      <c r="L1732" t="s">
        <v>30</v>
      </c>
      <c r="M1732" t="s">
        <v>31</v>
      </c>
      <c r="N1732" t="s">
        <v>36</v>
      </c>
      <c r="Q1732" s="4">
        <v>1</v>
      </c>
    </row>
    <row r="1733" spans="1:17" x14ac:dyDescent="0.55000000000000004">
      <c r="A1733" t="s">
        <v>4949</v>
      </c>
      <c r="C1733" t="s">
        <v>2667</v>
      </c>
      <c r="E1733" t="s">
        <v>29</v>
      </c>
      <c r="F1733" t="s">
        <v>30</v>
      </c>
      <c r="G1733" t="s">
        <v>31</v>
      </c>
      <c r="I1733" t="s">
        <v>2708</v>
      </c>
      <c r="J1733" t="s">
        <v>2709</v>
      </c>
      <c r="K1733" t="s">
        <v>35</v>
      </c>
      <c r="L1733" t="s">
        <v>30</v>
      </c>
      <c r="M1733" t="s">
        <v>31</v>
      </c>
      <c r="N1733" t="s">
        <v>36</v>
      </c>
      <c r="Q1733" s="4">
        <v>1</v>
      </c>
    </row>
    <row r="1734" spans="1:17" x14ac:dyDescent="0.55000000000000004">
      <c r="A1734" t="s">
        <v>4950</v>
      </c>
      <c r="C1734" t="s">
        <v>2667</v>
      </c>
      <c r="E1734" t="s">
        <v>29</v>
      </c>
      <c r="F1734" t="s">
        <v>30</v>
      </c>
      <c r="G1734" t="s">
        <v>31</v>
      </c>
      <c r="I1734" t="s">
        <v>2712</v>
      </c>
      <c r="J1734" t="s">
        <v>2713</v>
      </c>
      <c r="K1734" t="s">
        <v>35</v>
      </c>
      <c r="L1734" t="s">
        <v>30</v>
      </c>
      <c r="M1734" t="s">
        <v>31</v>
      </c>
      <c r="N1734" t="s">
        <v>36</v>
      </c>
      <c r="Q1734" s="4">
        <v>1</v>
      </c>
    </row>
    <row r="1735" spans="1:17" x14ac:dyDescent="0.55000000000000004">
      <c r="A1735" t="s">
        <v>4951</v>
      </c>
      <c r="C1735" t="s">
        <v>2667</v>
      </c>
      <c r="E1735" t="s">
        <v>29</v>
      </c>
      <c r="F1735" t="s">
        <v>30</v>
      </c>
      <c r="G1735" t="s">
        <v>31</v>
      </c>
      <c r="I1735" t="s">
        <v>2716</v>
      </c>
      <c r="J1735" t="s">
        <v>2717</v>
      </c>
      <c r="K1735" t="s">
        <v>35</v>
      </c>
      <c r="L1735" t="s">
        <v>30</v>
      </c>
      <c r="M1735" t="s">
        <v>31</v>
      </c>
      <c r="N1735" t="s">
        <v>36</v>
      </c>
      <c r="Q1735" s="4">
        <v>1</v>
      </c>
    </row>
    <row r="1736" spans="1:17" x14ac:dyDescent="0.55000000000000004">
      <c r="A1736" t="s">
        <v>4952</v>
      </c>
      <c r="C1736" t="s">
        <v>2667</v>
      </c>
      <c r="E1736" t="s">
        <v>29</v>
      </c>
      <c r="F1736" t="s">
        <v>30</v>
      </c>
      <c r="G1736" t="s">
        <v>31</v>
      </c>
      <c r="I1736" t="s">
        <v>2720</v>
      </c>
      <c r="J1736" t="s">
        <v>2721</v>
      </c>
      <c r="K1736" t="s">
        <v>35</v>
      </c>
      <c r="L1736" t="s">
        <v>30</v>
      </c>
      <c r="M1736" t="s">
        <v>31</v>
      </c>
      <c r="N1736" t="s">
        <v>36</v>
      </c>
      <c r="Q1736" s="4">
        <v>1</v>
      </c>
    </row>
    <row r="1737" spans="1:17" x14ac:dyDescent="0.55000000000000004">
      <c r="A1737" t="s">
        <v>4953</v>
      </c>
      <c r="C1737" t="s">
        <v>2667</v>
      </c>
      <c r="E1737" t="s">
        <v>29</v>
      </c>
      <c r="F1737" t="s">
        <v>30</v>
      </c>
      <c r="G1737" t="s">
        <v>31</v>
      </c>
      <c r="I1737" t="s">
        <v>2724</v>
      </c>
      <c r="J1737" t="s">
        <v>2725</v>
      </c>
      <c r="K1737" t="s">
        <v>35</v>
      </c>
      <c r="L1737" t="s">
        <v>30</v>
      </c>
      <c r="M1737" t="s">
        <v>31</v>
      </c>
      <c r="N1737" t="s">
        <v>36</v>
      </c>
      <c r="Q1737" s="4">
        <v>1</v>
      </c>
    </row>
    <row r="1738" spans="1:17" x14ac:dyDescent="0.55000000000000004">
      <c r="A1738" t="s">
        <v>4954</v>
      </c>
      <c r="C1738" t="s">
        <v>2667</v>
      </c>
      <c r="E1738" t="s">
        <v>29</v>
      </c>
      <c r="F1738" t="s">
        <v>30</v>
      </c>
      <c r="G1738" t="s">
        <v>31</v>
      </c>
      <c r="I1738" t="s">
        <v>2728</v>
      </c>
      <c r="J1738" t="s">
        <v>2729</v>
      </c>
      <c r="K1738" t="s">
        <v>35</v>
      </c>
      <c r="L1738" t="s">
        <v>30</v>
      </c>
      <c r="M1738" t="s">
        <v>31</v>
      </c>
      <c r="N1738" t="s">
        <v>36</v>
      </c>
      <c r="Q1738" s="4">
        <v>1</v>
      </c>
    </row>
    <row r="1739" spans="1:17" x14ac:dyDescent="0.55000000000000004">
      <c r="A1739" t="s">
        <v>4955</v>
      </c>
      <c r="C1739" t="s">
        <v>2667</v>
      </c>
      <c r="E1739" t="s">
        <v>29</v>
      </c>
      <c r="F1739" t="s">
        <v>30</v>
      </c>
      <c r="G1739" t="s">
        <v>31</v>
      </c>
      <c r="I1739" t="s">
        <v>2732</v>
      </c>
      <c r="J1739" t="s">
        <v>2733</v>
      </c>
      <c r="K1739" t="s">
        <v>35</v>
      </c>
      <c r="L1739" t="s">
        <v>30</v>
      </c>
      <c r="M1739" t="s">
        <v>31</v>
      </c>
      <c r="N1739" t="s">
        <v>36</v>
      </c>
      <c r="Q1739" s="4">
        <v>1</v>
      </c>
    </row>
    <row r="1740" spans="1:17" x14ac:dyDescent="0.55000000000000004">
      <c r="A1740" t="s">
        <v>4956</v>
      </c>
      <c r="C1740" t="s">
        <v>2667</v>
      </c>
      <c r="E1740" t="s">
        <v>29</v>
      </c>
      <c r="F1740" t="s">
        <v>30</v>
      </c>
      <c r="G1740" t="s">
        <v>31</v>
      </c>
      <c r="I1740" t="s">
        <v>2736</v>
      </c>
      <c r="J1740" t="s">
        <v>2737</v>
      </c>
      <c r="K1740" t="s">
        <v>35</v>
      </c>
      <c r="L1740" t="s">
        <v>30</v>
      </c>
      <c r="M1740" t="s">
        <v>31</v>
      </c>
      <c r="N1740" t="s">
        <v>36</v>
      </c>
      <c r="Q1740" s="4">
        <v>1</v>
      </c>
    </row>
    <row r="1741" spans="1:17" x14ac:dyDescent="0.55000000000000004">
      <c r="A1741" t="s">
        <v>4957</v>
      </c>
      <c r="C1741" t="s">
        <v>2667</v>
      </c>
      <c r="E1741" t="s">
        <v>29</v>
      </c>
      <c r="F1741" t="s">
        <v>30</v>
      </c>
      <c r="G1741" t="s">
        <v>31</v>
      </c>
      <c r="I1741" t="s">
        <v>2740</v>
      </c>
      <c r="J1741" t="s">
        <v>2741</v>
      </c>
      <c r="K1741" t="s">
        <v>35</v>
      </c>
      <c r="L1741" t="s">
        <v>30</v>
      </c>
      <c r="M1741" t="s">
        <v>31</v>
      </c>
      <c r="N1741" t="s">
        <v>36</v>
      </c>
      <c r="Q1741" s="4">
        <v>1</v>
      </c>
    </row>
    <row r="1742" spans="1:17" x14ac:dyDescent="0.55000000000000004">
      <c r="A1742" t="s">
        <v>4958</v>
      </c>
      <c r="C1742" t="s">
        <v>2667</v>
      </c>
      <c r="E1742" t="s">
        <v>29</v>
      </c>
      <c r="F1742" t="s">
        <v>30</v>
      </c>
      <c r="G1742" t="s">
        <v>31</v>
      </c>
      <c r="I1742" t="s">
        <v>2744</v>
      </c>
      <c r="J1742" t="s">
        <v>2745</v>
      </c>
      <c r="K1742" t="s">
        <v>35</v>
      </c>
      <c r="L1742" t="s">
        <v>30</v>
      </c>
      <c r="M1742" t="s">
        <v>31</v>
      </c>
      <c r="N1742" t="s">
        <v>36</v>
      </c>
      <c r="Q1742" s="4">
        <v>1</v>
      </c>
    </row>
    <row r="1743" spans="1:17" x14ac:dyDescent="0.55000000000000004">
      <c r="A1743" t="s">
        <v>4959</v>
      </c>
      <c r="C1743" t="s">
        <v>2667</v>
      </c>
      <c r="E1743" t="s">
        <v>29</v>
      </c>
      <c r="F1743" t="s">
        <v>30</v>
      </c>
      <c r="G1743" t="s">
        <v>31</v>
      </c>
      <c r="I1743" t="s">
        <v>2748</v>
      </c>
      <c r="J1743" t="s">
        <v>2749</v>
      </c>
      <c r="K1743" t="s">
        <v>35</v>
      </c>
      <c r="L1743" t="s">
        <v>30</v>
      </c>
      <c r="M1743" t="s">
        <v>31</v>
      </c>
      <c r="N1743" t="s">
        <v>36</v>
      </c>
      <c r="Q1743" s="4">
        <v>1</v>
      </c>
    </row>
    <row r="1744" spans="1:17" x14ac:dyDescent="0.55000000000000004">
      <c r="A1744" t="s">
        <v>4960</v>
      </c>
      <c r="C1744" t="s">
        <v>2667</v>
      </c>
      <c r="E1744" t="s">
        <v>29</v>
      </c>
      <c r="F1744" t="s">
        <v>30</v>
      </c>
      <c r="G1744" t="s">
        <v>31</v>
      </c>
      <c r="I1744" t="s">
        <v>2752</v>
      </c>
      <c r="J1744" t="s">
        <v>2753</v>
      </c>
      <c r="K1744" t="s">
        <v>35</v>
      </c>
      <c r="L1744" t="s">
        <v>30</v>
      </c>
      <c r="M1744" t="s">
        <v>31</v>
      </c>
      <c r="N1744" t="s">
        <v>36</v>
      </c>
      <c r="Q1744" s="4">
        <v>1</v>
      </c>
    </row>
    <row r="1745" spans="1:17" x14ac:dyDescent="0.55000000000000004">
      <c r="A1745" t="s">
        <v>4961</v>
      </c>
      <c r="C1745" t="s">
        <v>2667</v>
      </c>
      <c r="E1745" t="s">
        <v>29</v>
      </c>
      <c r="F1745" t="s">
        <v>30</v>
      </c>
      <c r="G1745" t="s">
        <v>31</v>
      </c>
      <c r="I1745" t="s">
        <v>2756</v>
      </c>
      <c r="J1745" t="s">
        <v>2757</v>
      </c>
      <c r="K1745" t="s">
        <v>35</v>
      </c>
      <c r="L1745" t="s">
        <v>30</v>
      </c>
      <c r="M1745" t="s">
        <v>31</v>
      </c>
      <c r="N1745" t="s">
        <v>36</v>
      </c>
      <c r="Q1745" s="4">
        <v>1</v>
      </c>
    </row>
    <row r="1746" spans="1:17" x14ac:dyDescent="0.55000000000000004">
      <c r="A1746" t="s">
        <v>4962</v>
      </c>
      <c r="C1746" t="s">
        <v>2667</v>
      </c>
      <c r="E1746" t="s">
        <v>29</v>
      </c>
      <c r="F1746" t="s">
        <v>30</v>
      </c>
      <c r="G1746" t="s">
        <v>31</v>
      </c>
      <c r="I1746" t="s">
        <v>2760</v>
      </c>
      <c r="J1746" t="s">
        <v>2761</v>
      </c>
      <c r="K1746" t="s">
        <v>35</v>
      </c>
      <c r="L1746" t="s">
        <v>30</v>
      </c>
      <c r="M1746" t="s">
        <v>31</v>
      </c>
      <c r="N1746" t="s">
        <v>36</v>
      </c>
      <c r="Q1746" s="4">
        <v>1</v>
      </c>
    </row>
    <row r="1747" spans="1:17" x14ac:dyDescent="0.55000000000000004">
      <c r="A1747" t="s">
        <v>4963</v>
      </c>
      <c r="C1747" t="s">
        <v>2667</v>
      </c>
      <c r="E1747" t="s">
        <v>29</v>
      </c>
      <c r="F1747" t="s">
        <v>30</v>
      </c>
      <c r="G1747" t="s">
        <v>31</v>
      </c>
      <c r="I1747" t="s">
        <v>2764</v>
      </c>
      <c r="J1747" t="s">
        <v>2765</v>
      </c>
      <c r="K1747" t="s">
        <v>35</v>
      </c>
      <c r="L1747" t="s">
        <v>30</v>
      </c>
      <c r="M1747" t="s">
        <v>31</v>
      </c>
      <c r="N1747" t="s">
        <v>36</v>
      </c>
      <c r="Q1747" s="4">
        <v>1</v>
      </c>
    </row>
    <row r="1748" spans="1:17" x14ac:dyDescent="0.55000000000000004">
      <c r="A1748" t="s">
        <v>4964</v>
      </c>
      <c r="C1748" t="s">
        <v>2667</v>
      </c>
      <c r="E1748" t="s">
        <v>29</v>
      </c>
      <c r="F1748" t="s">
        <v>30</v>
      </c>
      <c r="G1748" t="s">
        <v>31</v>
      </c>
      <c r="I1748" t="s">
        <v>2768</v>
      </c>
      <c r="J1748" t="s">
        <v>2769</v>
      </c>
      <c r="K1748" t="s">
        <v>35</v>
      </c>
      <c r="L1748" t="s">
        <v>30</v>
      </c>
      <c r="M1748" t="s">
        <v>31</v>
      </c>
      <c r="N1748" t="s">
        <v>36</v>
      </c>
      <c r="Q1748" s="4">
        <v>1</v>
      </c>
    </row>
    <row r="1749" spans="1:17" x14ac:dyDescent="0.55000000000000004">
      <c r="A1749" t="s">
        <v>4965</v>
      </c>
      <c r="C1749" t="s">
        <v>2667</v>
      </c>
      <c r="E1749" t="s">
        <v>29</v>
      </c>
      <c r="F1749" t="s">
        <v>30</v>
      </c>
      <c r="G1749" t="s">
        <v>31</v>
      </c>
      <c r="I1749" t="s">
        <v>2772</v>
      </c>
      <c r="J1749" t="s">
        <v>2773</v>
      </c>
      <c r="K1749" t="s">
        <v>35</v>
      </c>
      <c r="L1749" t="s">
        <v>30</v>
      </c>
      <c r="M1749" t="s">
        <v>31</v>
      </c>
      <c r="N1749" t="s">
        <v>36</v>
      </c>
      <c r="Q1749" s="4">
        <v>1</v>
      </c>
    </row>
    <row r="1750" spans="1:17" x14ac:dyDescent="0.55000000000000004">
      <c r="A1750" t="s">
        <v>4966</v>
      </c>
      <c r="C1750" t="s">
        <v>2667</v>
      </c>
      <c r="E1750" t="s">
        <v>29</v>
      </c>
      <c r="F1750" t="s">
        <v>30</v>
      </c>
      <c r="G1750" t="s">
        <v>31</v>
      </c>
      <c r="I1750" t="s">
        <v>2776</v>
      </c>
      <c r="J1750" t="s">
        <v>2777</v>
      </c>
      <c r="K1750" t="s">
        <v>35</v>
      </c>
      <c r="L1750" t="s">
        <v>30</v>
      </c>
      <c r="M1750" t="s">
        <v>31</v>
      </c>
      <c r="N1750" t="s">
        <v>36</v>
      </c>
      <c r="Q1750" s="4">
        <v>1</v>
      </c>
    </row>
    <row r="1751" spans="1:17" x14ac:dyDescent="0.55000000000000004">
      <c r="A1751" t="s">
        <v>4967</v>
      </c>
      <c r="C1751" t="s">
        <v>2667</v>
      </c>
      <c r="E1751" t="s">
        <v>29</v>
      </c>
      <c r="F1751" t="s">
        <v>30</v>
      </c>
      <c r="G1751" t="s">
        <v>31</v>
      </c>
      <c r="I1751" t="s">
        <v>2780</v>
      </c>
      <c r="J1751" t="s">
        <v>2781</v>
      </c>
      <c r="K1751" t="s">
        <v>35</v>
      </c>
      <c r="L1751" t="s">
        <v>30</v>
      </c>
      <c r="M1751" t="s">
        <v>31</v>
      </c>
      <c r="N1751" t="s">
        <v>36</v>
      </c>
      <c r="Q1751" s="4">
        <v>1</v>
      </c>
    </row>
    <row r="1752" spans="1:17" x14ac:dyDescent="0.55000000000000004">
      <c r="A1752" t="s">
        <v>4968</v>
      </c>
      <c r="C1752" t="s">
        <v>2667</v>
      </c>
      <c r="E1752" t="s">
        <v>29</v>
      </c>
      <c r="F1752" t="s">
        <v>30</v>
      </c>
      <c r="G1752" t="s">
        <v>31</v>
      </c>
      <c r="I1752" t="s">
        <v>2784</v>
      </c>
      <c r="J1752" t="s">
        <v>2785</v>
      </c>
      <c r="K1752" t="s">
        <v>35</v>
      </c>
      <c r="L1752" t="s">
        <v>30</v>
      </c>
      <c r="M1752" t="s">
        <v>31</v>
      </c>
      <c r="N1752" t="s">
        <v>36</v>
      </c>
      <c r="Q1752" s="4">
        <v>1</v>
      </c>
    </row>
    <row r="1753" spans="1:17" x14ac:dyDescent="0.55000000000000004">
      <c r="A1753" t="s">
        <v>4969</v>
      </c>
      <c r="C1753" t="s">
        <v>2667</v>
      </c>
      <c r="E1753" t="s">
        <v>29</v>
      </c>
      <c r="F1753" t="s">
        <v>30</v>
      </c>
      <c r="G1753" t="s">
        <v>31</v>
      </c>
      <c r="I1753" t="s">
        <v>2788</v>
      </c>
      <c r="J1753" t="s">
        <v>2789</v>
      </c>
      <c r="K1753" t="s">
        <v>35</v>
      </c>
      <c r="L1753" t="s">
        <v>30</v>
      </c>
      <c r="M1753" t="s">
        <v>31</v>
      </c>
      <c r="N1753" t="s">
        <v>36</v>
      </c>
      <c r="Q1753" s="4">
        <v>1</v>
      </c>
    </row>
    <row r="1754" spans="1:17" x14ac:dyDescent="0.55000000000000004">
      <c r="A1754" t="s">
        <v>4970</v>
      </c>
      <c r="C1754" t="s">
        <v>2667</v>
      </c>
      <c r="E1754" t="s">
        <v>29</v>
      </c>
      <c r="F1754" t="s">
        <v>30</v>
      </c>
      <c r="G1754" t="s">
        <v>31</v>
      </c>
      <c r="I1754" t="s">
        <v>2792</v>
      </c>
      <c r="J1754" t="s">
        <v>2793</v>
      </c>
      <c r="K1754" t="s">
        <v>35</v>
      </c>
      <c r="L1754" t="s">
        <v>30</v>
      </c>
      <c r="M1754" t="s">
        <v>31</v>
      </c>
      <c r="N1754" t="s">
        <v>36</v>
      </c>
      <c r="Q1754" s="4">
        <v>1</v>
      </c>
    </row>
    <row r="1755" spans="1:17" x14ac:dyDescent="0.55000000000000004">
      <c r="A1755" t="s">
        <v>4971</v>
      </c>
      <c r="C1755" t="s">
        <v>2667</v>
      </c>
      <c r="E1755" t="s">
        <v>29</v>
      </c>
      <c r="F1755" t="s">
        <v>30</v>
      </c>
      <c r="G1755" t="s">
        <v>31</v>
      </c>
      <c r="I1755" t="s">
        <v>2796</v>
      </c>
      <c r="J1755" t="s">
        <v>2797</v>
      </c>
      <c r="K1755" t="s">
        <v>35</v>
      </c>
      <c r="L1755" t="s">
        <v>30</v>
      </c>
      <c r="M1755" t="s">
        <v>31</v>
      </c>
      <c r="N1755" t="s">
        <v>36</v>
      </c>
      <c r="Q1755" s="4">
        <v>1</v>
      </c>
    </row>
    <row r="1756" spans="1:17" x14ac:dyDescent="0.55000000000000004">
      <c r="A1756" t="s">
        <v>4972</v>
      </c>
      <c r="C1756" t="s">
        <v>2667</v>
      </c>
      <c r="E1756" t="s">
        <v>29</v>
      </c>
      <c r="F1756" t="s">
        <v>30</v>
      </c>
      <c r="G1756" t="s">
        <v>31</v>
      </c>
      <c r="I1756" t="s">
        <v>2800</v>
      </c>
      <c r="J1756" t="s">
        <v>2801</v>
      </c>
      <c r="K1756" t="s">
        <v>35</v>
      </c>
      <c r="L1756" t="s">
        <v>30</v>
      </c>
      <c r="M1756" t="s">
        <v>31</v>
      </c>
      <c r="N1756" t="s">
        <v>36</v>
      </c>
      <c r="Q1756" s="4">
        <v>1</v>
      </c>
    </row>
    <row r="1757" spans="1:17" x14ac:dyDescent="0.55000000000000004">
      <c r="A1757" t="s">
        <v>4973</v>
      </c>
      <c r="C1757" t="s">
        <v>2667</v>
      </c>
      <c r="E1757" t="s">
        <v>29</v>
      </c>
      <c r="F1757" t="s">
        <v>30</v>
      </c>
      <c r="G1757" t="s">
        <v>31</v>
      </c>
      <c r="I1757" t="s">
        <v>2804</v>
      </c>
      <c r="J1757" t="s">
        <v>2805</v>
      </c>
      <c r="K1757" t="s">
        <v>35</v>
      </c>
      <c r="L1757" t="s">
        <v>30</v>
      </c>
      <c r="M1757" t="s">
        <v>31</v>
      </c>
      <c r="N1757" t="s">
        <v>36</v>
      </c>
      <c r="Q1757" s="4">
        <v>1</v>
      </c>
    </row>
    <row r="1758" spans="1:17" x14ac:dyDescent="0.55000000000000004">
      <c r="A1758" t="s">
        <v>4974</v>
      </c>
      <c r="C1758" t="s">
        <v>2667</v>
      </c>
      <c r="E1758" t="s">
        <v>29</v>
      </c>
      <c r="F1758" t="s">
        <v>30</v>
      </c>
      <c r="G1758" t="s">
        <v>31</v>
      </c>
      <c r="I1758" t="s">
        <v>2808</v>
      </c>
      <c r="J1758" t="s">
        <v>2809</v>
      </c>
      <c r="K1758" t="s">
        <v>35</v>
      </c>
      <c r="L1758" t="s">
        <v>30</v>
      </c>
      <c r="M1758" t="s">
        <v>31</v>
      </c>
      <c r="N1758" t="s">
        <v>36</v>
      </c>
      <c r="Q1758" s="4">
        <v>1</v>
      </c>
    </row>
    <row r="1759" spans="1:17" x14ac:dyDescent="0.55000000000000004">
      <c r="A1759" t="s">
        <v>4975</v>
      </c>
      <c r="C1759" t="s">
        <v>2667</v>
      </c>
      <c r="E1759" t="s">
        <v>29</v>
      </c>
      <c r="F1759" t="s">
        <v>30</v>
      </c>
      <c r="G1759" t="s">
        <v>31</v>
      </c>
      <c r="I1759" t="s">
        <v>2812</v>
      </c>
      <c r="J1759" t="s">
        <v>2813</v>
      </c>
      <c r="K1759" t="s">
        <v>35</v>
      </c>
      <c r="L1759" t="s">
        <v>30</v>
      </c>
      <c r="M1759" t="s">
        <v>31</v>
      </c>
      <c r="N1759" t="s">
        <v>36</v>
      </c>
      <c r="Q1759" s="4">
        <v>1</v>
      </c>
    </row>
    <row r="1760" spans="1:17" x14ac:dyDescent="0.55000000000000004">
      <c r="A1760" t="s">
        <v>4976</v>
      </c>
      <c r="C1760" t="s">
        <v>2667</v>
      </c>
      <c r="E1760" t="s">
        <v>29</v>
      </c>
      <c r="F1760" t="s">
        <v>30</v>
      </c>
      <c r="G1760" t="s">
        <v>31</v>
      </c>
      <c r="I1760" t="s">
        <v>2816</v>
      </c>
      <c r="J1760" t="s">
        <v>2817</v>
      </c>
      <c r="K1760" t="s">
        <v>35</v>
      </c>
      <c r="L1760" t="s">
        <v>30</v>
      </c>
      <c r="M1760" t="s">
        <v>31</v>
      </c>
      <c r="N1760" t="s">
        <v>36</v>
      </c>
      <c r="Q1760" s="4">
        <v>1</v>
      </c>
    </row>
    <row r="1761" spans="1:17" x14ac:dyDescent="0.55000000000000004">
      <c r="A1761" t="s">
        <v>4977</v>
      </c>
      <c r="C1761" t="s">
        <v>2667</v>
      </c>
      <c r="E1761" t="s">
        <v>29</v>
      </c>
      <c r="F1761" t="s">
        <v>30</v>
      </c>
      <c r="G1761" t="s">
        <v>31</v>
      </c>
      <c r="I1761" t="s">
        <v>2820</v>
      </c>
      <c r="J1761" t="s">
        <v>2821</v>
      </c>
      <c r="K1761" t="s">
        <v>35</v>
      </c>
      <c r="L1761" t="s">
        <v>30</v>
      </c>
      <c r="M1761" t="s">
        <v>31</v>
      </c>
      <c r="N1761" t="s">
        <v>36</v>
      </c>
      <c r="Q1761" s="4">
        <v>1</v>
      </c>
    </row>
    <row r="1762" spans="1:17" x14ac:dyDescent="0.55000000000000004">
      <c r="A1762" t="s">
        <v>4978</v>
      </c>
      <c r="C1762" t="s">
        <v>28</v>
      </c>
      <c r="E1762" t="s">
        <v>29</v>
      </c>
      <c r="F1762" t="s">
        <v>30</v>
      </c>
      <c r="G1762" t="s">
        <v>31</v>
      </c>
      <c r="I1762" t="s">
        <v>358</v>
      </c>
      <c r="J1762" t="s">
        <v>359</v>
      </c>
      <c r="K1762" t="s">
        <v>35</v>
      </c>
      <c r="L1762" t="s">
        <v>30</v>
      </c>
      <c r="M1762" t="s">
        <v>31</v>
      </c>
      <c r="N1762" t="s">
        <v>36</v>
      </c>
      <c r="Q1762" s="4">
        <v>1</v>
      </c>
    </row>
    <row r="1763" spans="1:17" x14ac:dyDescent="0.55000000000000004">
      <c r="A1763" t="s">
        <v>4979</v>
      </c>
      <c r="C1763" t="s">
        <v>28</v>
      </c>
      <c r="E1763" t="s">
        <v>29</v>
      </c>
      <c r="F1763" t="s">
        <v>30</v>
      </c>
      <c r="G1763" t="s">
        <v>31</v>
      </c>
      <c r="I1763" t="s">
        <v>364</v>
      </c>
      <c r="J1763" t="s">
        <v>365</v>
      </c>
      <c r="K1763" t="s">
        <v>35</v>
      </c>
      <c r="L1763" t="s">
        <v>30</v>
      </c>
      <c r="M1763" t="s">
        <v>31</v>
      </c>
      <c r="N1763" t="s">
        <v>36</v>
      </c>
      <c r="Q1763" s="4">
        <v>1</v>
      </c>
    </row>
    <row r="1764" spans="1:17" x14ac:dyDescent="0.55000000000000004">
      <c r="A1764" t="s">
        <v>4980</v>
      </c>
      <c r="C1764" t="s">
        <v>28</v>
      </c>
      <c r="E1764" t="s">
        <v>29</v>
      </c>
      <c r="F1764" t="s">
        <v>30</v>
      </c>
      <c r="G1764" t="s">
        <v>31</v>
      </c>
      <c r="I1764" t="s">
        <v>369</v>
      </c>
      <c r="J1764" t="s">
        <v>370</v>
      </c>
      <c r="K1764" t="s">
        <v>35</v>
      </c>
      <c r="L1764" t="s">
        <v>30</v>
      </c>
      <c r="M1764" t="s">
        <v>31</v>
      </c>
      <c r="N1764" t="s">
        <v>36</v>
      </c>
      <c r="Q1764" s="4">
        <v>1</v>
      </c>
    </row>
    <row r="1765" spans="1:17" x14ac:dyDescent="0.55000000000000004">
      <c r="A1765" t="s">
        <v>4981</v>
      </c>
      <c r="C1765" t="s">
        <v>28</v>
      </c>
      <c r="E1765" t="s">
        <v>29</v>
      </c>
      <c r="F1765" t="s">
        <v>30</v>
      </c>
      <c r="G1765" t="s">
        <v>31</v>
      </c>
      <c r="I1765" t="s">
        <v>374</v>
      </c>
      <c r="J1765" t="s">
        <v>375</v>
      </c>
      <c r="K1765" t="s">
        <v>35</v>
      </c>
      <c r="L1765" t="s">
        <v>30</v>
      </c>
      <c r="M1765" t="s">
        <v>31</v>
      </c>
      <c r="N1765" t="s">
        <v>36</v>
      </c>
      <c r="Q1765" s="4">
        <v>1</v>
      </c>
    </row>
    <row r="1766" spans="1:17" x14ac:dyDescent="0.55000000000000004">
      <c r="A1766" t="s">
        <v>4982</v>
      </c>
      <c r="C1766" t="s">
        <v>28</v>
      </c>
      <c r="E1766" t="s">
        <v>29</v>
      </c>
      <c r="F1766" t="s">
        <v>30</v>
      </c>
      <c r="G1766" t="s">
        <v>31</v>
      </c>
      <c r="I1766" t="s">
        <v>379</v>
      </c>
      <c r="J1766" t="s">
        <v>380</v>
      </c>
      <c r="K1766" t="s">
        <v>35</v>
      </c>
      <c r="L1766" t="s">
        <v>30</v>
      </c>
      <c r="M1766" t="s">
        <v>31</v>
      </c>
      <c r="N1766" t="s">
        <v>36</v>
      </c>
      <c r="Q1766" s="4">
        <v>1</v>
      </c>
    </row>
    <row r="1767" spans="1:17" x14ac:dyDescent="0.55000000000000004">
      <c r="A1767" t="s">
        <v>4983</v>
      </c>
      <c r="C1767" t="s">
        <v>28</v>
      </c>
      <c r="E1767" t="s">
        <v>29</v>
      </c>
      <c r="F1767" t="s">
        <v>30</v>
      </c>
      <c r="G1767" t="s">
        <v>31</v>
      </c>
      <c r="I1767" t="s">
        <v>384</v>
      </c>
      <c r="J1767" t="s">
        <v>385</v>
      </c>
      <c r="K1767" t="s">
        <v>35</v>
      </c>
      <c r="L1767" t="s">
        <v>30</v>
      </c>
      <c r="M1767" t="s">
        <v>31</v>
      </c>
      <c r="N1767" t="s">
        <v>36</v>
      </c>
      <c r="Q1767" s="4">
        <v>1</v>
      </c>
    </row>
    <row r="1768" spans="1:17" x14ac:dyDescent="0.55000000000000004">
      <c r="A1768" t="s">
        <v>4984</v>
      </c>
      <c r="C1768" t="s">
        <v>28</v>
      </c>
      <c r="E1768" t="s">
        <v>29</v>
      </c>
      <c r="F1768" t="s">
        <v>30</v>
      </c>
      <c r="G1768" t="s">
        <v>31</v>
      </c>
      <c r="I1768" t="s">
        <v>389</v>
      </c>
      <c r="J1768" t="s">
        <v>390</v>
      </c>
      <c r="K1768" t="s">
        <v>35</v>
      </c>
      <c r="L1768" t="s">
        <v>30</v>
      </c>
      <c r="M1768" t="s">
        <v>31</v>
      </c>
      <c r="N1768" t="s">
        <v>36</v>
      </c>
      <c r="Q1768" s="4">
        <v>1</v>
      </c>
    </row>
    <row r="1769" spans="1:17" x14ac:dyDescent="0.55000000000000004">
      <c r="A1769" t="s">
        <v>4985</v>
      </c>
      <c r="C1769" t="s">
        <v>28</v>
      </c>
      <c r="E1769" t="s">
        <v>29</v>
      </c>
      <c r="F1769" t="s">
        <v>30</v>
      </c>
      <c r="G1769" t="s">
        <v>31</v>
      </c>
      <c r="I1769" t="s">
        <v>394</v>
      </c>
      <c r="J1769" t="s">
        <v>395</v>
      </c>
      <c r="K1769" t="s">
        <v>35</v>
      </c>
      <c r="L1769" t="s">
        <v>30</v>
      </c>
      <c r="M1769" t="s">
        <v>31</v>
      </c>
      <c r="N1769" t="s">
        <v>36</v>
      </c>
      <c r="Q1769" s="4">
        <v>1</v>
      </c>
    </row>
    <row r="1770" spans="1:17" x14ac:dyDescent="0.55000000000000004">
      <c r="A1770" t="s">
        <v>4986</v>
      </c>
      <c r="C1770" t="s">
        <v>28</v>
      </c>
      <c r="E1770" t="s">
        <v>29</v>
      </c>
      <c r="F1770" t="s">
        <v>30</v>
      </c>
      <c r="G1770" t="s">
        <v>31</v>
      </c>
      <c r="I1770" t="s">
        <v>399</v>
      </c>
      <c r="J1770" t="s">
        <v>400</v>
      </c>
      <c r="K1770" t="s">
        <v>35</v>
      </c>
      <c r="L1770" t="s">
        <v>30</v>
      </c>
      <c r="M1770" t="s">
        <v>31</v>
      </c>
      <c r="N1770" t="s">
        <v>36</v>
      </c>
      <c r="Q1770" s="4">
        <v>1</v>
      </c>
    </row>
    <row r="1771" spans="1:17" x14ac:dyDescent="0.55000000000000004">
      <c r="A1771" t="s">
        <v>4987</v>
      </c>
      <c r="C1771" t="s">
        <v>28</v>
      </c>
      <c r="E1771" t="s">
        <v>29</v>
      </c>
      <c r="F1771" t="s">
        <v>30</v>
      </c>
      <c r="G1771" t="s">
        <v>31</v>
      </c>
      <c r="I1771" t="s">
        <v>404</v>
      </c>
      <c r="J1771" t="s">
        <v>405</v>
      </c>
      <c r="K1771" t="s">
        <v>35</v>
      </c>
      <c r="L1771" t="s">
        <v>30</v>
      </c>
      <c r="M1771" t="s">
        <v>31</v>
      </c>
      <c r="N1771" t="s">
        <v>36</v>
      </c>
      <c r="Q1771" s="4">
        <v>1</v>
      </c>
    </row>
    <row r="1772" spans="1:17" x14ac:dyDescent="0.55000000000000004">
      <c r="A1772" t="s">
        <v>4988</v>
      </c>
      <c r="C1772" t="s">
        <v>28</v>
      </c>
      <c r="E1772" t="s">
        <v>29</v>
      </c>
      <c r="F1772" t="s">
        <v>30</v>
      </c>
      <c r="G1772" t="s">
        <v>31</v>
      </c>
      <c r="I1772" t="s">
        <v>409</v>
      </c>
      <c r="J1772" t="s">
        <v>410</v>
      </c>
      <c r="K1772" t="s">
        <v>35</v>
      </c>
      <c r="L1772" t="s">
        <v>30</v>
      </c>
      <c r="M1772" t="s">
        <v>31</v>
      </c>
      <c r="N1772" t="s">
        <v>36</v>
      </c>
      <c r="Q1772" s="4">
        <v>1</v>
      </c>
    </row>
    <row r="1773" spans="1:17" x14ac:dyDescent="0.55000000000000004">
      <c r="A1773" t="s">
        <v>4989</v>
      </c>
      <c r="C1773" t="s">
        <v>28</v>
      </c>
      <c r="E1773" t="s">
        <v>29</v>
      </c>
      <c r="F1773" t="s">
        <v>30</v>
      </c>
      <c r="G1773" t="s">
        <v>31</v>
      </c>
      <c r="I1773" t="s">
        <v>414</v>
      </c>
      <c r="J1773" t="s">
        <v>415</v>
      </c>
      <c r="K1773" t="s">
        <v>35</v>
      </c>
      <c r="L1773" t="s">
        <v>30</v>
      </c>
      <c r="M1773" t="s">
        <v>31</v>
      </c>
      <c r="N1773" t="s">
        <v>36</v>
      </c>
      <c r="Q1773" s="4">
        <v>1</v>
      </c>
    </row>
    <row r="1774" spans="1:17" x14ac:dyDescent="0.55000000000000004">
      <c r="A1774" t="s">
        <v>4990</v>
      </c>
      <c r="C1774" t="s">
        <v>28</v>
      </c>
      <c r="E1774" t="s">
        <v>29</v>
      </c>
      <c r="F1774" t="s">
        <v>30</v>
      </c>
      <c r="G1774" t="s">
        <v>31</v>
      </c>
      <c r="I1774" t="s">
        <v>419</v>
      </c>
      <c r="J1774" t="s">
        <v>420</v>
      </c>
      <c r="K1774" t="s">
        <v>35</v>
      </c>
      <c r="L1774" t="s">
        <v>30</v>
      </c>
      <c r="M1774" t="s">
        <v>31</v>
      </c>
      <c r="N1774" t="s">
        <v>36</v>
      </c>
      <c r="Q1774" s="4">
        <v>1</v>
      </c>
    </row>
    <row r="1775" spans="1:17" x14ac:dyDescent="0.55000000000000004">
      <c r="A1775" t="s">
        <v>4991</v>
      </c>
      <c r="C1775" t="s">
        <v>28</v>
      </c>
      <c r="E1775" t="s">
        <v>29</v>
      </c>
      <c r="F1775" t="s">
        <v>30</v>
      </c>
      <c r="G1775" t="s">
        <v>31</v>
      </c>
      <c r="I1775" t="s">
        <v>424</v>
      </c>
      <c r="J1775" t="s">
        <v>425</v>
      </c>
      <c r="K1775" t="s">
        <v>35</v>
      </c>
      <c r="L1775" t="s">
        <v>30</v>
      </c>
      <c r="M1775" t="s">
        <v>31</v>
      </c>
      <c r="N1775" t="s">
        <v>36</v>
      </c>
      <c r="Q1775" s="4">
        <v>1</v>
      </c>
    </row>
    <row r="1776" spans="1:17" x14ac:dyDescent="0.55000000000000004">
      <c r="A1776" t="s">
        <v>4992</v>
      </c>
      <c r="C1776" t="s">
        <v>28</v>
      </c>
      <c r="E1776" t="s">
        <v>29</v>
      </c>
      <c r="F1776" t="s">
        <v>30</v>
      </c>
      <c r="G1776" t="s">
        <v>31</v>
      </c>
      <c r="I1776" t="s">
        <v>429</v>
      </c>
      <c r="J1776" t="s">
        <v>430</v>
      </c>
      <c r="K1776" t="s">
        <v>35</v>
      </c>
      <c r="L1776" t="s">
        <v>30</v>
      </c>
      <c r="M1776" t="s">
        <v>31</v>
      </c>
      <c r="N1776" t="s">
        <v>36</v>
      </c>
      <c r="Q1776" s="4">
        <v>1</v>
      </c>
    </row>
    <row r="1777" spans="1:17" x14ac:dyDescent="0.55000000000000004">
      <c r="A1777" t="s">
        <v>4993</v>
      </c>
      <c r="C1777" t="s">
        <v>28</v>
      </c>
      <c r="E1777" t="s">
        <v>29</v>
      </c>
      <c r="F1777" t="s">
        <v>30</v>
      </c>
      <c r="G1777" t="s">
        <v>31</v>
      </c>
      <c r="I1777" t="s">
        <v>434</v>
      </c>
      <c r="J1777" t="s">
        <v>435</v>
      </c>
      <c r="K1777" t="s">
        <v>35</v>
      </c>
      <c r="L1777" t="s">
        <v>30</v>
      </c>
      <c r="M1777" t="s">
        <v>31</v>
      </c>
      <c r="N1777" t="s">
        <v>36</v>
      </c>
      <c r="Q1777" s="4">
        <v>1</v>
      </c>
    </row>
    <row r="1778" spans="1:17" x14ac:dyDescent="0.55000000000000004">
      <c r="A1778" t="s">
        <v>4994</v>
      </c>
      <c r="C1778" t="s">
        <v>28</v>
      </c>
      <c r="E1778" t="s">
        <v>29</v>
      </c>
      <c r="F1778" t="s">
        <v>30</v>
      </c>
      <c r="G1778" t="s">
        <v>31</v>
      </c>
      <c r="I1778" t="s">
        <v>439</v>
      </c>
      <c r="J1778" t="s">
        <v>440</v>
      </c>
      <c r="K1778" t="s">
        <v>35</v>
      </c>
      <c r="L1778" t="s">
        <v>30</v>
      </c>
      <c r="M1778" t="s">
        <v>31</v>
      </c>
      <c r="N1778" t="s">
        <v>36</v>
      </c>
      <c r="Q1778" s="4">
        <v>1</v>
      </c>
    </row>
    <row r="1779" spans="1:17" x14ac:dyDescent="0.55000000000000004">
      <c r="A1779" t="s">
        <v>4995</v>
      </c>
      <c r="C1779" t="s">
        <v>28</v>
      </c>
      <c r="E1779" t="s">
        <v>29</v>
      </c>
      <c r="F1779" t="s">
        <v>30</v>
      </c>
      <c r="G1779" t="s">
        <v>31</v>
      </c>
      <c r="I1779" t="s">
        <v>444</v>
      </c>
      <c r="J1779" t="s">
        <v>445</v>
      </c>
      <c r="K1779" t="s">
        <v>35</v>
      </c>
      <c r="L1779" t="s">
        <v>30</v>
      </c>
      <c r="M1779" t="s">
        <v>31</v>
      </c>
      <c r="N1779" t="s">
        <v>36</v>
      </c>
      <c r="Q1779" s="4">
        <v>1</v>
      </c>
    </row>
    <row r="1780" spans="1:17" x14ac:dyDescent="0.55000000000000004">
      <c r="A1780" t="s">
        <v>4996</v>
      </c>
      <c r="C1780" t="s">
        <v>28</v>
      </c>
      <c r="E1780" t="s">
        <v>29</v>
      </c>
      <c r="F1780" t="s">
        <v>30</v>
      </c>
      <c r="G1780" t="s">
        <v>31</v>
      </c>
      <c r="I1780" t="s">
        <v>449</v>
      </c>
      <c r="J1780" t="s">
        <v>450</v>
      </c>
      <c r="K1780" t="s">
        <v>35</v>
      </c>
      <c r="L1780" t="s">
        <v>30</v>
      </c>
      <c r="M1780" t="s">
        <v>31</v>
      </c>
      <c r="N1780" t="s">
        <v>36</v>
      </c>
      <c r="Q1780" s="4">
        <v>1</v>
      </c>
    </row>
    <row r="1781" spans="1:17" x14ac:dyDescent="0.55000000000000004">
      <c r="A1781" t="s">
        <v>4997</v>
      </c>
      <c r="C1781" t="s">
        <v>28</v>
      </c>
      <c r="E1781" t="s">
        <v>29</v>
      </c>
      <c r="F1781" t="s">
        <v>30</v>
      </c>
      <c r="G1781" t="s">
        <v>31</v>
      </c>
      <c r="I1781" t="s">
        <v>454</v>
      </c>
      <c r="J1781" t="s">
        <v>455</v>
      </c>
      <c r="K1781" t="s">
        <v>35</v>
      </c>
      <c r="L1781" t="s">
        <v>30</v>
      </c>
      <c r="M1781" t="s">
        <v>31</v>
      </c>
      <c r="N1781" t="s">
        <v>36</v>
      </c>
      <c r="Q1781" s="4">
        <v>1</v>
      </c>
    </row>
    <row r="1782" spans="1:17" x14ac:dyDescent="0.55000000000000004">
      <c r="A1782" t="s">
        <v>4998</v>
      </c>
      <c r="C1782" t="s">
        <v>28</v>
      </c>
      <c r="E1782" t="s">
        <v>29</v>
      </c>
      <c r="F1782" t="s">
        <v>30</v>
      </c>
      <c r="G1782" t="s">
        <v>31</v>
      </c>
      <c r="I1782" t="s">
        <v>459</v>
      </c>
      <c r="J1782" t="s">
        <v>460</v>
      </c>
      <c r="K1782" t="s">
        <v>35</v>
      </c>
      <c r="L1782" t="s">
        <v>30</v>
      </c>
      <c r="M1782" t="s">
        <v>31</v>
      </c>
      <c r="N1782" t="s">
        <v>36</v>
      </c>
      <c r="Q1782" s="4">
        <v>1</v>
      </c>
    </row>
    <row r="1783" spans="1:17" x14ac:dyDescent="0.55000000000000004">
      <c r="A1783" t="s">
        <v>4999</v>
      </c>
      <c r="C1783" t="s">
        <v>28</v>
      </c>
      <c r="E1783" t="s">
        <v>29</v>
      </c>
      <c r="F1783" t="s">
        <v>30</v>
      </c>
      <c r="G1783" t="s">
        <v>31</v>
      </c>
      <c r="I1783" t="s">
        <v>464</v>
      </c>
      <c r="J1783" t="s">
        <v>465</v>
      </c>
      <c r="K1783" t="s">
        <v>35</v>
      </c>
      <c r="L1783" t="s">
        <v>30</v>
      </c>
      <c r="M1783" t="s">
        <v>31</v>
      </c>
      <c r="N1783" t="s">
        <v>36</v>
      </c>
      <c r="Q1783" s="4">
        <v>1</v>
      </c>
    </row>
    <row r="1784" spans="1:17" x14ac:dyDescent="0.55000000000000004">
      <c r="A1784" t="s">
        <v>5000</v>
      </c>
      <c r="C1784" t="s">
        <v>28</v>
      </c>
      <c r="E1784" t="s">
        <v>29</v>
      </c>
      <c r="F1784" t="s">
        <v>30</v>
      </c>
      <c r="G1784" t="s">
        <v>31</v>
      </c>
      <c r="I1784" t="s">
        <v>469</v>
      </c>
      <c r="J1784" t="s">
        <v>470</v>
      </c>
      <c r="K1784" t="s">
        <v>35</v>
      </c>
      <c r="L1784" t="s">
        <v>30</v>
      </c>
      <c r="M1784" t="s">
        <v>31</v>
      </c>
      <c r="N1784" t="s">
        <v>36</v>
      </c>
      <c r="Q1784" s="4">
        <v>1</v>
      </c>
    </row>
    <row r="1785" spans="1:17" x14ac:dyDescent="0.55000000000000004">
      <c r="A1785" t="s">
        <v>5001</v>
      </c>
      <c r="C1785" t="s">
        <v>28</v>
      </c>
      <c r="E1785" t="s">
        <v>29</v>
      </c>
      <c r="F1785" t="s">
        <v>30</v>
      </c>
      <c r="G1785" t="s">
        <v>31</v>
      </c>
      <c r="I1785" t="s">
        <v>474</v>
      </c>
      <c r="J1785" t="s">
        <v>475</v>
      </c>
      <c r="K1785" t="s">
        <v>35</v>
      </c>
      <c r="L1785" t="s">
        <v>30</v>
      </c>
      <c r="M1785" t="s">
        <v>31</v>
      </c>
      <c r="N1785" t="s">
        <v>36</v>
      </c>
      <c r="Q1785" s="4">
        <v>1</v>
      </c>
    </row>
    <row r="1786" spans="1:17" x14ac:dyDescent="0.55000000000000004">
      <c r="A1786" t="s">
        <v>5002</v>
      </c>
      <c r="C1786" t="s">
        <v>28</v>
      </c>
      <c r="E1786" t="s">
        <v>29</v>
      </c>
      <c r="F1786" t="s">
        <v>30</v>
      </c>
      <c r="G1786" t="s">
        <v>31</v>
      </c>
      <c r="I1786" t="s">
        <v>479</v>
      </c>
      <c r="J1786" t="s">
        <v>480</v>
      </c>
      <c r="K1786" t="s">
        <v>35</v>
      </c>
      <c r="L1786" t="s">
        <v>30</v>
      </c>
      <c r="M1786" t="s">
        <v>31</v>
      </c>
      <c r="N1786" t="s">
        <v>36</v>
      </c>
      <c r="Q1786" s="4">
        <v>1</v>
      </c>
    </row>
    <row r="1787" spans="1:17" x14ac:dyDescent="0.55000000000000004">
      <c r="A1787" t="s">
        <v>5003</v>
      </c>
      <c r="C1787" t="s">
        <v>28</v>
      </c>
      <c r="E1787" t="s">
        <v>29</v>
      </c>
      <c r="F1787" t="s">
        <v>30</v>
      </c>
      <c r="G1787" t="s">
        <v>31</v>
      </c>
      <c r="I1787" t="s">
        <v>484</v>
      </c>
      <c r="J1787" t="s">
        <v>485</v>
      </c>
      <c r="K1787" t="s">
        <v>35</v>
      </c>
      <c r="L1787" t="s">
        <v>30</v>
      </c>
      <c r="M1787" t="s">
        <v>31</v>
      </c>
      <c r="N1787" t="s">
        <v>36</v>
      </c>
      <c r="Q1787" s="4">
        <v>1</v>
      </c>
    </row>
    <row r="1788" spans="1:17" x14ac:dyDescent="0.55000000000000004">
      <c r="A1788" t="s">
        <v>5004</v>
      </c>
      <c r="C1788" t="s">
        <v>28</v>
      </c>
      <c r="E1788" t="s">
        <v>29</v>
      </c>
      <c r="F1788" t="s">
        <v>30</v>
      </c>
      <c r="G1788" t="s">
        <v>31</v>
      </c>
      <c r="I1788" t="s">
        <v>489</v>
      </c>
      <c r="J1788" t="s">
        <v>490</v>
      </c>
      <c r="K1788" t="s">
        <v>35</v>
      </c>
      <c r="L1788" t="s">
        <v>30</v>
      </c>
      <c r="M1788" t="s">
        <v>31</v>
      </c>
      <c r="N1788" t="s">
        <v>36</v>
      </c>
      <c r="Q1788" s="4">
        <v>1</v>
      </c>
    </row>
    <row r="1789" spans="1:17" x14ac:dyDescent="0.55000000000000004">
      <c r="A1789" t="s">
        <v>5005</v>
      </c>
      <c r="C1789" t="s">
        <v>28</v>
      </c>
      <c r="E1789" t="s">
        <v>29</v>
      </c>
      <c r="F1789" t="s">
        <v>30</v>
      </c>
      <c r="G1789" t="s">
        <v>31</v>
      </c>
      <c r="I1789" t="s">
        <v>494</v>
      </c>
      <c r="J1789" t="s">
        <v>495</v>
      </c>
      <c r="K1789" t="s">
        <v>35</v>
      </c>
      <c r="L1789" t="s">
        <v>30</v>
      </c>
      <c r="M1789" t="s">
        <v>31</v>
      </c>
      <c r="N1789" t="s">
        <v>36</v>
      </c>
      <c r="Q1789" s="4">
        <v>1</v>
      </c>
    </row>
    <row r="1790" spans="1:17" x14ac:dyDescent="0.55000000000000004">
      <c r="A1790" t="s">
        <v>5006</v>
      </c>
      <c r="C1790" t="s">
        <v>28</v>
      </c>
      <c r="E1790" t="s">
        <v>29</v>
      </c>
      <c r="F1790" t="s">
        <v>30</v>
      </c>
      <c r="G1790" t="s">
        <v>31</v>
      </c>
      <c r="I1790" t="s">
        <v>499</v>
      </c>
      <c r="J1790" t="s">
        <v>500</v>
      </c>
      <c r="K1790" t="s">
        <v>35</v>
      </c>
      <c r="L1790" t="s">
        <v>30</v>
      </c>
      <c r="M1790" t="s">
        <v>31</v>
      </c>
      <c r="N1790" t="s">
        <v>36</v>
      </c>
      <c r="Q1790" s="4">
        <v>1</v>
      </c>
    </row>
    <row r="1791" spans="1:17" x14ac:dyDescent="0.55000000000000004">
      <c r="A1791" t="s">
        <v>5007</v>
      </c>
      <c r="C1791" t="s">
        <v>28</v>
      </c>
      <c r="E1791" t="s">
        <v>29</v>
      </c>
      <c r="F1791" t="s">
        <v>30</v>
      </c>
      <c r="G1791" t="s">
        <v>31</v>
      </c>
      <c r="I1791" t="s">
        <v>504</v>
      </c>
      <c r="J1791" t="s">
        <v>505</v>
      </c>
      <c r="K1791" t="s">
        <v>35</v>
      </c>
      <c r="L1791" t="s">
        <v>30</v>
      </c>
      <c r="M1791" t="s">
        <v>31</v>
      </c>
      <c r="N1791" t="s">
        <v>36</v>
      </c>
      <c r="Q1791" s="4">
        <v>1</v>
      </c>
    </row>
    <row r="1792" spans="1:17" x14ac:dyDescent="0.55000000000000004">
      <c r="A1792" t="s">
        <v>5008</v>
      </c>
      <c r="C1792" t="s">
        <v>28</v>
      </c>
      <c r="E1792" t="s">
        <v>29</v>
      </c>
      <c r="F1792" t="s">
        <v>30</v>
      </c>
      <c r="G1792" t="s">
        <v>31</v>
      </c>
      <c r="I1792" t="s">
        <v>509</v>
      </c>
      <c r="J1792" t="s">
        <v>510</v>
      </c>
      <c r="K1792" t="s">
        <v>35</v>
      </c>
      <c r="L1792" t="s">
        <v>30</v>
      </c>
      <c r="M1792" t="s">
        <v>31</v>
      </c>
      <c r="N1792" t="s">
        <v>36</v>
      </c>
      <c r="Q1792" s="4">
        <v>1</v>
      </c>
    </row>
    <row r="1793" spans="1:17" x14ac:dyDescent="0.55000000000000004">
      <c r="A1793" t="s">
        <v>5009</v>
      </c>
      <c r="C1793" t="s">
        <v>28</v>
      </c>
      <c r="E1793" t="s">
        <v>29</v>
      </c>
      <c r="F1793" t="s">
        <v>30</v>
      </c>
      <c r="G1793" t="s">
        <v>31</v>
      </c>
      <c r="I1793" t="s">
        <v>514</v>
      </c>
      <c r="J1793" t="s">
        <v>515</v>
      </c>
      <c r="K1793" t="s">
        <v>35</v>
      </c>
      <c r="L1793" t="s">
        <v>30</v>
      </c>
      <c r="M1793" t="s">
        <v>31</v>
      </c>
      <c r="N1793" t="s">
        <v>36</v>
      </c>
      <c r="Q1793" s="4">
        <v>1</v>
      </c>
    </row>
    <row r="1794" spans="1:17" x14ac:dyDescent="0.55000000000000004">
      <c r="A1794" t="s">
        <v>5010</v>
      </c>
      <c r="C1794" t="s">
        <v>28</v>
      </c>
      <c r="E1794" t="s">
        <v>29</v>
      </c>
      <c r="F1794" t="s">
        <v>30</v>
      </c>
      <c r="G1794" t="s">
        <v>31</v>
      </c>
      <c r="I1794" t="s">
        <v>519</v>
      </c>
      <c r="J1794" t="s">
        <v>520</v>
      </c>
      <c r="K1794" t="s">
        <v>35</v>
      </c>
      <c r="L1794" t="s">
        <v>30</v>
      </c>
      <c r="M1794" t="s">
        <v>31</v>
      </c>
      <c r="N1794" t="s">
        <v>36</v>
      </c>
      <c r="Q1794" s="4">
        <v>1</v>
      </c>
    </row>
    <row r="1795" spans="1:17" x14ac:dyDescent="0.55000000000000004">
      <c r="A1795" t="s">
        <v>5011</v>
      </c>
      <c r="C1795" t="s">
        <v>28</v>
      </c>
      <c r="E1795" t="s">
        <v>29</v>
      </c>
      <c r="F1795" t="s">
        <v>30</v>
      </c>
      <c r="G1795" t="s">
        <v>31</v>
      </c>
      <c r="I1795" t="s">
        <v>524</v>
      </c>
      <c r="J1795" t="s">
        <v>525</v>
      </c>
      <c r="K1795" t="s">
        <v>35</v>
      </c>
      <c r="L1795" t="s">
        <v>30</v>
      </c>
      <c r="M1795" t="s">
        <v>31</v>
      </c>
      <c r="N1795" t="s">
        <v>36</v>
      </c>
      <c r="Q1795" s="4">
        <v>1</v>
      </c>
    </row>
    <row r="1796" spans="1:17" x14ac:dyDescent="0.55000000000000004">
      <c r="A1796" t="s">
        <v>5012</v>
      </c>
      <c r="C1796" t="s">
        <v>28</v>
      </c>
      <c r="E1796" t="s">
        <v>29</v>
      </c>
      <c r="F1796" t="s">
        <v>30</v>
      </c>
      <c r="G1796" t="s">
        <v>31</v>
      </c>
      <c r="I1796" t="s">
        <v>529</v>
      </c>
      <c r="J1796" t="s">
        <v>530</v>
      </c>
      <c r="K1796" t="s">
        <v>35</v>
      </c>
      <c r="L1796" t="s">
        <v>30</v>
      </c>
      <c r="M1796" t="s">
        <v>31</v>
      </c>
      <c r="N1796" t="s">
        <v>36</v>
      </c>
      <c r="Q1796" s="4">
        <v>1</v>
      </c>
    </row>
    <row r="1797" spans="1:17" x14ac:dyDescent="0.55000000000000004">
      <c r="A1797" t="s">
        <v>5013</v>
      </c>
      <c r="C1797" t="s">
        <v>28</v>
      </c>
      <c r="E1797" t="s">
        <v>29</v>
      </c>
      <c r="F1797" t="s">
        <v>30</v>
      </c>
      <c r="G1797" t="s">
        <v>31</v>
      </c>
      <c r="I1797" t="s">
        <v>534</v>
      </c>
      <c r="J1797" t="s">
        <v>535</v>
      </c>
      <c r="K1797" t="s">
        <v>35</v>
      </c>
      <c r="L1797" t="s">
        <v>30</v>
      </c>
      <c r="M1797" t="s">
        <v>31</v>
      </c>
      <c r="N1797" t="s">
        <v>36</v>
      </c>
      <c r="Q1797" s="4">
        <v>1</v>
      </c>
    </row>
    <row r="1798" spans="1:17" x14ac:dyDescent="0.55000000000000004">
      <c r="A1798" t="s">
        <v>5014</v>
      </c>
      <c r="C1798" t="s">
        <v>28</v>
      </c>
      <c r="E1798" t="s">
        <v>29</v>
      </c>
      <c r="F1798" t="s">
        <v>30</v>
      </c>
      <c r="G1798" t="s">
        <v>31</v>
      </c>
      <c r="I1798" t="s">
        <v>539</v>
      </c>
      <c r="J1798" t="s">
        <v>540</v>
      </c>
      <c r="K1798" t="s">
        <v>35</v>
      </c>
      <c r="L1798" t="s">
        <v>30</v>
      </c>
      <c r="M1798" t="s">
        <v>31</v>
      </c>
      <c r="N1798" t="s">
        <v>36</v>
      </c>
      <c r="Q1798" s="4">
        <v>1</v>
      </c>
    </row>
    <row r="1799" spans="1:17" x14ac:dyDescent="0.55000000000000004">
      <c r="A1799" t="s">
        <v>5015</v>
      </c>
      <c r="C1799" t="s">
        <v>28</v>
      </c>
      <c r="E1799" t="s">
        <v>29</v>
      </c>
      <c r="F1799" t="s">
        <v>30</v>
      </c>
      <c r="G1799" t="s">
        <v>31</v>
      </c>
      <c r="I1799" t="s">
        <v>544</v>
      </c>
      <c r="J1799" t="s">
        <v>545</v>
      </c>
      <c r="K1799" t="s">
        <v>35</v>
      </c>
      <c r="L1799" t="s">
        <v>30</v>
      </c>
      <c r="M1799" t="s">
        <v>31</v>
      </c>
      <c r="N1799" t="s">
        <v>36</v>
      </c>
      <c r="Q1799" s="4">
        <v>1</v>
      </c>
    </row>
    <row r="1800" spans="1:17" x14ac:dyDescent="0.55000000000000004">
      <c r="A1800" t="s">
        <v>5016</v>
      </c>
      <c r="C1800" t="s">
        <v>28</v>
      </c>
      <c r="E1800" t="s">
        <v>29</v>
      </c>
      <c r="F1800" t="s">
        <v>30</v>
      </c>
      <c r="G1800" t="s">
        <v>31</v>
      </c>
      <c r="I1800" t="s">
        <v>549</v>
      </c>
      <c r="J1800" t="s">
        <v>550</v>
      </c>
      <c r="K1800" t="s">
        <v>35</v>
      </c>
      <c r="L1800" t="s">
        <v>30</v>
      </c>
      <c r="M1800" t="s">
        <v>31</v>
      </c>
      <c r="N1800" t="s">
        <v>36</v>
      </c>
      <c r="Q1800" s="4">
        <v>1</v>
      </c>
    </row>
    <row r="1801" spans="1:17" x14ac:dyDescent="0.55000000000000004">
      <c r="A1801" t="s">
        <v>5017</v>
      </c>
      <c r="C1801" t="s">
        <v>28</v>
      </c>
      <c r="E1801" t="s">
        <v>29</v>
      </c>
      <c r="F1801" t="s">
        <v>30</v>
      </c>
      <c r="G1801" t="s">
        <v>31</v>
      </c>
      <c r="I1801" t="s">
        <v>554</v>
      </c>
      <c r="J1801" t="s">
        <v>555</v>
      </c>
      <c r="K1801" t="s">
        <v>35</v>
      </c>
      <c r="L1801" t="s">
        <v>30</v>
      </c>
      <c r="M1801" t="s">
        <v>31</v>
      </c>
      <c r="N1801" t="s">
        <v>36</v>
      </c>
      <c r="Q1801" s="4">
        <v>1</v>
      </c>
    </row>
    <row r="1802" spans="1:17" x14ac:dyDescent="0.55000000000000004">
      <c r="A1802" t="s">
        <v>5018</v>
      </c>
      <c r="C1802" t="s">
        <v>28</v>
      </c>
      <c r="E1802" t="s">
        <v>29</v>
      </c>
      <c r="F1802" t="s">
        <v>30</v>
      </c>
      <c r="G1802" t="s">
        <v>31</v>
      </c>
      <c r="I1802" t="s">
        <v>559</v>
      </c>
      <c r="J1802" t="s">
        <v>560</v>
      </c>
      <c r="K1802" t="s">
        <v>35</v>
      </c>
      <c r="L1802" t="s">
        <v>30</v>
      </c>
      <c r="M1802" t="s">
        <v>31</v>
      </c>
      <c r="N1802" t="s">
        <v>36</v>
      </c>
      <c r="Q1802" s="4">
        <v>1</v>
      </c>
    </row>
    <row r="1803" spans="1:17" x14ac:dyDescent="0.55000000000000004">
      <c r="A1803" t="s">
        <v>5019</v>
      </c>
      <c r="C1803" t="s">
        <v>28</v>
      </c>
      <c r="E1803" t="s">
        <v>29</v>
      </c>
      <c r="F1803" t="s">
        <v>30</v>
      </c>
      <c r="G1803" t="s">
        <v>31</v>
      </c>
      <c r="I1803" t="s">
        <v>564</v>
      </c>
      <c r="J1803" t="s">
        <v>565</v>
      </c>
      <c r="K1803" t="s">
        <v>35</v>
      </c>
      <c r="L1803" t="s">
        <v>30</v>
      </c>
      <c r="M1803" t="s">
        <v>31</v>
      </c>
      <c r="N1803" t="s">
        <v>36</v>
      </c>
      <c r="Q1803" s="4">
        <v>1</v>
      </c>
    </row>
    <row r="1804" spans="1:17" x14ac:dyDescent="0.55000000000000004">
      <c r="A1804" t="s">
        <v>5020</v>
      </c>
      <c r="C1804" t="s">
        <v>28</v>
      </c>
      <c r="E1804" t="s">
        <v>29</v>
      </c>
      <c r="F1804" t="s">
        <v>30</v>
      </c>
      <c r="G1804" t="s">
        <v>31</v>
      </c>
      <c r="I1804" t="s">
        <v>569</v>
      </c>
      <c r="J1804" t="s">
        <v>570</v>
      </c>
      <c r="K1804" t="s">
        <v>35</v>
      </c>
      <c r="L1804" t="s">
        <v>30</v>
      </c>
      <c r="M1804" t="s">
        <v>31</v>
      </c>
      <c r="N1804" t="s">
        <v>36</v>
      </c>
      <c r="Q1804" s="4">
        <v>1</v>
      </c>
    </row>
    <row r="1805" spans="1:17" x14ac:dyDescent="0.55000000000000004">
      <c r="A1805" t="s">
        <v>5021</v>
      </c>
      <c r="C1805" t="s">
        <v>28</v>
      </c>
      <c r="E1805" t="s">
        <v>29</v>
      </c>
      <c r="F1805" t="s">
        <v>30</v>
      </c>
      <c r="G1805" t="s">
        <v>31</v>
      </c>
      <c r="I1805" t="s">
        <v>574</v>
      </c>
      <c r="J1805" t="s">
        <v>575</v>
      </c>
      <c r="K1805" t="s">
        <v>35</v>
      </c>
      <c r="L1805" t="s">
        <v>30</v>
      </c>
      <c r="M1805" t="s">
        <v>31</v>
      </c>
      <c r="N1805" t="s">
        <v>36</v>
      </c>
      <c r="Q1805" s="4">
        <v>1</v>
      </c>
    </row>
    <row r="1806" spans="1:17" x14ac:dyDescent="0.55000000000000004">
      <c r="A1806" t="s">
        <v>5022</v>
      </c>
      <c r="C1806" t="s">
        <v>28</v>
      </c>
      <c r="E1806" t="s">
        <v>29</v>
      </c>
      <c r="F1806" t="s">
        <v>30</v>
      </c>
      <c r="G1806" t="s">
        <v>31</v>
      </c>
      <c r="I1806" t="s">
        <v>579</v>
      </c>
      <c r="J1806" t="s">
        <v>580</v>
      </c>
      <c r="K1806" t="s">
        <v>35</v>
      </c>
      <c r="L1806" t="s">
        <v>30</v>
      </c>
      <c r="M1806" t="s">
        <v>31</v>
      </c>
      <c r="N1806" t="s">
        <v>36</v>
      </c>
      <c r="Q1806" s="4">
        <v>1</v>
      </c>
    </row>
    <row r="1807" spans="1:17" x14ac:dyDescent="0.55000000000000004">
      <c r="A1807" t="s">
        <v>5023</v>
      </c>
      <c r="C1807" t="s">
        <v>28</v>
      </c>
      <c r="E1807" t="s">
        <v>29</v>
      </c>
      <c r="F1807" t="s">
        <v>30</v>
      </c>
      <c r="G1807" t="s">
        <v>31</v>
      </c>
      <c r="I1807" t="s">
        <v>584</v>
      </c>
      <c r="J1807" t="s">
        <v>585</v>
      </c>
      <c r="K1807" t="s">
        <v>35</v>
      </c>
      <c r="L1807" t="s">
        <v>30</v>
      </c>
      <c r="M1807" t="s">
        <v>31</v>
      </c>
      <c r="N1807" t="s">
        <v>36</v>
      </c>
      <c r="Q1807" s="4">
        <v>1</v>
      </c>
    </row>
    <row r="1808" spans="1:17" x14ac:dyDescent="0.55000000000000004">
      <c r="A1808" t="s">
        <v>5024</v>
      </c>
      <c r="C1808" t="s">
        <v>28</v>
      </c>
      <c r="E1808" t="s">
        <v>29</v>
      </c>
      <c r="F1808" t="s">
        <v>30</v>
      </c>
      <c r="G1808" t="s">
        <v>31</v>
      </c>
      <c r="I1808" t="s">
        <v>589</v>
      </c>
      <c r="J1808" t="s">
        <v>590</v>
      </c>
      <c r="K1808" t="s">
        <v>35</v>
      </c>
      <c r="L1808" t="s">
        <v>30</v>
      </c>
      <c r="M1808" t="s">
        <v>31</v>
      </c>
      <c r="N1808" t="s">
        <v>36</v>
      </c>
      <c r="Q1808" s="4">
        <v>1</v>
      </c>
    </row>
    <row r="1809" spans="1:17" x14ac:dyDescent="0.55000000000000004">
      <c r="A1809" t="s">
        <v>5025</v>
      </c>
      <c r="C1809" t="s">
        <v>28</v>
      </c>
      <c r="E1809" t="s">
        <v>29</v>
      </c>
      <c r="F1809" t="s">
        <v>30</v>
      </c>
      <c r="G1809" t="s">
        <v>31</v>
      </c>
      <c r="I1809" t="s">
        <v>594</v>
      </c>
      <c r="J1809" t="s">
        <v>595</v>
      </c>
      <c r="K1809" t="s">
        <v>35</v>
      </c>
      <c r="L1809" t="s">
        <v>30</v>
      </c>
      <c r="M1809" t="s">
        <v>31</v>
      </c>
      <c r="N1809" t="s">
        <v>36</v>
      </c>
      <c r="Q1809" s="4">
        <v>1</v>
      </c>
    </row>
    <row r="1810" spans="1:17" x14ac:dyDescent="0.55000000000000004">
      <c r="A1810" t="s">
        <v>5026</v>
      </c>
      <c r="C1810" t="s">
        <v>28</v>
      </c>
      <c r="E1810" t="s">
        <v>29</v>
      </c>
      <c r="F1810" t="s">
        <v>30</v>
      </c>
      <c r="G1810" t="s">
        <v>31</v>
      </c>
      <c r="I1810" t="s">
        <v>599</v>
      </c>
      <c r="J1810" t="s">
        <v>600</v>
      </c>
      <c r="K1810" t="s">
        <v>35</v>
      </c>
      <c r="L1810" t="s">
        <v>30</v>
      </c>
      <c r="M1810" t="s">
        <v>31</v>
      </c>
      <c r="N1810" t="s">
        <v>36</v>
      </c>
      <c r="Q1810" s="4">
        <v>1</v>
      </c>
    </row>
    <row r="1811" spans="1:17" x14ac:dyDescent="0.55000000000000004">
      <c r="A1811" t="s">
        <v>5027</v>
      </c>
      <c r="C1811" t="s">
        <v>28</v>
      </c>
      <c r="E1811" t="s">
        <v>29</v>
      </c>
      <c r="F1811" t="s">
        <v>30</v>
      </c>
      <c r="G1811" t="s">
        <v>31</v>
      </c>
      <c r="I1811" t="s">
        <v>604</v>
      </c>
      <c r="J1811" t="s">
        <v>605</v>
      </c>
      <c r="K1811" t="s">
        <v>35</v>
      </c>
      <c r="L1811" t="s">
        <v>30</v>
      </c>
      <c r="M1811" t="s">
        <v>31</v>
      </c>
      <c r="N1811" t="s">
        <v>36</v>
      </c>
      <c r="Q1811" s="4">
        <v>1</v>
      </c>
    </row>
    <row r="1812" spans="1:17" x14ac:dyDescent="0.55000000000000004">
      <c r="A1812" t="s">
        <v>5028</v>
      </c>
      <c r="C1812" t="s">
        <v>28</v>
      </c>
      <c r="E1812" t="s">
        <v>29</v>
      </c>
      <c r="F1812" t="s">
        <v>30</v>
      </c>
      <c r="G1812" t="s">
        <v>31</v>
      </c>
      <c r="I1812" t="s">
        <v>609</v>
      </c>
      <c r="J1812" t="s">
        <v>610</v>
      </c>
      <c r="K1812" t="s">
        <v>35</v>
      </c>
      <c r="L1812" t="s">
        <v>30</v>
      </c>
      <c r="M1812" t="s">
        <v>31</v>
      </c>
      <c r="N1812" t="s">
        <v>36</v>
      </c>
      <c r="Q1812" s="4">
        <v>1</v>
      </c>
    </row>
    <row r="1813" spans="1:17" x14ac:dyDescent="0.55000000000000004">
      <c r="A1813" t="s">
        <v>5029</v>
      </c>
      <c r="C1813" t="s">
        <v>28</v>
      </c>
      <c r="E1813" t="s">
        <v>29</v>
      </c>
      <c r="F1813" t="s">
        <v>30</v>
      </c>
      <c r="G1813" t="s">
        <v>31</v>
      </c>
      <c r="I1813" t="s">
        <v>614</v>
      </c>
      <c r="J1813" t="s">
        <v>615</v>
      </c>
      <c r="K1813" t="s">
        <v>35</v>
      </c>
      <c r="L1813" t="s">
        <v>30</v>
      </c>
      <c r="M1813" t="s">
        <v>31</v>
      </c>
      <c r="N1813" t="s">
        <v>36</v>
      </c>
      <c r="Q1813" s="4">
        <v>1</v>
      </c>
    </row>
    <row r="1814" spans="1:17" x14ac:dyDescent="0.55000000000000004">
      <c r="A1814" t="s">
        <v>5030</v>
      </c>
      <c r="C1814" t="s">
        <v>28</v>
      </c>
      <c r="E1814" t="s">
        <v>29</v>
      </c>
      <c r="F1814" t="s">
        <v>30</v>
      </c>
      <c r="G1814" t="s">
        <v>31</v>
      </c>
      <c r="I1814" t="s">
        <v>619</v>
      </c>
      <c r="J1814" t="s">
        <v>620</v>
      </c>
      <c r="K1814" t="s">
        <v>35</v>
      </c>
      <c r="L1814" t="s">
        <v>30</v>
      </c>
      <c r="M1814" t="s">
        <v>31</v>
      </c>
      <c r="N1814" t="s">
        <v>36</v>
      </c>
      <c r="Q1814" s="4">
        <v>1</v>
      </c>
    </row>
    <row r="1815" spans="1:17" x14ac:dyDescent="0.55000000000000004">
      <c r="A1815" t="s">
        <v>5031</v>
      </c>
      <c r="C1815" t="s">
        <v>28</v>
      </c>
      <c r="E1815" t="s">
        <v>29</v>
      </c>
      <c r="F1815" t="s">
        <v>30</v>
      </c>
      <c r="G1815" t="s">
        <v>31</v>
      </c>
      <c r="I1815" t="s">
        <v>624</v>
      </c>
      <c r="J1815" t="s">
        <v>625</v>
      </c>
      <c r="K1815" t="s">
        <v>35</v>
      </c>
      <c r="L1815" t="s">
        <v>30</v>
      </c>
      <c r="M1815" t="s">
        <v>31</v>
      </c>
      <c r="N1815" t="s">
        <v>36</v>
      </c>
      <c r="Q1815" s="4">
        <v>1</v>
      </c>
    </row>
    <row r="1816" spans="1:17" x14ac:dyDescent="0.55000000000000004">
      <c r="A1816" t="s">
        <v>5032</v>
      </c>
      <c r="C1816" t="s">
        <v>28</v>
      </c>
      <c r="E1816" t="s">
        <v>29</v>
      </c>
      <c r="F1816" t="s">
        <v>30</v>
      </c>
      <c r="G1816" t="s">
        <v>31</v>
      </c>
      <c r="I1816" t="s">
        <v>629</v>
      </c>
      <c r="J1816" t="s">
        <v>630</v>
      </c>
      <c r="K1816" t="s">
        <v>35</v>
      </c>
      <c r="L1816" t="s">
        <v>30</v>
      </c>
      <c r="M1816" t="s">
        <v>31</v>
      </c>
      <c r="N1816" t="s">
        <v>36</v>
      </c>
      <c r="Q1816" s="4">
        <v>1</v>
      </c>
    </row>
    <row r="1817" spans="1:17" x14ac:dyDescent="0.55000000000000004">
      <c r="A1817" t="s">
        <v>5033</v>
      </c>
      <c r="C1817" t="s">
        <v>28</v>
      </c>
      <c r="E1817" t="s">
        <v>29</v>
      </c>
      <c r="F1817" t="s">
        <v>30</v>
      </c>
      <c r="G1817" t="s">
        <v>31</v>
      </c>
      <c r="I1817" t="s">
        <v>634</v>
      </c>
      <c r="J1817" t="s">
        <v>635</v>
      </c>
      <c r="K1817" t="s">
        <v>35</v>
      </c>
      <c r="L1817" t="s">
        <v>30</v>
      </c>
      <c r="M1817" t="s">
        <v>31</v>
      </c>
      <c r="N1817" t="s">
        <v>36</v>
      </c>
      <c r="Q1817" s="4">
        <v>1</v>
      </c>
    </row>
    <row r="1818" spans="1:17" x14ac:dyDescent="0.55000000000000004">
      <c r="A1818" t="s">
        <v>5034</v>
      </c>
      <c r="C1818" t="s">
        <v>28</v>
      </c>
      <c r="E1818" t="s">
        <v>29</v>
      </c>
      <c r="F1818" t="s">
        <v>30</v>
      </c>
      <c r="G1818" t="s">
        <v>31</v>
      </c>
      <c r="I1818" t="s">
        <v>639</v>
      </c>
      <c r="J1818" t="s">
        <v>640</v>
      </c>
      <c r="K1818" t="s">
        <v>35</v>
      </c>
      <c r="L1818" t="s">
        <v>30</v>
      </c>
      <c r="M1818" t="s">
        <v>31</v>
      </c>
      <c r="N1818" t="s">
        <v>36</v>
      </c>
      <c r="Q1818" s="4">
        <v>1</v>
      </c>
    </row>
    <row r="1819" spans="1:17" x14ac:dyDescent="0.55000000000000004">
      <c r="A1819" t="s">
        <v>5035</v>
      </c>
      <c r="C1819" t="s">
        <v>28</v>
      </c>
      <c r="E1819" t="s">
        <v>29</v>
      </c>
      <c r="F1819" t="s">
        <v>30</v>
      </c>
      <c r="G1819" t="s">
        <v>31</v>
      </c>
      <c r="I1819" t="s">
        <v>644</v>
      </c>
      <c r="J1819" t="s">
        <v>645</v>
      </c>
      <c r="K1819" t="s">
        <v>35</v>
      </c>
      <c r="L1819" t="s">
        <v>30</v>
      </c>
      <c r="M1819" t="s">
        <v>31</v>
      </c>
      <c r="N1819" t="s">
        <v>36</v>
      </c>
      <c r="Q1819" s="4">
        <v>1</v>
      </c>
    </row>
    <row r="1820" spans="1:17" x14ac:dyDescent="0.55000000000000004">
      <c r="A1820" t="s">
        <v>5036</v>
      </c>
      <c r="C1820" t="s">
        <v>28</v>
      </c>
      <c r="E1820" t="s">
        <v>29</v>
      </c>
      <c r="F1820" t="s">
        <v>30</v>
      </c>
      <c r="G1820" t="s">
        <v>31</v>
      </c>
      <c r="I1820" t="s">
        <v>649</v>
      </c>
      <c r="J1820" t="s">
        <v>650</v>
      </c>
      <c r="K1820" t="s">
        <v>35</v>
      </c>
      <c r="L1820" t="s">
        <v>30</v>
      </c>
      <c r="M1820" t="s">
        <v>31</v>
      </c>
      <c r="N1820" t="s">
        <v>36</v>
      </c>
      <c r="Q1820" s="4">
        <v>1</v>
      </c>
    </row>
    <row r="1821" spans="1:17" x14ac:dyDescent="0.55000000000000004">
      <c r="A1821" t="s">
        <v>5037</v>
      </c>
      <c r="C1821" t="s">
        <v>28</v>
      </c>
      <c r="E1821" t="s">
        <v>29</v>
      </c>
      <c r="F1821" t="s">
        <v>30</v>
      </c>
      <c r="G1821" t="s">
        <v>31</v>
      </c>
      <c r="I1821" t="s">
        <v>654</v>
      </c>
      <c r="J1821" t="s">
        <v>655</v>
      </c>
      <c r="K1821" t="s">
        <v>35</v>
      </c>
      <c r="L1821" t="s">
        <v>30</v>
      </c>
      <c r="M1821" t="s">
        <v>31</v>
      </c>
      <c r="N1821" t="s">
        <v>36</v>
      </c>
      <c r="Q1821" s="4">
        <v>1</v>
      </c>
    </row>
    <row r="1822" spans="1:17" x14ac:dyDescent="0.55000000000000004">
      <c r="A1822" t="s">
        <v>5038</v>
      </c>
      <c r="C1822" t="s">
        <v>28</v>
      </c>
      <c r="E1822" t="s">
        <v>29</v>
      </c>
      <c r="F1822" t="s">
        <v>30</v>
      </c>
      <c r="G1822" t="s">
        <v>31</v>
      </c>
      <c r="I1822" t="s">
        <v>659</v>
      </c>
      <c r="J1822" t="s">
        <v>660</v>
      </c>
      <c r="K1822" t="s">
        <v>35</v>
      </c>
      <c r="L1822" t="s">
        <v>30</v>
      </c>
      <c r="M1822" t="s">
        <v>31</v>
      </c>
      <c r="N1822" t="s">
        <v>36</v>
      </c>
      <c r="Q1822" s="4">
        <v>1</v>
      </c>
    </row>
    <row r="1823" spans="1:17" x14ac:dyDescent="0.55000000000000004">
      <c r="A1823" t="s">
        <v>5039</v>
      </c>
      <c r="C1823" t="s">
        <v>28</v>
      </c>
      <c r="E1823" t="s">
        <v>29</v>
      </c>
      <c r="F1823" t="s">
        <v>30</v>
      </c>
      <c r="G1823" t="s">
        <v>31</v>
      </c>
      <c r="I1823" t="s">
        <v>664</v>
      </c>
      <c r="J1823" t="s">
        <v>665</v>
      </c>
      <c r="K1823" t="s">
        <v>35</v>
      </c>
      <c r="L1823" t="s">
        <v>30</v>
      </c>
      <c r="M1823" t="s">
        <v>31</v>
      </c>
      <c r="N1823" t="s">
        <v>36</v>
      </c>
      <c r="Q1823" s="4">
        <v>1</v>
      </c>
    </row>
    <row r="1824" spans="1:17" x14ac:dyDescent="0.55000000000000004">
      <c r="A1824" t="s">
        <v>5040</v>
      </c>
      <c r="C1824" t="s">
        <v>28</v>
      </c>
      <c r="E1824" t="s">
        <v>29</v>
      </c>
      <c r="F1824" t="s">
        <v>30</v>
      </c>
      <c r="G1824" t="s">
        <v>31</v>
      </c>
      <c r="I1824" t="s">
        <v>669</v>
      </c>
      <c r="J1824" t="s">
        <v>670</v>
      </c>
      <c r="K1824" t="s">
        <v>35</v>
      </c>
      <c r="L1824" t="s">
        <v>30</v>
      </c>
      <c r="M1824" t="s">
        <v>31</v>
      </c>
      <c r="N1824" t="s">
        <v>36</v>
      </c>
      <c r="Q1824" s="4">
        <v>1</v>
      </c>
    </row>
    <row r="1825" spans="1:17" x14ac:dyDescent="0.55000000000000004">
      <c r="A1825" t="s">
        <v>5041</v>
      </c>
      <c r="C1825" t="s">
        <v>28</v>
      </c>
      <c r="E1825" t="s">
        <v>29</v>
      </c>
      <c r="F1825" t="s">
        <v>30</v>
      </c>
      <c r="G1825" t="s">
        <v>31</v>
      </c>
      <c r="I1825" t="s">
        <v>674</v>
      </c>
      <c r="J1825" t="s">
        <v>675</v>
      </c>
      <c r="K1825" t="s">
        <v>35</v>
      </c>
      <c r="L1825" t="s">
        <v>30</v>
      </c>
      <c r="M1825" t="s">
        <v>31</v>
      </c>
      <c r="N1825" t="s">
        <v>36</v>
      </c>
      <c r="Q1825" s="4">
        <v>1</v>
      </c>
    </row>
    <row r="1826" spans="1:17" x14ac:dyDescent="0.55000000000000004">
      <c r="A1826" t="s">
        <v>5042</v>
      </c>
      <c r="C1826" t="s">
        <v>28</v>
      </c>
      <c r="E1826" t="s">
        <v>29</v>
      </c>
      <c r="F1826" t="s">
        <v>30</v>
      </c>
      <c r="G1826" t="s">
        <v>31</v>
      </c>
      <c r="I1826" t="s">
        <v>679</v>
      </c>
      <c r="J1826" t="s">
        <v>680</v>
      </c>
      <c r="K1826" t="s">
        <v>35</v>
      </c>
      <c r="L1826" t="s">
        <v>30</v>
      </c>
      <c r="M1826" t="s">
        <v>31</v>
      </c>
      <c r="N1826" t="s">
        <v>36</v>
      </c>
      <c r="Q1826" s="4">
        <v>1</v>
      </c>
    </row>
    <row r="1827" spans="1:17" x14ac:dyDescent="0.55000000000000004">
      <c r="A1827" t="s">
        <v>3901</v>
      </c>
      <c r="C1827" t="s">
        <v>28</v>
      </c>
      <c r="E1827" t="s">
        <v>29</v>
      </c>
      <c r="F1827" t="s">
        <v>30</v>
      </c>
      <c r="G1827" t="s">
        <v>31</v>
      </c>
      <c r="I1827" t="s">
        <v>684</v>
      </c>
      <c r="J1827" t="s">
        <v>685</v>
      </c>
      <c r="K1827" t="s">
        <v>35</v>
      </c>
      <c r="L1827" t="s">
        <v>30</v>
      </c>
      <c r="M1827" t="s">
        <v>31</v>
      </c>
      <c r="N1827" t="s">
        <v>36</v>
      </c>
      <c r="Q1827" s="4">
        <v>1</v>
      </c>
    </row>
    <row r="1828" spans="1:17" x14ac:dyDescent="0.55000000000000004">
      <c r="A1828" t="s">
        <v>3902</v>
      </c>
      <c r="C1828" t="s">
        <v>28</v>
      </c>
      <c r="E1828" t="s">
        <v>29</v>
      </c>
      <c r="F1828" t="s">
        <v>30</v>
      </c>
      <c r="G1828" t="s">
        <v>31</v>
      </c>
      <c r="I1828" t="s">
        <v>689</v>
      </c>
      <c r="J1828" t="s">
        <v>690</v>
      </c>
      <c r="K1828" t="s">
        <v>35</v>
      </c>
      <c r="L1828" t="s">
        <v>30</v>
      </c>
      <c r="M1828" t="s">
        <v>31</v>
      </c>
      <c r="N1828" t="s">
        <v>36</v>
      </c>
      <c r="Q1828" s="4">
        <v>1</v>
      </c>
    </row>
    <row r="1829" spans="1:17" x14ac:dyDescent="0.55000000000000004">
      <c r="A1829" t="s">
        <v>3903</v>
      </c>
      <c r="C1829" t="s">
        <v>28</v>
      </c>
      <c r="E1829" t="s">
        <v>29</v>
      </c>
      <c r="F1829" t="s">
        <v>30</v>
      </c>
      <c r="G1829" t="s">
        <v>31</v>
      </c>
      <c r="I1829" t="s">
        <v>694</v>
      </c>
      <c r="J1829" t="s">
        <v>695</v>
      </c>
      <c r="K1829" t="s">
        <v>35</v>
      </c>
      <c r="L1829" t="s">
        <v>30</v>
      </c>
      <c r="M1829" t="s">
        <v>31</v>
      </c>
      <c r="N1829" t="s">
        <v>36</v>
      </c>
      <c r="Q1829" s="4">
        <v>1</v>
      </c>
    </row>
    <row r="1830" spans="1:17" x14ac:dyDescent="0.55000000000000004">
      <c r="A1830" t="s">
        <v>3904</v>
      </c>
      <c r="C1830" t="s">
        <v>28</v>
      </c>
      <c r="E1830" t="s">
        <v>29</v>
      </c>
      <c r="F1830" t="s">
        <v>30</v>
      </c>
      <c r="G1830" t="s">
        <v>31</v>
      </c>
      <c r="I1830" t="s">
        <v>699</v>
      </c>
      <c r="J1830" t="s">
        <v>700</v>
      </c>
      <c r="K1830" t="s">
        <v>35</v>
      </c>
      <c r="L1830" t="s">
        <v>30</v>
      </c>
      <c r="M1830" t="s">
        <v>31</v>
      </c>
      <c r="N1830" t="s">
        <v>36</v>
      </c>
      <c r="Q1830" s="4">
        <v>1</v>
      </c>
    </row>
    <row r="1831" spans="1:17" x14ac:dyDescent="0.55000000000000004">
      <c r="A1831" t="s">
        <v>3905</v>
      </c>
      <c r="C1831" t="s">
        <v>28</v>
      </c>
      <c r="E1831" t="s">
        <v>29</v>
      </c>
      <c r="F1831" t="s">
        <v>30</v>
      </c>
      <c r="G1831" t="s">
        <v>31</v>
      </c>
      <c r="I1831" t="s">
        <v>704</v>
      </c>
      <c r="J1831" t="s">
        <v>705</v>
      </c>
      <c r="K1831" t="s">
        <v>35</v>
      </c>
      <c r="L1831" t="s">
        <v>30</v>
      </c>
      <c r="M1831" t="s">
        <v>31</v>
      </c>
      <c r="N1831" t="s">
        <v>36</v>
      </c>
      <c r="Q1831" s="4">
        <v>1</v>
      </c>
    </row>
    <row r="1832" spans="1:17" x14ac:dyDescent="0.55000000000000004">
      <c r="A1832" t="s">
        <v>3906</v>
      </c>
      <c r="C1832" t="s">
        <v>28</v>
      </c>
      <c r="E1832" t="s">
        <v>29</v>
      </c>
      <c r="F1832" t="s">
        <v>30</v>
      </c>
      <c r="G1832" t="s">
        <v>31</v>
      </c>
      <c r="I1832" t="s">
        <v>709</v>
      </c>
      <c r="J1832" t="s">
        <v>710</v>
      </c>
      <c r="K1832" t="s">
        <v>35</v>
      </c>
      <c r="L1832" t="s">
        <v>30</v>
      </c>
      <c r="M1832" t="s">
        <v>31</v>
      </c>
      <c r="N1832" t="s">
        <v>36</v>
      </c>
      <c r="Q1832" s="4">
        <v>1</v>
      </c>
    </row>
    <row r="1833" spans="1:17" x14ac:dyDescent="0.55000000000000004">
      <c r="A1833" t="s">
        <v>3907</v>
      </c>
      <c r="C1833" t="s">
        <v>28</v>
      </c>
      <c r="E1833" t="s">
        <v>29</v>
      </c>
      <c r="F1833" t="s">
        <v>30</v>
      </c>
      <c r="G1833" t="s">
        <v>31</v>
      </c>
      <c r="I1833" t="s">
        <v>714</v>
      </c>
      <c r="J1833" t="s">
        <v>715</v>
      </c>
      <c r="K1833" t="s">
        <v>35</v>
      </c>
      <c r="L1833" t="s">
        <v>30</v>
      </c>
      <c r="M1833" t="s">
        <v>31</v>
      </c>
      <c r="N1833" t="s">
        <v>36</v>
      </c>
      <c r="Q1833" s="4">
        <v>1</v>
      </c>
    </row>
    <row r="1834" spans="1:17" x14ac:dyDescent="0.55000000000000004">
      <c r="A1834" t="s">
        <v>3908</v>
      </c>
      <c r="C1834" t="s">
        <v>28</v>
      </c>
      <c r="E1834" t="s">
        <v>29</v>
      </c>
      <c r="F1834" t="s">
        <v>30</v>
      </c>
      <c r="G1834" t="s">
        <v>31</v>
      </c>
      <c r="I1834" t="s">
        <v>719</v>
      </c>
      <c r="J1834" t="s">
        <v>720</v>
      </c>
      <c r="K1834" t="s">
        <v>35</v>
      </c>
      <c r="L1834" t="s">
        <v>30</v>
      </c>
      <c r="M1834" t="s">
        <v>31</v>
      </c>
      <c r="N1834" t="s">
        <v>36</v>
      </c>
      <c r="Q1834" s="4">
        <v>1</v>
      </c>
    </row>
    <row r="1835" spans="1:17" x14ac:dyDescent="0.55000000000000004">
      <c r="A1835" t="s">
        <v>3909</v>
      </c>
      <c r="C1835" t="s">
        <v>28</v>
      </c>
      <c r="E1835" t="s">
        <v>29</v>
      </c>
      <c r="F1835" t="s">
        <v>30</v>
      </c>
      <c r="G1835" t="s">
        <v>31</v>
      </c>
      <c r="I1835" t="s">
        <v>724</v>
      </c>
      <c r="J1835" t="s">
        <v>725</v>
      </c>
      <c r="K1835" t="s">
        <v>35</v>
      </c>
      <c r="L1835" t="s">
        <v>30</v>
      </c>
      <c r="M1835" t="s">
        <v>31</v>
      </c>
      <c r="N1835" t="s">
        <v>36</v>
      </c>
      <c r="Q1835" s="4">
        <v>1</v>
      </c>
    </row>
    <row r="1836" spans="1:17" x14ac:dyDescent="0.55000000000000004">
      <c r="A1836" t="s">
        <v>3910</v>
      </c>
      <c r="C1836" t="s">
        <v>28</v>
      </c>
      <c r="E1836" t="s">
        <v>29</v>
      </c>
      <c r="F1836" t="s">
        <v>30</v>
      </c>
      <c r="G1836" t="s">
        <v>31</v>
      </c>
      <c r="I1836" t="s">
        <v>729</v>
      </c>
      <c r="J1836" t="s">
        <v>730</v>
      </c>
      <c r="K1836" t="s">
        <v>35</v>
      </c>
      <c r="L1836" t="s">
        <v>30</v>
      </c>
      <c r="M1836" t="s">
        <v>31</v>
      </c>
      <c r="N1836" t="s">
        <v>36</v>
      </c>
      <c r="Q1836" s="4">
        <v>1</v>
      </c>
    </row>
    <row r="1837" spans="1:17" x14ac:dyDescent="0.55000000000000004">
      <c r="A1837" t="s">
        <v>3911</v>
      </c>
      <c r="C1837" t="s">
        <v>28</v>
      </c>
      <c r="E1837" t="s">
        <v>29</v>
      </c>
      <c r="F1837" t="s">
        <v>30</v>
      </c>
      <c r="G1837" t="s">
        <v>31</v>
      </c>
      <c r="I1837" t="s">
        <v>734</v>
      </c>
      <c r="J1837" t="s">
        <v>735</v>
      </c>
      <c r="K1837" t="s">
        <v>35</v>
      </c>
      <c r="L1837" t="s">
        <v>30</v>
      </c>
      <c r="M1837" t="s">
        <v>31</v>
      </c>
      <c r="N1837" t="s">
        <v>36</v>
      </c>
      <c r="Q1837" s="4">
        <v>1</v>
      </c>
    </row>
    <row r="1838" spans="1:17" x14ac:dyDescent="0.55000000000000004">
      <c r="A1838" t="s">
        <v>5043</v>
      </c>
      <c r="C1838" t="s">
        <v>28</v>
      </c>
      <c r="E1838" t="s">
        <v>29</v>
      </c>
      <c r="F1838" t="s">
        <v>30</v>
      </c>
      <c r="G1838" t="s">
        <v>31</v>
      </c>
      <c r="I1838" t="s">
        <v>739</v>
      </c>
      <c r="J1838" t="s">
        <v>740</v>
      </c>
      <c r="K1838" t="s">
        <v>35</v>
      </c>
      <c r="L1838" t="s">
        <v>30</v>
      </c>
      <c r="M1838" t="s">
        <v>31</v>
      </c>
      <c r="N1838" t="s">
        <v>36</v>
      </c>
      <c r="Q1838" s="4">
        <v>1</v>
      </c>
    </row>
    <row r="1839" spans="1:17" x14ac:dyDescent="0.55000000000000004">
      <c r="A1839" t="s">
        <v>5044</v>
      </c>
      <c r="C1839" t="s">
        <v>28</v>
      </c>
      <c r="E1839" t="s">
        <v>29</v>
      </c>
      <c r="F1839" t="s">
        <v>30</v>
      </c>
      <c r="G1839" t="s">
        <v>31</v>
      </c>
      <c r="I1839" t="s">
        <v>744</v>
      </c>
      <c r="J1839" t="s">
        <v>745</v>
      </c>
      <c r="K1839" t="s">
        <v>35</v>
      </c>
      <c r="L1839" t="s">
        <v>30</v>
      </c>
      <c r="M1839" t="s">
        <v>31</v>
      </c>
      <c r="N1839" t="s">
        <v>36</v>
      </c>
      <c r="Q1839" s="4">
        <v>1</v>
      </c>
    </row>
    <row r="1840" spans="1:17" x14ac:dyDescent="0.55000000000000004">
      <c r="A1840" t="s">
        <v>5045</v>
      </c>
      <c r="C1840" t="s">
        <v>28</v>
      </c>
      <c r="E1840" t="s">
        <v>29</v>
      </c>
      <c r="F1840" t="s">
        <v>30</v>
      </c>
      <c r="G1840" t="s">
        <v>31</v>
      </c>
      <c r="I1840" t="s">
        <v>749</v>
      </c>
      <c r="J1840" t="s">
        <v>750</v>
      </c>
      <c r="K1840" t="s">
        <v>35</v>
      </c>
      <c r="L1840" t="s">
        <v>30</v>
      </c>
      <c r="M1840" t="s">
        <v>31</v>
      </c>
      <c r="N1840" t="s">
        <v>36</v>
      </c>
      <c r="Q1840" s="4">
        <v>1</v>
      </c>
    </row>
    <row r="1841" spans="1:17" x14ac:dyDescent="0.55000000000000004">
      <c r="A1841" t="s">
        <v>5046</v>
      </c>
      <c r="C1841" t="s">
        <v>28</v>
      </c>
      <c r="E1841" t="s">
        <v>29</v>
      </c>
      <c r="F1841" t="s">
        <v>30</v>
      </c>
      <c r="G1841" t="s">
        <v>31</v>
      </c>
      <c r="I1841" t="s">
        <v>754</v>
      </c>
      <c r="J1841" t="s">
        <v>755</v>
      </c>
      <c r="K1841" t="s">
        <v>35</v>
      </c>
      <c r="L1841" t="s">
        <v>30</v>
      </c>
      <c r="M1841" t="s">
        <v>31</v>
      </c>
      <c r="N1841" t="s">
        <v>36</v>
      </c>
      <c r="Q1841" s="4">
        <v>1</v>
      </c>
    </row>
    <row r="1842" spans="1:17" x14ac:dyDescent="0.55000000000000004">
      <c r="A1842" t="s">
        <v>5047</v>
      </c>
      <c r="C1842" t="s">
        <v>28</v>
      </c>
      <c r="E1842" t="s">
        <v>29</v>
      </c>
      <c r="F1842" t="s">
        <v>30</v>
      </c>
      <c r="G1842" t="s">
        <v>31</v>
      </c>
      <c r="I1842" t="s">
        <v>759</v>
      </c>
      <c r="J1842" t="s">
        <v>760</v>
      </c>
      <c r="K1842" t="s">
        <v>35</v>
      </c>
      <c r="L1842" t="s">
        <v>30</v>
      </c>
      <c r="M1842" t="s">
        <v>31</v>
      </c>
      <c r="N1842" t="s">
        <v>36</v>
      </c>
      <c r="Q1842" s="4">
        <v>1</v>
      </c>
    </row>
    <row r="1843" spans="1:17" x14ac:dyDescent="0.55000000000000004">
      <c r="A1843" t="s">
        <v>5048</v>
      </c>
      <c r="C1843" t="s">
        <v>28</v>
      </c>
      <c r="E1843" t="s">
        <v>29</v>
      </c>
      <c r="F1843" t="s">
        <v>30</v>
      </c>
      <c r="G1843" t="s">
        <v>31</v>
      </c>
      <c r="I1843" t="s">
        <v>764</v>
      </c>
      <c r="J1843" t="s">
        <v>765</v>
      </c>
      <c r="K1843" t="s">
        <v>35</v>
      </c>
      <c r="L1843" t="s">
        <v>30</v>
      </c>
      <c r="M1843" t="s">
        <v>31</v>
      </c>
      <c r="N1843" t="s">
        <v>36</v>
      </c>
      <c r="Q1843" s="4">
        <v>1</v>
      </c>
    </row>
    <row r="1844" spans="1:17" x14ac:dyDescent="0.55000000000000004">
      <c r="A1844" t="s">
        <v>5049</v>
      </c>
      <c r="C1844" t="s">
        <v>28</v>
      </c>
      <c r="E1844" t="s">
        <v>29</v>
      </c>
      <c r="F1844" t="s">
        <v>30</v>
      </c>
      <c r="G1844" t="s">
        <v>31</v>
      </c>
      <c r="I1844" t="s">
        <v>769</v>
      </c>
      <c r="J1844" t="s">
        <v>770</v>
      </c>
      <c r="K1844" t="s">
        <v>35</v>
      </c>
      <c r="L1844" t="s">
        <v>30</v>
      </c>
      <c r="M1844" t="s">
        <v>31</v>
      </c>
      <c r="N1844" t="s">
        <v>36</v>
      </c>
      <c r="Q1844" s="4">
        <v>1</v>
      </c>
    </row>
    <row r="1845" spans="1:17" x14ac:dyDescent="0.55000000000000004">
      <c r="A1845" t="s">
        <v>5050</v>
      </c>
      <c r="C1845" t="s">
        <v>28</v>
      </c>
      <c r="E1845" t="s">
        <v>29</v>
      </c>
      <c r="F1845" t="s">
        <v>30</v>
      </c>
      <c r="G1845" t="s">
        <v>31</v>
      </c>
      <c r="I1845" t="s">
        <v>774</v>
      </c>
      <c r="J1845" t="s">
        <v>775</v>
      </c>
      <c r="K1845" t="s">
        <v>35</v>
      </c>
      <c r="L1845" t="s">
        <v>30</v>
      </c>
      <c r="M1845" t="s">
        <v>31</v>
      </c>
      <c r="N1845" t="s">
        <v>36</v>
      </c>
      <c r="Q1845" s="4">
        <v>1</v>
      </c>
    </row>
    <row r="1846" spans="1:17" x14ac:dyDescent="0.55000000000000004">
      <c r="A1846" t="s">
        <v>5051</v>
      </c>
      <c r="C1846" t="s">
        <v>28</v>
      </c>
      <c r="E1846" t="s">
        <v>29</v>
      </c>
      <c r="F1846" t="s">
        <v>30</v>
      </c>
      <c r="G1846" t="s">
        <v>31</v>
      </c>
      <c r="I1846" t="s">
        <v>779</v>
      </c>
      <c r="J1846" t="s">
        <v>780</v>
      </c>
      <c r="K1846" t="s">
        <v>35</v>
      </c>
      <c r="L1846" t="s">
        <v>30</v>
      </c>
      <c r="M1846" t="s">
        <v>31</v>
      </c>
      <c r="N1846" t="s">
        <v>36</v>
      </c>
      <c r="Q1846" s="4">
        <v>1</v>
      </c>
    </row>
    <row r="1847" spans="1:17" x14ac:dyDescent="0.55000000000000004">
      <c r="A1847" t="s">
        <v>5052</v>
      </c>
      <c r="C1847" t="s">
        <v>28</v>
      </c>
      <c r="E1847" t="s">
        <v>29</v>
      </c>
      <c r="F1847" t="s">
        <v>30</v>
      </c>
      <c r="G1847" t="s">
        <v>31</v>
      </c>
      <c r="I1847" t="s">
        <v>784</v>
      </c>
      <c r="J1847" t="s">
        <v>785</v>
      </c>
      <c r="K1847" t="s">
        <v>35</v>
      </c>
      <c r="L1847" t="s">
        <v>30</v>
      </c>
      <c r="M1847" t="s">
        <v>31</v>
      </c>
      <c r="N1847" t="s">
        <v>36</v>
      </c>
      <c r="Q1847" s="4">
        <v>1</v>
      </c>
    </row>
    <row r="1848" spans="1:17" x14ac:dyDescent="0.55000000000000004">
      <c r="A1848" t="s">
        <v>5053</v>
      </c>
      <c r="C1848" t="s">
        <v>28</v>
      </c>
      <c r="E1848" t="s">
        <v>29</v>
      </c>
      <c r="F1848" t="s">
        <v>30</v>
      </c>
      <c r="G1848" t="s">
        <v>31</v>
      </c>
      <c r="I1848" t="s">
        <v>789</v>
      </c>
      <c r="J1848" t="s">
        <v>790</v>
      </c>
      <c r="K1848" t="s">
        <v>35</v>
      </c>
      <c r="L1848" t="s">
        <v>30</v>
      </c>
      <c r="M1848" t="s">
        <v>31</v>
      </c>
      <c r="N1848" t="s">
        <v>36</v>
      </c>
      <c r="Q1848" s="4">
        <v>1</v>
      </c>
    </row>
    <row r="1849" spans="1:17" x14ac:dyDescent="0.55000000000000004">
      <c r="A1849" t="s">
        <v>5054</v>
      </c>
      <c r="C1849" t="s">
        <v>28</v>
      </c>
      <c r="E1849" t="s">
        <v>29</v>
      </c>
      <c r="F1849" t="s">
        <v>30</v>
      </c>
      <c r="G1849" t="s">
        <v>31</v>
      </c>
      <c r="I1849" t="s">
        <v>794</v>
      </c>
      <c r="J1849" t="s">
        <v>795</v>
      </c>
      <c r="K1849" t="s">
        <v>35</v>
      </c>
      <c r="L1849" t="s">
        <v>30</v>
      </c>
      <c r="M1849" t="s">
        <v>31</v>
      </c>
      <c r="N1849" t="s">
        <v>36</v>
      </c>
      <c r="Q1849" s="4">
        <v>1</v>
      </c>
    </row>
    <row r="1850" spans="1:17" x14ac:dyDescent="0.55000000000000004">
      <c r="A1850" t="s">
        <v>5055</v>
      </c>
      <c r="C1850" t="s">
        <v>28</v>
      </c>
      <c r="E1850" t="s">
        <v>29</v>
      </c>
      <c r="F1850" t="s">
        <v>30</v>
      </c>
      <c r="G1850" t="s">
        <v>31</v>
      </c>
      <c r="I1850" t="s">
        <v>799</v>
      </c>
      <c r="J1850" t="s">
        <v>800</v>
      </c>
      <c r="K1850" t="s">
        <v>35</v>
      </c>
      <c r="L1850" t="s">
        <v>30</v>
      </c>
      <c r="M1850" t="s">
        <v>31</v>
      </c>
      <c r="N1850" t="s">
        <v>36</v>
      </c>
      <c r="Q1850" s="4">
        <v>1</v>
      </c>
    </row>
    <row r="1851" spans="1:17" x14ac:dyDescent="0.55000000000000004">
      <c r="A1851" t="s">
        <v>5056</v>
      </c>
      <c r="C1851" t="s">
        <v>28</v>
      </c>
      <c r="E1851" t="s">
        <v>29</v>
      </c>
      <c r="F1851" t="s">
        <v>30</v>
      </c>
      <c r="G1851" t="s">
        <v>31</v>
      </c>
      <c r="I1851" t="s">
        <v>804</v>
      </c>
      <c r="J1851" t="s">
        <v>805</v>
      </c>
      <c r="K1851" t="s">
        <v>35</v>
      </c>
      <c r="L1851" t="s">
        <v>30</v>
      </c>
      <c r="M1851" t="s">
        <v>31</v>
      </c>
      <c r="N1851" t="s">
        <v>36</v>
      </c>
      <c r="Q1851" s="4">
        <v>1</v>
      </c>
    </row>
    <row r="1852" spans="1:17" x14ac:dyDescent="0.55000000000000004">
      <c r="A1852" t="s">
        <v>5057</v>
      </c>
      <c r="C1852" t="s">
        <v>28</v>
      </c>
      <c r="E1852" t="s">
        <v>29</v>
      </c>
      <c r="F1852" t="s">
        <v>30</v>
      </c>
      <c r="G1852" t="s">
        <v>31</v>
      </c>
      <c r="I1852" t="s">
        <v>809</v>
      </c>
      <c r="J1852" t="s">
        <v>810</v>
      </c>
      <c r="K1852" t="s">
        <v>35</v>
      </c>
      <c r="L1852" t="s">
        <v>30</v>
      </c>
      <c r="M1852" t="s">
        <v>31</v>
      </c>
      <c r="N1852" t="s">
        <v>36</v>
      </c>
      <c r="Q1852" s="4">
        <v>1</v>
      </c>
    </row>
    <row r="1853" spans="1:17" x14ac:dyDescent="0.55000000000000004">
      <c r="A1853" t="s">
        <v>5058</v>
      </c>
      <c r="C1853" t="s">
        <v>28</v>
      </c>
      <c r="E1853" t="s">
        <v>29</v>
      </c>
      <c r="F1853" t="s">
        <v>30</v>
      </c>
      <c r="G1853" t="s">
        <v>31</v>
      </c>
      <c r="I1853" t="s">
        <v>814</v>
      </c>
      <c r="J1853" t="s">
        <v>815</v>
      </c>
      <c r="K1853" t="s">
        <v>35</v>
      </c>
      <c r="L1853" t="s">
        <v>30</v>
      </c>
      <c r="M1853" t="s">
        <v>31</v>
      </c>
      <c r="N1853" t="s">
        <v>36</v>
      </c>
      <c r="Q1853" s="4">
        <v>1</v>
      </c>
    </row>
    <row r="1854" spans="1:17" x14ac:dyDescent="0.55000000000000004">
      <c r="A1854" t="s">
        <v>5059</v>
      </c>
      <c r="C1854" t="s">
        <v>28</v>
      </c>
      <c r="E1854" t="s">
        <v>29</v>
      </c>
      <c r="F1854" t="s">
        <v>30</v>
      </c>
      <c r="G1854" t="s">
        <v>31</v>
      </c>
      <c r="I1854" t="s">
        <v>819</v>
      </c>
      <c r="J1854" t="s">
        <v>820</v>
      </c>
      <c r="K1854" t="s">
        <v>35</v>
      </c>
      <c r="L1854" t="s">
        <v>30</v>
      </c>
      <c r="M1854" t="s">
        <v>31</v>
      </c>
      <c r="N1854" t="s">
        <v>36</v>
      </c>
      <c r="Q1854" s="4">
        <v>1</v>
      </c>
    </row>
    <row r="1855" spans="1:17" x14ac:dyDescent="0.55000000000000004">
      <c r="A1855" t="s">
        <v>5060</v>
      </c>
      <c r="C1855" t="s">
        <v>28</v>
      </c>
      <c r="E1855" t="s">
        <v>29</v>
      </c>
      <c r="F1855" t="s">
        <v>30</v>
      </c>
      <c r="G1855" t="s">
        <v>31</v>
      </c>
      <c r="I1855" t="s">
        <v>824</v>
      </c>
      <c r="J1855" t="s">
        <v>825</v>
      </c>
      <c r="K1855" t="s">
        <v>35</v>
      </c>
      <c r="L1855" t="s">
        <v>30</v>
      </c>
      <c r="M1855" t="s">
        <v>31</v>
      </c>
      <c r="N1855" t="s">
        <v>36</v>
      </c>
      <c r="Q1855" s="4">
        <v>1</v>
      </c>
    </row>
    <row r="1856" spans="1:17" x14ac:dyDescent="0.55000000000000004">
      <c r="A1856" t="s">
        <v>5061</v>
      </c>
      <c r="C1856" t="s">
        <v>28</v>
      </c>
      <c r="E1856" t="s">
        <v>29</v>
      </c>
      <c r="F1856" t="s">
        <v>30</v>
      </c>
      <c r="G1856" t="s">
        <v>31</v>
      </c>
      <c r="I1856" t="s">
        <v>829</v>
      </c>
      <c r="J1856" t="s">
        <v>830</v>
      </c>
      <c r="K1856" t="s">
        <v>35</v>
      </c>
      <c r="L1856" t="s">
        <v>30</v>
      </c>
      <c r="M1856" t="s">
        <v>31</v>
      </c>
      <c r="N1856" t="s">
        <v>36</v>
      </c>
      <c r="Q1856" s="4">
        <v>1</v>
      </c>
    </row>
    <row r="1857" spans="1:17" x14ac:dyDescent="0.55000000000000004">
      <c r="A1857" t="s">
        <v>5062</v>
      </c>
      <c r="C1857" t="s">
        <v>28</v>
      </c>
      <c r="E1857" t="s">
        <v>29</v>
      </c>
      <c r="F1857" t="s">
        <v>30</v>
      </c>
      <c r="G1857" t="s">
        <v>31</v>
      </c>
      <c r="I1857" t="s">
        <v>834</v>
      </c>
      <c r="J1857" t="s">
        <v>835</v>
      </c>
      <c r="K1857" t="s">
        <v>35</v>
      </c>
      <c r="L1857" t="s">
        <v>30</v>
      </c>
      <c r="M1857" t="s">
        <v>31</v>
      </c>
      <c r="N1857" t="s">
        <v>36</v>
      </c>
      <c r="Q1857" s="4">
        <v>1</v>
      </c>
    </row>
    <row r="1858" spans="1:17" x14ac:dyDescent="0.55000000000000004">
      <c r="A1858" t="s">
        <v>5063</v>
      </c>
      <c r="C1858" t="s">
        <v>28</v>
      </c>
      <c r="E1858" t="s">
        <v>29</v>
      </c>
      <c r="F1858" t="s">
        <v>30</v>
      </c>
      <c r="G1858" t="s">
        <v>31</v>
      </c>
      <c r="I1858" t="s">
        <v>839</v>
      </c>
      <c r="J1858" t="s">
        <v>840</v>
      </c>
      <c r="K1858" t="s">
        <v>35</v>
      </c>
      <c r="L1858" t="s">
        <v>30</v>
      </c>
      <c r="M1858" t="s">
        <v>31</v>
      </c>
      <c r="N1858" t="s">
        <v>36</v>
      </c>
      <c r="Q1858" s="4">
        <v>1</v>
      </c>
    </row>
    <row r="1859" spans="1:17" x14ac:dyDescent="0.55000000000000004">
      <c r="A1859" t="s">
        <v>5064</v>
      </c>
      <c r="C1859" t="s">
        <v>28</v>
      </c>
      <c r="E1859" t="s">
        <v>29</v>
      </c>
      <c r="F1859" t="s">
        <v>30</v>
      </c>
      <c r="G1859" t="s">
        <v>31</v>
      </c>
      <c r="I1859" t="s">
        <v>844</v>
      </c>
      <c r="J1859" t="s">
        <v>845</v>
      </c>
      <c r="K1859" t="s">
        <v>35</v>
      </c>
      <c r="L1859" t="s">
        <v>30</v>
      </c>
      <c r="M1859" t="s">
        <v>31</v>
      </c>
      <c r="N1859" t="s">
        <v>36</v>
      </c>
      <c r="Q1859" s="4">
        <v>1</v>
      </c>
    </row>
    <row r="1860" spans="1:17" x14ac:dyDescent="0.55000000000000004">
      <c r="A1860" t="s">
        <v>5065</v>
      </c>
      <c r="C1860" t="s">
        <v>28</v>
      </c>
      <c r="E1860" t="s">
        <v>29</v>
      </c>
      <c r="F1860" t="s">
        <v>30</v>
      </c>
      <c r="G1860" t="s">
        <v>31</v>
      </c>
      <c r="I1860" t="s">
        <v>849</v>
      </c>
      <c r="J1860" t="s">
        <v>850</v>
      </c>
      <c r="K1860" t="s">
        <v>35</v>
      </c>
      <c r="L1860" t="s">
        <v>30</v>
      </c>
      <c r="M1860" t="s">
        <v>31</v>
      </c>
      <c r="N1860" t="s">
        <v>36</v>
      </c>
      <c r="Q1860" s="4">
        <v>1</v>
      </c>
    </row>
    <row r="1861" spans="1:17" x14ac:dyDescent="0.55000000000000004">
      <c r="A1861" t="s">
        <v>5066</v>
      </c>
      <c r="C1861" t="s">
        <v>28</v>
      </c>
      <c r="E1861" t="s">
        <v>29</v>
      </c>
      <c r="F1861" t="s">
        <v>30</v>
      </c>
      <c r="G1861" t="s">
        <v>31</v>
      </c>
      <c r="I1861" t="s">
        <v>854</v>
      </c>
      <c r="J1861" t="s">
        <v>855</v>
      </c>
      <c r="K1861" t="s">
        <v>35</v>
      </c>
      <c r="L1861" t="s">
        <v>30</v>
      </c>
      <c r="M1861" t="s">
        <v>31</v>
      </c>
      <c r="N1861" t="s">
        <v>36</v>
      </c>
      <c r="Q1861" s="4">
        <v>1</v>
      </c>
    </row>
    <row r="1862" spans="1:17" x14ac:dyDescent="0.55000000000000004">
      <c r="A1862" t="s">
        <v>5067</v>
      </c>
      <c r="C1862" t="s">
        <v>28</v>
      </c>
      <c r="E1862" t="s">
        <v>29</v>
      </c>
      <c r="F1862" t="s">
        <v>30</v>
      </c>
      <c r="G1862" t="s">
        <v>31</v>
      </c>
      <c r="I1862" t="s">
        <v>859</v>
      </c>
      <c r="J1862" t="s">
        <v>860</v>
      </c>
      <c r="K1862" t="s">
        <v>35</v>
      </c>
      <c r="L1862" t="s">
        <v>30</v>
      </c>
      <c r="M1862" t="s">
        <v>31</v>
      </c>
      <c r="N1862" t="s">
        <v>36</v>
      </c>
      <c r="Q1862" s="4">
        <v>1</v>
      </c>
    </row>
    <row r="1863" spans="1:17" x14ac:dyDescent="0.55000000000000004">
      <c r="A1863" t="s">
        <v>5068</v>
      </c>
      <c r="C1863" t="s">
        <v>28</v>
      </c>
      <c r="E1863" t="s">
        <v>29</v>
      </c>
      <c r="F1863" t="s">
        <v>30</v>
      </c>
      <c r="G1863" t="s">
        <v>31</v>
      </c>
      <c r="I1863" t="s">
        <v>864</v>
      </c>
      <c r="J1863" t="s">
        <v>865</v>
      </c>
      <c r="K1863" t="s">
        <v>35</v>
      </c>
      <c r="L1863" t="s">
        <v>30</v>
      </c>
      <c r="M1863" t="s">
        <v>31</v>
      </c>
      <c r="N1863" t="s">
        <v>36</v>
      </c>
      <c r="Q1863" s="4">
        <v>1</v>
      </c>
    </row>
    <row r="1864" spans="1:17" x14ac:dyDescent="0.55000000000000004">
      <c r="A1864" t="s">
        <v>5069</v>
      </c>
      <c r="C1864" t="s">
        <v>28</v>
      </c>
      <c r="E1864" t="s">
        <v>29</v>
      </c>
      <c r="F1864" t="s">
        <v>30</v>
      </c>
      <c r="G1864" t="s">
        <v>31</v>
      </c>
      <c r="I1864" t="s">
        <v>869</v>
      </c>
      <c r="J1864" t="s">
        <v>870</v>
      </c>
      <c r="K1864" t="s">
        <v>35</v>
      </c>
      <c r="L1864" t="s">
        <v>30</v>
      </c>
      <c r="M1864" t="s">
        <v>31</v>
      </c>
      <c r="N1864" t="s">
        <v>36</v>
      </c>
      <c r="Q1864" s="4">
        <v>1</v>
      </c>
    </row>
    <row r="1865" spans="1:17" x14ac:dyDescent="0.55000000000000004">
      <c r="A1865" t="s">
        <v>5070</v>
      </c>
      <c r="C1865" t="s">
        <v>28</v>
      </c>
      <c r="E1865" t="s">
        <v>29</v>
      </c>
      <c r="F1865" t="s">
        <v>30</v>
      </c>
      <c r="G1865" t="s">
        <v>31</v>
      </c>
      <c r="I1865" t="s">
        <v>874</v>
      </c>
      <c r="J1865" t="s">
        <v>875</v>
      </c>
      <c r="K1865" t="s">
        <v>35</v>
      </c>
      <c r="L1865" t="s">
        <v>30</v>
      </c>
      <c r="M1865" t="s">
        <v>31</v>
      </c>
      <c r="N1865" t="s">
        <v>36</v>
      </c>
      <c r="Q1865" s="4">
        <v>1</v>
      </c>
    </row>
    <row r="1866" spans="1:17" x14ac:dyDescent="0.55000000000000004">
      <c r="A1866" t="s">
        <v>5071</v>
      </c>
      <c r="C1866" t="s">
        <v>28</v>
      </c>
      <c r="E1866" t="s">
        <v>29</v>
      </c>
      <c r="F1866" t="s">
        <v>30</v>
      </c>
      <c r="G1866" t="s">
        <v>31</v>
      </c>
      <c r="I1866" t="s">
        <v>879</v>
      </c>
      <c r="J1866" t="s">
        <v>880</v>
      </c>
      <c r="K1866" t="s">
        <v>35</v>
      </c>
      <c r="L1866" t="s">
        <v>30</v>
      </c>
      <c r="M1866" t="s">
        <v>31</v>
      </c>
      <c r="N1866" t="s">
        <v>36</v>
      </c>
      <c r="Q1866" s="4">
        <v>1</v>
      </c>
    </row>
    <row r="1867" spans="1:17" x14ac:dyDescent="0.55000000000000004">
      <c r="A1867" t="s">
        <v>5072</v>
      </c>
      <c r="C1867" t="s">
        <v>28</v>
      </c>
      <c r="E1867" t="s">
        <v>29</v>
      </c>
      <c r="F1867" t="s">
        <v>30</v>
      </c>
      <c r="G1867" t="s">
        <v>31</v>
      </c>
      <c r="I1867" t="s">
        <v>884</v>
      </c>
      <c r="J1867" t="s">
        <v>885</v>
      </c>
      <c r="K1867" t="s">
        <v>35</v>
      </c>
      <c r="L1867" t="s">
        <v>30</v>
      </c>
      <c r="M1867" t="s">
        <v>31</v>
      </c>
      <c r="N1867" t="s">
        <v>36</v>
      </c>
      <c r="Q1867" s="4">
        <v>1</v>
      </c>
    </row>
    <row r="1868" spans="1:17" x14ac:dyDescent="0.55000000000000004">
      <c r="A1868" t="s">
        <v>5073</v>
      </c>
      <c r="C1868" t="s">
        <v>28</v>
      </c>
      <c r="E1868" t="s">
        <v>29</v>
      </c>
      <c r="F1868" t="s">
        <v>30</v>
      </c>
      <c r="G1868" t="s">
        <v>31</v>
      </c>
      <c r="I1868" t="s">
        <v>889</v>
      </c>
      <c r="J1868" t="s">
        <v>890</v>
      </c>
      <c r="K1868" t="s">
        <v>35</v>
      </c>
      <c r="L1868" t="s">
        <v>30</v>
      </c>
      <c r="M1868" t="s">
        <v>31</v>
      </c>
      <c r="N1868" t="s">
        <v>36</v>
      </c>
      <c r="Q1868" s="4">
        <v>1</v>
      </c>
    </row>
    <row r="1869" spans="1:17" x14ac:dyDescent="0.55000000000000004">
      <c r="A1869" t="s">
        <v>5074</v>
      </c>
      <c r="C1869" t="s">
        <v>28</v>
      </c>
      <c r="E1869" t="s">
        <v>29</v>
      </c>
      <c r="F1869" t="s">
        <v>30</v>
      </c>
      <c r="G1869" t="s">
        <v>31</v>
      </c>
      <c r="I1869" t="s">
        <v>894</v>
      </c>
      <c r="J1869" t="s">
        <v>895</v>
      </c>
      <c r="K1869" t="s">
        <v>35</v>
      </c>
      <c r="L1869" t="s">
        <v>30</v>
      </c>
      <c r="M1869" t="s">
        <v>31</v>
      </c>
      <c r="N1869" t="s">
        <v>36</v>
      </c>
      <c r="Q1869" s="4">
        <v>1</v>
      </c>
    </row>
    <row r="1870" spans="1:17" x14ac:dyDescent="0.55000000000000004">
      <c r="A1870" t="s">
        <v>5075</v>
      </c>
      <c r="C1870" t="s">
        <v>28</v>
      </c>
      <c r="E1870" t="s">
        <v>29</v>
      </c>
      <c r="F1870" t="s">
        <v>30</v>
      </c>
      <c r="G1870" t="s">
        <v>31</v>
      </c>
      <c r="I1870" t="s">
        <v>899</v>
      </c>
      <c r="J1870" t="s">
        <v>900</v>
      </c>
      <c r="K1870" t="s">
        <v>35</v>
      </c>
      <c r="L1870" t="s">
        <v>30</v>
      </c>
      <c r="M1870" t="s">
        <v>31</v>
      </c>
      <c r="N1870" t="s">
        <v>36</v>
      </c>
      <c r="Q1870" s="4">
        <v>1</v>
      </c>
    </row>
    <row r="1871" spans="1:17" x14ac:dyDescent="0.55000000000000004">
      <c r="A1871" t="s">
        <v>5076</v>
      </c>
      <c r="C1871" t="s">
        <v>28</v>
      </c>
      <c r="E1871" t="s">
        <v>29</v>
      </c>
      <c r="F1871" t="s">
        <v>30</v>
      </c>
      <c r="G1871" t="s">
        <v>31</v>
      </c>
      <c r="I1871" t="s">
        <v>904</v>
      </c>
      <c r="J1871" t="s">
        <v>905</v>
      </c>
      <c r="K1871" t="s">
        <v>35</v>
      </c>
      <c r="L1871" t="s">
        <v>30</v>
      </c>
      <c r="M1871" t="s">
        <v>31</v>
      </c>
      <c r="N1871" t="s">
        <v>36</v>
      </c>
      <c r="Q1871" s="4">
        <v>1</v>
      </c>
    </row>
    <row r="1872" spans="1:17" x14ac:dyDescent="0.55000000000000004">
      <c r="A1872" t="s">
        <v>5077</v>
      </c>
      <c r="C1872" t="s">
        <v>28</v>
      </c>
      <c r="E1872" t="s">
        <v>29</v>
      </c>
      <c r="F1872" t="s">
        <v>30</v>
      </c>
      <c r="G1872" t="s">
        <v>31</v>
      </c>
      <c r="I1872" t="s">
        <v>909</v>
      </c>
      <c r="J1872" t="s">
        <v>910</v>
      </c>
      <c r="K1872" t="s">
        <v>35</v>
      </c>
      <c r="L1872" t="s">
        <v>30</v>
      </c>
      <c r="M1872" t="s">
        <v>31</v>
      </c>
      <c r="N1872" t="s">
        <v>36</v>
      </c>
      <c r="Q1872" s="4">
        <v>1</v>
      </c>
    </row>
    <row r="1873" spans="1:17" x14ac:dyDescent="0.55000000000000004">
      <c r="A1873" t="s">
        <v>5078</v>
      </c>
      <c r="C1873" t="s">
        <v>28</v>
      </c>
      <c r="E1873" t="s">
        <v>29</v>
      </c>
      <c r="F1873" t="s">
        <v>30</v>
      </c>
      <c r="G1873" t="s">
        <v>31</v>
      </c>
      <c r="I1873" t="s">
        <v>914</v>
      </c>
      <c r="J1873" t="s">
        <v>915</v>
      </c>
      <c r="K1873" t="s">
        <v>35</v>
      </c>
      <c r="L1873" t="s">
        <v>30</v>
      </c>
      <c r="M1873" t="s">
        <v>31</v>
      </c>
      <c r="N1873" t="s">
        <v>36</v>
      </c>
      <c r="Q1873" s="4">
        <v>1</v>
      </c>
    </row>
    <row r="1874" spans="1:17" x14ac:dyDescent="0.55000000000000004">
      <c r="A1874" t="s">
        <v>5079</v>
      </c>
      <c r="C1874" t="s">
        <v>28</v>
      </c>
      <c r="E1874" t="s">
        <v>29</v>
      </c>
      <c r="F1874" t="s">
        <v>30</v>
      </c>
      <c r="G1874" t="s">
        <v>31</v>
      </c>
      <c r="I1874" t="s">
        <v>919</v>
      </c>
      <c r="J1874" t="s">
        <v>920</v>
      </c>
      <c r="K1874" t="s">
        <v>35</v>
      </c>
      <c r="L1874" t="s">
        <v>30</v>
      </c>
      <c r="M1874" t="s">
        <v>31</v>
      </c>
      <c r="N1874" t="s">
        <v>36</v>
      </c>
      <c r="Q1874" s="4">
        <v>1</v>
      </c>
    </row>
    <row r="1875" spans="1:17" x14ac:dyDescent="0.55000000000000004">
      <c r="A1875" t="s">
        <v>5080</v>
      </c>
      <c r="C1875" t="s">
        <v>28</v>
      </c>
      <c r="E1875" t="s">
        <v>29</v>
      </c>
      <c r="F1875" t="s">
        <v>30</v>
      </c>
      <c r="G1875" t="s">
        <v>31</v>
      </c>
      <c r="I1875" t="s">
        <v>924</v>
      </c>
      <c r="J1875" t="s">
        <v>925</v>
      </c>
      <c r="K1875" t="s">
        <v>35</v>
      </c>
      <c r="L1875" t="s">
        <v>30</v>
      </c>
      <c r="M1875" t="s">
        <v>31</v>
      </c>
      <c r="N1875" t="s">
        <v>36</v>
      </c>
      <c r="Q1875" s="4">
        <v>1</v>
      </c>
    </row>
    <row r="1876" spans="1:17" x14ac:dyDescent="0.55000000000000004">
      <c r="A1876" t="s">
        <v>5081</v>
      </c>
      <c r="C1876" t="s">
        <v>28</v>
      </c>
      <c r="E1876" t="s">
        <v>29</v>
      </c>
      <c r="F1876" t="s">
        <v>30</v>
      </c>
      <c r="G1876" t="s">
        <v>31</v>
      </c>
      <c r="I1876" t="s">
        <v>929</v>
      </c>
      <c r="J1876" t="s">
        <v>930</v>
      </c>
      <c r="K1876" t="s">
        <v>35</v>
      </c>
      <c r="L1876" t="s">
        <v>30</v>
      </c>
      <c r="M1876" t="s">
        <v>31</v>
      </c>
      <c r="N1876" t="s">
        <v>36</v>
      </c>
      <c r="Q1876" s="4">
        <v>1</v>
      </c>
    </row>
    <row r="1877" spans="1:17" x14ac:dyDescent="0.55000000000000004">
      <c r="A1877" t="s">
        <v>5082</v>
      </c>
      <c r="C1877" t="s">
        <v>28</v>
      </c>
      <c r="E1877" t="s">
        <v>29</v>
      </c>
      <c r="F1877" t="s">
        <v>30</v>
      </c>
      <c r="G1877" t="s">
        <v>31</v>
      </c>
      <c r="I1877" t="s">
        <v>934</v>
      </c>
      <c r="J1877" t="s">
        <v>935</v>
      </c>
      <c r="K1877" t="s">
        <v>35</v>
      </c>
      <c r="L1877" t="s">
        <v>30</v>
      </c>
      <c r="M1877" t="s">
        <v>31</v>
      </c>
      <c r="N1877" t="s">
        <v>36</v>
      </c>
      <c r="Q1877" s="4">
        <v>1</v>
      </c>
    </row>
    <row r="1878" spans="1:17" x14ac:dyDescent="0.55000000000000004">
      <c r="A1878" t="s">
        <v>5083</v>
      </c>
      <c r="C1878" t="s">
        <v>28</v>
      </c>
      <c r="E1878" t="s">
        <v>29</v>
      </c>
      <c r="F1878" t="s">
        <v>30</v>
      </c>
      <c r="G1878" t="s">
        <v>31</v>
      </c>
      <c r="I1878" t="s">
        <v>939</v>
      </c>
      <c r="J1878" t="s">
        <v>940</v>
      </c>
      <c r="K1878" t="s">
        <v>35</v>
      </c>
      <c r="L1878" t="s">
        <v>30</v>
      </c>
      <c r="M1878" t="s">
        <v>31</v>
      </c>
      <c r="N1878" t="s">
        <v>36</v>
      </c>
      <c r="Q1878" s="4">
        <v>1</v>
      </c>
    </row>
    <row r="1879" spans="1:17" x14ac:dyDescent="0.55000000000000004">
      <c r="A1879" t="s">
        <v>5084</v>
      </c>
      <c r="C1879" t="s">
        <v>28</v>
      </c>
      <c r="E1879" t="s">
        <v>29</v>
      </c>
      <c r="F1879" t="s">
        <v>30</v>
      </c>
      <c r="G1879" t="s">
        <v>31</v>
      </c>
      <c r="I1879" t="s">
        <v>944</v>
      </c>
      <c r="J1879" t="s">
        <v>945</v>
      </c>
      <c r="K1879" t="s">
        <v>35</v>
      </c>
      <c r="L1879" t="s">
        <v>30</v>
      </c>
      <c r="M1879" t="s">
        <v>31</v>
      </c>
      <c r="N1879" t="s">
        <v>36</v>
      </c>
      <c r="Q1879" s="4">
        <v>1</v>
      </c>
    </row>
    <row r="1880" spans="1:17" x14ac:dyDescent="0.55000000000000004">
      <c r="A1880" t="s">
        <v>5085</v>
      </c>
      <c r="C1880" t="s">
        <v>28</v>
      </c>
      <c r="E1880" t="s">
        <v>29</v>
      </c>
      <c r="F1880" t="s">
        <v>30</v>
      </c>
      <c r="G1880" t="s">
        <v>31</v>
      </c>
      <c r="I1880" t="s">
        <v>949</v>
      </c>
      <c r="J1880" t="s">
        <v>950</v>
      </c>
      <c r="K1880" t="s">
        <v>35</v>
      </c>
      <c r="L1880" t="s">
        <v>30</v>
      </c>
      <c r="M1880" t="s">
        <v>31</v>
      </c>
      <c r="N1880" t="s">
        <v>36</v>
      </c>
      <c r="Q1880" s="4">
        <v>1</v>
      </c>
    </row>
    <row r="1881" spans="1:17" x14ac:dyDescent="0.55000000000000004">
      <c r="A1881" t="s">
        <v>5086</v>
      </c>
      <c r="C1881" t="s">
        <v>28</v>
      </c>
      <c r="E1881" t="s">
        <v>29</v>
      </c>
      <c r="F1881" t="s">
        <v>30</v>
      </c>
      <c r="G1881" t="s">
        <v>31</v>
      </c>
      <c r="I1881" t="s">
        <v>954</v>
      </c>
      <c r="J1881" t="s">
        <v>955</v>
      </c>
      <c r="K1881" t="s">
        <v>35</v>
      </c>
      <c r="L1881" t="s">
        <v>30</v>
      </c>
      <c r="M1881" t="s">
        <v>31</v>
      </c>
      <c r="N1881" t="s">
        <v>36</v>
      </c>
      <c r="Q1881" s="4">
        <v>1</v>
      </c>
    </row>
    <row r="1882" spans="1:17" x14ac:dyDescent="0.55000000000000004">
      <c r="A1882" t="s">
        <v>5087</v>
      </c>
      <c r="C1882" t="s">
        <v>28</v>
      </c>
      <c r="E1882" t="s">
        <v>29</v>
      </c>
      <c r="F1882" t="s">
        <v>30</v>
      </c>
      <c r="G1882" t="s">
        <v>31</v>
      </c>
      <c r="I1882" t="s">
        <v>959</v>
      </c>
      <c r="J1882" t="s">
        <v>960</v>
      </c>
      <c r="K1882" t="s">
        <v>35</v>
      </c>
      <c r="L1882" t="s">
        <v>30</v>
      </c>
      <c r="M1882" t="s">
        <v>31</v>
      </c>
      <c r="N1882" t="s">
        <v>36</v>
      </c>
      <c r="Q1882" s="4">
        <v>1</v>
      </c>
    </row>
    <row r="1883" spans="1:17" x14ac:dyDescent="0.55000000000000004">
      <c r="A1883" t="s">
        <v>5088</v>
      </c>
      <c r="C1883" t="s">
        <v>28</v>
      </c>
      <c r="E1883" t="s">
        <v>29</v>
      </c>
      <c r="F1883" t="s">
        <v>30</v>
      </c>
      <c r="G1883" t="s">
        <v>31</v>
      </c>
      <c r="I1883" t="s">
        <v>964</v>
      </c>
      <c r="J1883" t="s">
        <v>965</v>
      </c>
      <c r="K1883" t="s">
        <v>35</v>
      </c>
      <c r="L1883" t="s">
        <v>30</v>
      </c>
      <c r="M1883" t="s">
        <v>31</v>
      </c>
      <c r="N1883" t="s">
        <v>36</v>
      </c>
      <c r="Q1883" s="4">
        <v>1</v>
      </c>
    </row>
    <row r="1884" spans="1:17" x14ac:dyDescent="0.55000000000000004">
      <c r="A1884" t="s">
        <v>5089</v>
      </c>
      <c r="C1884" t="s">
        <v>28</v>
      </c>
      <c r="E1884" t="s">
        <v>29</v>
      </c>
      <c r="F1884" t="s">
        <v>30</v>
      </c>
      <c r="G1884" t="s">
        <v>31</v>
      </c>
      <c r="I1884" t="s">
        <v>969</v>
      </c>
      <c r="J1884" t="s">
        <v>970</v>
      </c>
      <c r="K1884" t="s">
        <v>35</v>
      </c>
      <c r="L1884" t="s">
        <v>30</v>
      </c>
      <c r="M1884" t="s">
        <v>31</v>
      </c>
      <c r="N1884" t="s">
        <v>36</v>
      </c>
      <c r="Q1884" s="4">
        <v>1</v>
      </c>
    </row>
    <row r="1885" spans="1:17" x14ac:dyDescent="0.55000000000000004">
      <c r="A1885" t="s">
        <v>5090</v>
      </c>
      <c r="C1885" t="s">
        <v>28</v>
      </c>
      <c r="E1885" t="s">
        <v>29</v>
      </c>
      <c r="F1885" t="s">
        <v>30</v>
      </c>
      <c r="G1885" t="s">
        <v>31</v>
      </c>
      <c r="I1885" t="s">
        <v>974</v>
      </c>
      <c r="J1885" t="s">
        <v>975</v>
      </c>
      <c r="K1885" t="s">
        <v>35</v>
      </c>
      <c r="L1885" t="s">
        <v>30</v>
      </c>
      <c r="M1885" t="s">
        <v>31</v>
      </c>
      <c r="N1885" t="s">
        <v>36</v>
      </c>
      <c r="Q1885" s="4">
        <v>1</v>
      </c>
    </row>
    <row r="1886" spans="1:17" x14ac:dyDescent="0.55000000000000004">
      <c r="A1886" t="s">
        <v>5091</v>
      </c>
      <c r="C1886" t="s">
        <v>28</v>
      </c>
      <c r="E1886" t="s">
        <v>29</v>
      </c>
      <c r="F1886" t="s">
        <v>30</v>
      </c>
      <c r="G1886" t="s">
        <v>31</v>
      </c>
      <c r="I1886" t="s">
        <v>979</v>
      </c>
      <c r="J1886" t="s">
        <v>980</v>
      </c>
      <c r="K1886" t="s">
        <v>35</v>
      </c>
      <c r="L1886" t="s">
        <v>30</v>
      </c>
      <c r="M1886" t="s">
        <v>31</v>
      </c>
      <c r="N1886" t="s">
        <v>36</v>
      </c>
      <c r="Q1886" s="4">
        <v>1</v>
      </c>
    </row>
    <row r="1887" spans="1:17" x14ac:dyDescent="0.55000000000000004">
      <c r="A1887" t="s">
        <v>5092</v>
      </c>
      <c r="C1887" t="s">
        <v>2667</v>
      </c>
      <c r="E1887" t="s">
        <v>29</v>
      </c>
      <c r="F1887" t="s">
        <v>30</v>
      </c>
      <c r="G1887" t="s">
        <v>31</v>
      </c>
      <c r="I1887" t="s">
        <v>2912</v>
      </c>
      <c r="J1887" t="s">
        <v>2913</v>
      </c>
      <c r="K1887" t="s">
        <v>39</v>
      </c>
      <c r="L1887" t="s">
        <v>30</v>
      </c>
      <c r="M1887" t="s">
        <v>31</v>
      </c>
      <c r="N1887" t="s">
        <v>40</v>
      </c>
      <c r="Q1887" s="4">
        <v>1</v>
      </c>
    </row>
    <row r="1888" spans="1:17" x14ac:dyDescent="0.55000000000000004">
      <c r="A1888" t="s">
        <v>5093</v>
      </c>
      <c r="C1888" t="s">
        <v>2667</v>
      </c>
      <c r="E1888" t="s">
        <v>29</v>
      </c>
      <c r="F1888" t="s">
        <v>30</v>
      </c>
      <c r="G1888" t="s">
        <v>31</v>
      </c>
      <c r="I1888" t="s">
        <v>2914</v>
      </c>
      <c r="J1888" t="s">
        <v>2915</v>
      </c>
      <c r="K1888" t="s">
        <v>39</v>
      </c>
      <c r="L1888" t="s">
        <v>30</v>
      </c>
      <c r="M1888" t="s">
        <v>31</v>
      </c>
      <c r="N1888" t="s">
        <v>40</v>
      </c>
      <c r="Q1888" s="4">
        <v>1</v>
      </c>
    </row>
    <row r="1889" spans="1:17" x14ac:dyDescent="0.55000000000000004">
      <c r="A1889" t="s">
        <v>5094</v>
      </c>
      <c r="C1889" t="s">
        <v>2667</v>
      </c>
      <c r="E1889" t="s">
        <v>29</v>
      </c>
      <c r="F1889" t="s">
        <v>30</v>
      </c>
      <c r="G1889" t="s">
        <v>31</v>
      </c>
      <c r="I1889" t="s">
        <v>2916</v>
      </c>
      <c r="J1889" t="s">
        <v>2917</v>
      </c>
      <c r="K1889" t="s">
        <v>39</v>
      </c>
      <c r="L1889" t="s">
        <v>30</v>
      </c>
      <c r="M1889" t="s">
        <v>31</v>
      </c>
      <c r="N1889" t="s">
        <v>40</v>
      </c>
      <c r="Q1889" s="4">
        <v>1</v>
      </c>
    </row>
    <row r="1890" spans="1:17" x14ac:dyDescent="0.55000000000000004">
      <c r="A1890" t="s">
        <v>5095</v>
      </c>
      <c r="C1890" t="s">
        <v>2667</v>
      </c>
      <c r="E1890" t="s">
        <v>29</v>
      </c>
      <c r="F1890" t="s">
        <v>30</v>
      </c>
      <c r="G1890" t="s">
        <v>31</v>
      </c>
      <c r="I1890" t="s">
        <v>2918</v>
      </c>
      <c r="J1890" t="s">
        <v>2919</v>
      </c>
      <c r="K1890" t="s">
        <v>39</v>
      </c>
      <c r="L1890" t="s">
        <v>30</v>
      </c>
      <c r="M1890" t="s">
        <v>31</v>
      </c>
      <c r="N1890" t="s">
        <v>40</v>
      </c>
      <c r="Q1890" s="4">
        <v>1</v>
      </c>
    </row>
    <row r="1891" spans="1:17" x14ac:dyDescent="0.55000000000000004">
      <c r="A1891" t="s">
        <v>5096</v>
      </c>
      <c r="C1891" t="s">
        <v>2667</v>
      </c>
      <c r="E1891" t="s">
        <v>29</v>
      </c>
      <c r="F1891" t="s">
        <v>30</v>
      </c>
      <c r="G1891" t="s">
        <v>31</v>
      </c>
      <c r="I1891" t="s">
        <v>2920</v>
      </c>
      <c r="J1891" t="s">
        <v>2921</v>
      </c>
      <c r="K1891" t="s">
        <v>39</v>
      </c>
      <c r="L1891" t="s">
        <v>30</v>
      </c>
      <c r="M1891" t="s">
        <v>31</v>
      </c>
      <c r="N1891" t="s">
        <v>40</v>
      </c>
      <c r="Q1891" s="4">
        <v>1</v>
      </c>
    </row>
    <row r="1892" spans="1:17" x14ac:dyDescent="0.55000000000000004">
      <c r="A1892" t="s">
        <v>5097</v>
      </c>
      <c r="C1892" t="s">
        <v>2667</v>
      </c>
      <c r="E1892" t="s">
        <v>29</v>
      </c>
      <c r="F1892" t="s">
        <v>30</v>
      </c>
      <c r="G1892" t="s">
        <v>31</v>
      </c>
      <c r="I1892" t="s">
        <v>2922</v>
      </c>
      <c r="J1892" t="s">
        <v>2923</v>
      </c>
      <c r="K1892" t="s">
        <v>39</v>
      </c>
      <c r="L1892" t="s">
        <v>30</v>
      </c>
      <c r="M1892" t="s">
        <v>31</v>
      </c>
      <c r="N1892" t="s">
        <v>40</v>
      </c>
      <c r="Q1892" s="4">
        <v>1</v>
      </c>
    </row>
    <row r="1893" spans="1:17" x14ac:dyDescent="0.55000000000000004">
      <c r="A1893" t="s">
        <v>5098</v>
      </c>
      <c r="C1893" t="s">
        <v>2667</v>
      </c>
      <c r="E1893" t="s">
        <v>29</v>
      </c>
      <c r="F1893" t="s">
        <v>30</v>
      </c>
      <c r="G1893" t="s">
        <v>31</v>
      </c>
      <c r="I1893" t="s">
        <v>2924</v>
      </c>
      <c r="J1893" t="s">
        <v>2925</v>
      </c>
      <c r="K1893" t="s">
        <v>39</v>
      </c>
      <c r="L1893" t="s">
        <v>30</v>
      </c>
      <c r="M1893" t="s">
        <v>31</v>
      </c>
      <c r="N1893" t="s">
        <v>40</v>
      </c>
      <c r="Q1893" s="4">
        <v>1</v>
      </c>
    </row>
    <row r="1894" spans="1:17" x14ac:dyDescent="0.55000000000000004">
      <c r="A1894" t="s">
        <v>5099</v>
      </c>
      <c r="C1894" t="s">
        <v>2667</v>
      </c>
      <c r="E1894" t="s">
        <v>29</v>
      </c>
      <c r="F1894" t="s">
        <v>30</v>
      </c>
      <c r="G1894" t="s">
        <v>31</v>
      </c>
      <c r="I1894" t="s">
        <v>2926</v>
      </c>
      <c r="J1894" t="s">
        <v>2927</v>
      </c>
      <c r="K1894" t="s">
        <v>39</v>
      </c>
      <c r="L1894" t="s">
        <v>30</v>
      </c>
      <c r="M1894" t="s">
        <v>31</v>
      </c>
      <c r="N1894" t="s">
        <v>40</v>
      </c>
      <c r="Q1894" s="4">
        <v>1</v>
      </c>
    </row>
    <row r="1895" spans="1:17" x14ac:dyDescent="0.55000000000000004">
      <c r="A1895" t="s">
        <v>5100</v>
      </c>
      <c r="C1895" t="s">
        <v>2667</v>
      </c>
      <c r="E1895" t="s">
        <v>29</v>
      </c>
      <c r="F1895" t="s">
        <v>30</v>
      </c>
      <c r="G1895" t="s">
        <v>31</v>
      </c>
      <c r="I1895" t="s">
        <v>2928</v>
      </c>
      <c r="J1895" t="s">
        <v>2929</v>
      </c>
      <c r="K1895" t="s">
        <v>39</v>
      </c>
      <c r="L1895" t="s">
        <v>30</v>
      </c>
      <c r="M1895" t="s">
        <v>31</v>
      </c>
      <c r="N1895" t="s">
        <v>40</v>
      </c>
      <c r="Q1895" s="4">
        <v>1</v>
      </c>
    </row>
    <row r="1896" spans="1:17" x14ac:dyDescent="0.55000000000000004">
      <c r="A1896" t="s">
        <v>5101</v>
      </c>
      <c r="C1896" t="s">
        <v>2667</v>
      </c>
      <c r="E1896" t="s">
        <v>29</v>
      </c>
      <c r="F1896" t="s">
        <v>30</v>
      </c>
      <c r="G1896" t="s">
        <v>31</v>
      </c>
      <c r="I1896" t="s">
        <v>2930</v>
      </c>
      <c r="J1896" t="s">
        <v>2931</v>
      </c>
      <c r="K1896" t="s">
        <v>39</v>
      </c>
      <c r="L1896" t="s">
        <v>30</v>
      </c>
      <c r="M1896" t="s">
        <v>31</v>
      </c>
      <c r="N1896" t="s">
        <v>40</v>
      </c>
      <c r="Q1896" s="4">
        <v>1</v>
      </c>
    </row>
    <row r="1897" spans="1:17" x14ac:dyDescent="0.55000000000000004">
      <c r="A1897" t="s">
        <v>5102</v>
      </c>
      <c r="C1897" t="s">
        <v>2667</v>
      </c>
      <c r="E1897" t="s">
        <v>29</v>
      </c>
      <c r="F1897" t="s">
        <v>30</v>
      </c>
      <c r="G1897" t="s">
        <v>31</v>
      </c>
      <c r="I1897" t="s">
        <v>2932</v>
      </c>
      <c r="J1897" t="s">
        <v>2933</v>
      </c>
      <c r="K1897" t="s">
        <v>39</v>
      </c>
      <c r="L1897" t="s">
        <v>30</v>
      </c>
      <c r="M1897" t="s">
        <v>31</v>
      </c>
      <c r="N1897" t="s">
        <v>40</v>
      </c>
      <c r="Q1897" s="4">
        <v>1</v>
      </c>
    </row>
    <row r="1898" spans="1:17" x14ac:dyDescent="0.55000000000000004">
      <c r="A1898" t="s">
        <v>5103</v>
      </c>
      <c r="C1898" t="s">
        <v>3202</v>
      </c>
      <c r="E1898" t="s">
        <v>29</v>
      </c>
      <c r="F1898" t="s">
        <v>30</v>
      </c>
      <c r="G1898" t="s">
        <v>31</v>
      </c>
      <c r="I1898" t="s">
        <v>3635</v>
      </c>
      <c r="J1898" t="s">
        <v>3636</v>
      </c>
      <c r="K1898" t="s">
        <v>39</v>
      </c>
      <c r="L1898" t="s">
        <v>30</v>
      </c>
      <c r="M1898" t="s">
        <v>31</v>
      </c>
      <c r="N1898" t="s">
        <v>40</v>
      </c>
      <c r="Q1898" s="4">
        <v>1</v>
      </c>
    </row>
    <row r="1899" spans="1:17" x14ac:dyDescent="0.55000000000000004">
      <c r="A1899" t="s">
        <v>3912</v>
      </c>
      <c r="C1899" t="s">
        <v>3202</v>
      </c>
      <c r="E1899" t="s">
        <v>29</v>
      </c>
      <c r="F1899" t="s">
        <v>30</v>
      </c>
      <c r="G1899" t="s">
        <v>31</v>
      </c>
      <c r="I1899" t="s">
        <v>3637</v>
      </c>
      <c r="J1899" t="s">
        <v>3638</v>
      </c>
      <c r="K1899" t="s">
        <v>39</v>
      </c>
      <c r="L1899" t="s">
        <v>30</v>
      </c>
      <c r="M1899" t="s">
        <v>31</v>
      </c>
      <c r="N1899" t="s">
        <v>40</v>
      </c>
      <c r="Q1899" s="4">
        <v>1</v>
      </c>
    </row>
    <row r="1900" spans="1:17" x14ac:dyDescent="0.55000000000000004">
      <c r="A1900" t="s">
        <v>3913</v>
      </c>
      <c r="C1900" t="s">
        <v>3202</v>
      </c>
      <c r="E1900" t="s">
        <v>29</v>
      </c>
      <c r="F1900" t="s">
        <v>30</v>
      </c>
      <c r="G1900" t="s">
        <v>31</v>
      </c>
      <c r="I1900" t="s">
        <v>3639</v>
      </c>
      <c r="J1900" t="s">
        <v>3640</v>
      </c>
      <c r="K1900" t="s">
        <v>39</v>
      </c>
      <c r="L1900" t="s">
        <v>30</v>
      </c>
      <c r="M1900" t="s">
        <v>31</v>
      </c>
      <c r="N1900" t="s">
        <v>40</v>
      </c>
      <c r="Q1900" s="4">
        <v>1</v>
      </c>
    </row>
    <row r="1901" spans="1:17" x14ac:dyDescent="0.55000000000000004">
      <c r="A1901" t="s">
        <v>3914</v>
      </c>
      <c r="C1901" t="s">
        <v>3202</v>
      </c>
      <c r="E1901" t="s">
        <v>29</v>
      </c>
      <c r="F1901" t="s">
        <v>30</v>
      </c>
      <c r="G1901" t="s">
        <v>31</v>
      </c>
      <c r="I1901" t="s">
        <v>3641</v>
      </c>
      <c r="J1901" t="s">
        <v>3642</v>
      </c>
      <c r="K1901" t="s">
        <v>39</v>
      </c>
      <c r="L1901" t="s">
        <v>30</v>
      </c>
      <c r="M1901" t="s">
        <v>31</v>
      </c>
      <c r="N1901" t="s">
        <v>40</v>
      </c>
      <c r="Q1901" s="4">
        <v>1</v>
      </c>
    </row>
    <row r="1902" spans="1:17" x14ac:dyDescent="0.55000000000000004">
      <c r="A1902" t="s">
        <v>3915</v>
      </c>
      <c r="C1902" t="s">
        <v>3202</v>
      </c>
      <c r="E1902" t="s">
        <v>29</v>
      </c>
      <c r="F1902" t="s">
        <v>30</v>
      </c>
      <c r="G1902" t="s">
        <v>31</v>
      </c>
      <c r="I1902" t="s">
        <v>3643</v>
      </c>
      <c r="J1902" t="s">
        <v>3644</v>
      </c>
      <c r="K1902" t="s">
        <v>39</v>
      </c>
      <c r="L1902" t="s">
        <v>30</v>
      </c>
      <c r="M1902" t="s">
        <v>31</v>
      </c>
      <c r="N1902" t="s">
        <v>40</v>
      </c>
      <c r="Q1902" s="4">
        <v>1</v>
      </c>
    </row>
    <row r="1903" spans="1:17" x14ac:dyDescent="0.55000000000000004">
      <c r="A1903" t="s">
        <v>3916</v>
      </c>
      <c r="C1903" t="s">
        <v>3202</v>
      </c>
      <c r="E1903" t="s">
        <v>29</v>
      </c>
      <c r="F1903" t="s">
        <v>30</v>
      </c>
      <c r="G1903" t="s">
        <v>31</v>
      </c>
      <c r="I1903" t="s">
        <v>3645</v>
      </c>
      <c r="J1903" t="s">
        <v>3646</v>
      </c>
      <c r="K1903" t="s">
        <v>39</v>
      </c>
      <c r="L1903" t="s">
        <v>30</v>
      </c>
      <c r="M1903" t="s">
        <v>31</v>
      </c>
      <c r="N1903" t="s">
        <v>40</v>
      </c>
      <c r="Q1903" s="4">
        <v>1</v>
      </c>
    </row>
    <row r="1904" spans="1:17" x14ac:dyDescent="0.55000000000000004">
      <c r="A1904" t="s">
        <v>3917</v>
      </c>
      <c r="C1904" t="s">
        <v>3202</v>
      </c>
      <c r="E1904" t="s">
        <v>29</v>
      </c>
      <c r="F1904" t="s">
        <v>30</v>
      </c>
      <c r="G1904" t="s">
        <v>31</v>
      </c>
      <c r="I1904" t="s">
        <v>3647</v>
      </c>
      <c r="J1904" t="s">
        <v>3648</v>
      </c>
      <c r="K1904" t="s">
        <v>39</v>
      </c>
      <c r="L1904" t="s">
        <v>30</v>
      </c>
      <c r="M1904" t="s">
        <v>31</v>
      </c>
      <c r="N1904" t="s">
        <v>40</v>
      </c>
      <c r="Q1904" s="4">
        <v>1</v>
      </c>
    </row>
    <row r="1905" spans="1:17" x14ac:dyDescent="0.55000000000000004">
      <c r="A1905" t="s">
        <v>3918</v>
      </c>
      <c r="C1905" t="s">
        <v>3202</v>
      </c>
      <c r="E1905" t="s">
        <v>29</v>
      </c>
      <c r="F1905" t="s">
        <v>30</v>
      </c>
      <c r="G1905" t="s">
        <v>31</v>
      </c>
      <c r="I1905" t="s">
        <v>3649</v>
      </c>
      <c r="J1905" t="s">
        <v>3650</v>
      </c>
      <c r="K1905" t="s">
        <v>39</v>
      </c>
      <c r="L1905" t="s">
        <v>30</v>
      </c>
      <c r="M1905" t="s">
        <v>31</v>
      </c>
      <c r="N1905" t="s">
        <v>40</v>
      </c>
      <c r="Q1905" s="4">
        <v>1</v>
      </c>
    </row>
    <row r="1906" spans="1:17" x14ac:dyDescent="0.55000000000000004">
      <c r="A1906" t="s">
        <v>3919</v>
      </c>
      <c r="C1906" t="s">
        <v>3202</v>
      </c>
      <c r="E1906" t="s">
        <v>29</v>
      </c>
      <c r="F1906" t="s">
        <v>30</v>
      </c>
      <c r="G1906" t="s">
        <v>31</v>
      </c>
      <c r="I1906" t="s">
        <v>3651</v>
      </c>
      <c r="J1906" t="s">
        <v>3652</v>
      </c>
      <c r="K1906" t="s">
        <v>39</v>
      </c>
      <c r="L1906" t="s">
        <v>30</v>
      </c>
      <c r="M1906" t="s">
        <v>31</v>
      </c>
      <c r="N1906" t="s">
        <v>40</v>
      </c>
      <c r="Q1906" s="4">
        <v>1</v>
      </c>
    </row>
    <row r="1907" spans="1:17" x14ac:dyDescent="0.55000000000000004">
      <c r="A1907" t="s">
        <v>3920</v>
      </c>
      <c r="C1907" t="s">
        <v>3202</v>
      </c>
      <c r="E1907" t="s">
        <v>29</v>
      </c>
      <c r="F1907" t="s">
        <v>30</v>
      </c>
      <c r="G1907" t="s">
        <v>31</v>
      </c>
      <c r="I1907" t="s">
        <v>3653</v>
      </c>
      <c r="J1907" t="s">
        <v>3654</v>
      </c>
      <c r="K1907" t="s">
        <v>39</v>
      </c>
      <c r="L1907" t="s">
        <v>30</v>
      </c>
      <c r="M1907" t="s">
        <v>31</v>
      </c>
      <c r="N1907" t="s">
        <v>40</v>
      </c>
      <c r="Q1907" s="4">
        <v>1</v>
      </c>
    </row>
    <row r="1908" spans="1:17" x14ac:dyDescent="0.55000000000000004">
      <c r="A1908" t="s">
        <v>3921</v>
      </c>
      <c r="C1908" t="s">
        <v>3202</v>
      </c>
      <c r="E1908" t="s">
        <v>29</v>
      </c>
      <c r="F1908" t="s">
        <v>30</v>
      </c>
      <c r="G1908" t="s">
        <v>31</v>
      </c>
      <c r="I1908" t="s">
        <v>3655</v>
      </c>
      <c r="J1908" t="s">
        <v>3656</v>
      </c>
      <c r="K1908" t="s">
        <v>39</v>
      </c>
      <c r="L1908" t="s">
        <v>30</v>
      </c>
      <c r="M1908" t="s">
        <v>31</v>
      </c>
      <c r="N1908" t="s">
        <v>40</v>
      </c>
      <c r="Q1908" s="4">
        <v>1</v>
      </c>
    </row>
    <row r="1909" spans="1:17" x14ac:dyDescent="0.55000000000000004">
      <c r="A1909" t="s">
        <v>3922</v>
      </c>
      <c r="C1909" t="s">
        <v>3202</v>
      </c>
      <c r="E1909" t="s">
        <v>29</v>
      </c>
      <c r="F1909" t="s">
        <v>30</v>
      </c>
      <c r="G1909" t="s">
        <v>31</v>
      </c>
      <c r="I1909" t="s">
        <v>3657</v>
      </c>
      <c r="J1909" t="s">
        <v>3658</v>
      </c>
      <c r="K1909" t="s">
        <v>39</v>
      </c>
      <c r="L1909" t="s">
        <v>30</v>
      </c>
      <c r="M1909" t="s">
        <v>31</v>
      </c>
      <c r="N1909" t="s">
        <v>40</v>
      </c>
      <c r="Q1909" s="4">
        <v>1</v>
      </c>
    </row>
    <row r="1910" spans="1:17" x14ac:dyDescent="0.55000000000000004">
      <c r="A1910" t="s">
        <v>3923</v>
      </c>
      <c r="C1910" t="s">
        <v>3202</v>
      </c>
      <c r="E1910" t="s">
        <v>29</v>
      </c>
      <c r="F1910" t="s">
        <v>30</v>
      </c>
      <c r="G1910" t="s">
        <v>31</v>
      </c>
      <c r="I1910" t="s">
        <v>3659</v>
      </c>
      <c r="J1910" t="s">
        <v>3660</v>
      </c>
      <c r="K1910" t="s">
        <v>39</v>
      </c>
      <c r="L1910" t="s">
        <v>30</v>
      </c>
      <c r="M1910" t="s">
        <v>31</v>
      </c>
      <c r="N1910" t="s">
        <v>40</v>
      </c>
      <c r="Q1910" s="4">
        <v>1</v>
      </c>
    </row>
    <row r="1911" spans="1:17" x14ac:dyDescent="0.55000000000000004">
      <c r="A1911" t="s">
        <v>3924</v>
      </c>
      <c r="C1911" t="s">
        <v>3202</v>
      </c>
      <c r="E1911" t="s">
        <v>29</v>
      </c>
      <c r="F1911" t="s">
        <v>30</v>
      </c>
      <c r="G1911" t="s">
        <v>31</v>
      </c>
      <c r="I1911" t="s">
        <v>3661</v>
      </c>
      <c r="J1911" t="s">
        <v>3662</v>
      </c>
      <c r="K1911" t="s">
        <v>39</v>
      </c>
      <c r="L1911" t="s">
        <v>30</v>
      </c>
      <c r="M1911" t="s">
        <v>31</v>
      </c>
      <c r="N1911" t="s">
        <v>40</v>
      </c>
      <c r="Q1911" s="4">
        <v>1</v>
      </c>
    </row>
    <row r="1912" spans="1:17" x14ac:dyDescent="0.55000000000000004">
      <c r="A1912" t="s">
        <v>3925</v>
      </c>
      <c r="C1912" t="s">
        <v>3202</v>
      </c>
      <c r="E1912" t="s">
        <v>29</v>
      </c>
      <c r="F1912" t="s">
        <v>30</v>
      </c>
      <c r="G1912" t="s">
        <v>31</v>
      </c>
      <c r="I1912" t="s">
        <v>3663</v>
      </c>
      <c r="J1912" t="s">
        <v>3664</v>
      </c>
      <c r="K1912" t="s">
        <v>39</v>
      </c>
      <c r="L1912" t="s">
        <v>30</v>
      </c>
      <c r="M1912" t="s">
        <v>31</v>
      </c>
      <c r="N1912" t="s">
        <v>40</v>
      </c>
      <c r="Q1912" s="4">
        <v>1</v>
      </c>
    </row>
    <row r="1913" spans="1:17" x14ac:dyDescent="0.55000000000000004">
      <c r="A1913" t="s">
        <v>3926</v>
      </c>
      <c r="C1913" t="s">
        <v>3202</v>
      </c>
      <c r="E1913" t="s">
        <v>29</v>
      </c>
      <c r="F1913" t="s">
        <v>30</v>
      </c>
      <c r="G1913" t="s">
        <v>31</v>
      </c>
      <c r="I1913" t="s">
        <v>3665</v>
      </c>
      <c r="J1913" t="s">
        <v>3666</v>
      </c>
      <c r="K1913" t="s">
        <v>39</v>
      </c>
      <c r="L1913" t="s">
        <v>30</v>
      </c>
      <c r="M1913" t="s">
        <v>31</v>
      </c>
      <c r="N1913" t="s">
        <v>40</v>
      </c>
      <c r="Q1913" s="4">
        <v>1</v>
      </c>
    </row>
    <row r="1914" spans="1:17" x14ac:dyDescent="0.55000000000000004">
      <c r="A1914" t="s">
        <v>3927</v>
      </c>
      <c r="C1914" t="s">
        <v>3202</v>
      </c>
      <c r="E1914" t="s">
        <v>29</v>
      </c>
      <c r="F1914" t="s">
        <v>30</v>
      </c>
      <c r="G1914" t="s">
        <v>31</v>
      </c>
      <c r="I1914" t="s">
        <v>3667</v>
      </c>
      <c r="J1914" t="s">
        <v>3668</v>
      </c>
      <c r="K1914" t="s">
        <v>39</v>
      </c>
      <c r="L1914" t="s">
        <v>30</v>
      </c>
      <c r="M1914" t="s">
        <v>31</v>
      </c>
      <c r="N1914" t="s">
        <v>40</v>
      </c>
      <c r="Q1914" s="4">
        <v>1</v>
      </c>
    </row>
    <row r="1915" spans="1:17" x14ac:dyDescent="0.55000000000000004">
      <c r="A1915" t="s">
        <v>3928</v>
      </c>
      <c r="C1915" t="s">
        <v>3202</v>
      </c>
      <c r="E1915" t="s">
        <v>29</v>
      </c>
      <c r="F1915" t="s">
        <v>30</v>
      </c>
      <c r="G1915" t="s">
        <v>31</v>
      </c>
      <c r="I1915" t="s">
        <v>3669</v>
      </c>
      <c r="J1915" t="s">
        <v>3670</v>
      </c>
      <c r="K1915" t="s">
        <v>39</v>
      </c>
      <c r="L1915" t="s">
        <v>30</v>
      </c>
      <c r="M1915" t="s">
        <v>31</v>
      </c>
      <c r="N1915" t="s">
        <v>40</v>
      </c>
      <c r="Q1915" s="4">
        <v>1</v>
      </c>
    </row>
    <row r="1916" spans="1:17" x14ac:dyDescent="0.55000000000000004">
      <c r="A1916" t="s">
        <v>3929</v>
      </c>
      <c r="C1916" t="s">
        <v>3202</v>
      </c>
      <c r="E1916" t="s">
        <v>29</v>
      </c>
      <c r="F1916" t="s">
        <v>30</v>
      </c>
      <c r="G1916" t="s">
        <v>31</v>
      </c>
      <c r="I1916" t="s">
        <v>2934</v>
      </c>
      <c r="J1916" t="s">
        <v>2935</v>
      </c>
      <c r="K1916" t="s">
        <v>39</v>
      </c>
      <c r="L1916" t="s">
        <v>30</v>
      </c>
      <c r="M1916" t="s">
        <v>31</v>
      </c>
      <c r="N1916" t="s">
        <v>40</v>
      </c>
      <c r="Q1916" s="4">
        <v>1</v>
      </c>
    </row>
    <row r="1917" spans="1:17" x14ac:dyDescent="0.55000000000000004">
      <c r="A1917" t="s">
        <v>3930</v>
      </c>
      <c r="C1917" t="s">
        <v>3202</v>
      </c>
      <c r="E1917" t="s">
        <v>29</v>
      </c>
      <c r="F1917" t="s">
        <v>30</v>
      </c>
      <c r="G1917" t="s">
        <v>31</v>
      </c>
      <c r="I1917" t="s">
        <v>2936</v>
      </c>
      <c r="J1917" t="s">
        <v>2937</v>
      </c>
      <c r="K1917" t="s">
        <v>39</v>
      </c>
      <c r="L1917" t="s">
        <v>30</v>
      </c>
      <c r="M1917" t="s">
        <v>31</v>
      </c>
      <c r="N1917" t="s">
        <v>40</v>
      </c>
      <c r="Q1917" s="4">
        <v>1</v>
      </c>
    </row>
    <row r="1918" spans="1:17" x14ac:dyDescent="0.55000000000000004">
      <c r="A1918" t="s">
        <v>3931</v>
      </c>
      <c r="C1918" t="s">
        <v>3202</v>
      </c>
      <c r="E1918" t="s">
        <v>29</v>
      </c>
      <c r="F1918" t="s">
        <v>30</v>
      </c>
      <c r="G1918" t="s">
        <v>31</v>
      </c>
      <c r="I1918" t="s">
        <v>2938</v>
      </c>
      <c r="J1918" t="s">
        <v>2939</v>
      </c>
      <c r="K1918" t="s">
        <v>39</v>
      </c>
      <c r="L1918" t="s">
        <v>30</v>
      </c>
      <c r="M1918" t="s">
        <v>31</v>
      </c>
      <c r="N1918" t="s">
        <v>40</v>
      </c>
      <c r="Q1918" s="4">
        <v>1</v>
      </c>
    </row>
    <row r="1919" spans="1:17" x14ac:dyDescent="0.55000000000000004">
      <c r="A1919" t="s">
        <v>3932</v>
      </c>
      <c r="C1919" t="s">
        <v>3202</v>
      </c>
      <c r="E1919" t="s">
        <v>29</v>
      </c>
      <c r="F1919" t="s">
        <v>30</v>
      </c>
      <c r="G1919" t="s">
        <v>31</v>
      </c>
      <c r="I1919" t="s">
        <v>2940</v>
      </c>
      <c r="J1919" t="s">
        <v>2941</v>
      </c>
      <c r="K1919" t="s">
        <v>39</v>
      </c>
      <c r="L1919" t="s">
        <v>30</v>
      </c>
      <c r="M1919" t="s">
        <v>31</v>
      </c>
      <c r="N1919" t="s">
        <v>40</v>
      </c>
      <c r="Q1919" s="4">
        <v>1</v>
      </c>
    </row>
    <row r="1920" spans="1:17" x14ac:dyDescent="0.55000000000000004">
      <c r="A1920" t="s">
        <v>3933</v>
      </c>
      <c r="C1920" t="s">
        <v>3202</v>
      </c>
      <c r="E1920" t="s">
        <v>29</v>
      </c>
      <c r="F1920" t="s">
        <v>30</v>
      </c>
      <c r="G1920" t="s">
        <v>31</v>
      </c>
      <c r="I1920" t="s">
        <v>2942</v>
      </c>
      <c r="J1920" t="s">
        <v>2943</v>
      </c>
      <c r="K1920" t="s">
        <v>39</v>
      </c>
      <c r="L1920" t="s">
        <v>30</v>
      </c>
      <c r="M1920" t="s">
        <v>31</v>
      </c>
      <c r="N1920" t="s">
        <v>40</v>
      </c>
      <c r="Q1920" s="4">
        <v>1</v>
      </c>
    </row>
    <row r="1921" spans="1:17" x14ac:dyDescent="0.55000000000000004">
      <c r="A1921" t="s">
        <v>3934</v>
      </c>
      <c r="C1921" t="s">
        <v>3202</v>
      </c>
      <c r="E1921" t="s">
        <v>29</v>
      </c>
      <c r="F1921" t="s">
        <v>30</v>
      </c>
      <c r="G1921" t="s">
        <v>31</v>
      </c>
      <c r="I1921" t="s">
        <v>2944</v>
      </c>
      <c r="J1921" t="s">
        <v>2945</v>
      </c>
      <c r="K1921" t="s">
        <v>39</v>
      </c>
      <c r="L1921" t="s">
        <v>30</v>
      </c>
      <c r="M1921" t="s">
        <v>31</v>
      </c>
      <c r="N1921" t="s">
        <v>40</v>
      </c>
      <c r="Q1921" s="4">
        <v>1</v>
      </c>
    </row>
    <row r="1922" spans="1:17" x14ac:dyDescent="0.55000000000000004">
      <c r="A1922" t="s">
        <v>3935</v>
      </c>
      <c r="C1922" t="s">
        <v>3202</v>
      </c>
      <c r="E1922" t="s">
        <v>29</v>
      </c>
      <c r="F1922" t="s">
        <v>30</v>
      </c>
      <c r="G1922" t="s">
        <v>31</v>
      </c>
      <c r="I1922" t="s">
        <v>2946</v>
      </c>
      <c r="J1922" t="s">
        <v>2947</v>
      </c>
      <c r="K1922" t="s">
        <v>39</v>
      </c>
      <c r="L1922" t="s">
        <v>30</v>
      </c>
      <c r="M1922" t="s">
        <v>31</v>
      </c>
      <c r="N1922" t="s">
        <v>40</v>
      </c>
      <c r="Q1922" s="4">
        <v>1</v>
      </c>
    </row>
    <row r="1923" spans="1:17" x14ac:dyDescent="0.55000000000000004">
      <c r="A1923" t="s">
        <v>3936</v>
      </c>
      <c r="C1923" t="s">
        <v>3202</v>
      </c>
      <c r="E1923" t="s">
        <v>29</v>
      </c>
      <c r="F1923" t="s">
        <v>30</v>
      </c>
      <c r="G1923" t="s">
        <v>31</v>
      </c>
      <c r="I1923" t="s">
        <v>2948</v>
      </c>
      <c r="J1923" t="s">
        <v>2949</v>
      </c>
      <c r="K1923" t="s">
        <v>39</v>
      </c>
      <c r="L1923" t="s">
        <v>30</v>
      </c>
      <c r="M1923" t="s">
        <v>31</v>
      </c>
      <c r="N1923" t="s">
        <v>40</v>
      </c>
      <c r="Q1923" s="4">
        <v>1</v>
      </c>
    </row>
    <row r="1924" spans="1:17" x14ac:dyDescent="0.55000000000000004">
      <c r="A1924" t="s">
        <v>3937</v>
      </c>
      <c r="C1924" t="s">
        <v>3202</v>
      </c>
      <c r="E1924" t="s">
        <v>29</v>
      </c>
      <c r="F1924" t="s">
        <v>30</v>
      </c>
      <c r="G1924" t="s">
        <v>31</v>
      </c>
      <c r="I1924" t="s">
        <v>2950</v>
      </c>
      <c r="J1924" t="s">
        <v>2951</v>
      </c>
      <c r="K1924" t="s">
        <v>39</v>
      </c>
      <c r="L1924" t="s">
        <v>30</v>
      </c>
      <c r="M1924" t="s">
        <v>31</v>
      </c>
      <c r="N1924" t="s">
        <v>40</v>
      </c>
      <c r="Q1924" s="4">
        <v>1</v>
      </c>
    </row>
    <row r="1925" spans="1:17" x14ac:dyDescent="0.55000000000000004">
      <c r="A1925" t="s">
        <v>3938</v>
      </c>
      <c r="C1925" t="s">
        <v>3202</v>
      </c>
      <c r="E1925" t="s">
        <v>29</v>
      </c>
      <c r="F1925" t="s">
        <v>30</v>
      </c>
      <c r="G1925" t="s">
        <v>31</v>
      </c>
      <c r="I1925" t="s">
        <v>2952</v>
      </c>
      <c r="J1925" t="s">
        <v>2953</v>
      </c>
      <c r="K1925" t="s">
        <v>39</v>
      </c>
      <c r="L1925" t="s">
        <v>30</v>
      </c>
      <c r="M1925" t="s">
        <v>31</v>
      </c>
      <c r="N1925" t="s">
        <v>40</v>
      </c>
      <c r="Q1925" s="4">
        <v>1</v>
      </c>
    </row>
    <row r="1926" spans="1:17" x14ac:dyDescent="0.55000000000000004">
      <c r="A1926" t="s">
        <v>3939</v>
      </c>
      <c r="C1926" t="s">
        <v>3202</v>
      </c>
      <c r="E1926" t="s">
        <v>29</v>
      </c>
      <c r="F1926" t="s">
        <v>30</v>
      </c>
      <c r="G1926" t="s">
        <v>31</v>
      </c>
      <c r="I1926" t="s">
        <v>2954</v>
      </c>
      <c r="J1926" t="s">
        <v>2955</v>
      </c>
      <c r="K1926" t="s">
        <v>39</v>
      </c>
      <c r="L1926" t="s">
        <v>30</v>
      </c>
      <c r="M1926" t="s">
        <v>31</v>
      </c>
      <c r="N1926" t="s">
        <v>40</v>
      </c>
      <c r="Q1926" s="4">
        <v>1</v>
      </c>
    </row>
    <row r="1927" spans="1:17" x14ac:dyDescent="0.55000000000000004">
      <c r="A1927" t="s">
        <v>3940</v>
      </c>
      <c r="C1927" t="s">
        <v>3202</v>
      </c>
      <c r="E1927" t="s">
        <v>29</v>
      </c>
      <c r="F1927" t="s">
        <v>30</v>
      </c>
      <c r="G1927" t="s">
        <v>31</v>
      </c>
      <c r="I1927" t="s">
        <v>3671</v>
      </c>
      <c r="J1927" t="s">
        <v>3672</v>
      </c>
      <c r="K1927" t="s">
        <v>39</v>
      </c>
      <c r="L1927" t="s">
        <v>30</v>
      </c>
      <c r="M1927" t="s">
        <v>31</v>
      </c>
      <c r="N1927" t="s">
        <v>40</v>
      </c>
      <c r="Q1927" s="4">
        <v>1</v>
      </c>
    </row>
    <row r="1928" spans="1:17" x14ac:dyDescent="0.55000000000000004">
      <c r="A1928" t="s">
        <v>3941</v>
      </c>
      <c r="C1928" t="s">
        <v>3202</v>
      </c>
      <c r="E1928" t="s">
        <v>29</v>
      </c>
      <c r="F1928" t="s">
        <v>30</v>
      </c>
      <c r="G1928" t="s">
        <v>31</v>
      </c>
      <c r="I1928" t="s">
        <v>3673</v>
      </c>
      <c r="J1928" t="s">
        <v>3674</v>
      </c>
      <c r="K1928" t="s">
        <v>39</v>
      </c>
      <c r="L1928" t="s">
        <v>30</v>
      </c>
      <c r="M1928" t="s">
        <v>31</v>
      </c>
      <c r="N1928" t="s">
        <v>40</v>
      </c>
      <c r="Q1928" s="4">
        <v>1</v>
      </c>
    </row>
    <row r="1929" spans="1:17" x14ac:dyDescent="0.55000000000000004">
      <c r="A1929" t="s">
        <v>3942</v>
      </c>
      <c r="C1929" t="s">
        <v>3202</v>
      </c>
      <c r="E1929" t="s">
        <v>29</v>
      </c>
      <c r="F1929" t="s">
        <v>30</v>
      </c>
      <c r="G1929" t="s">
        <v>31</v>
      </c>
      <c r="I1929" t="s">
        <v>3675</v>
      </c>
      <c r="J1929" t="s">
        <v>3676</v>
      </c>
      <c r="K1929" t="s">
        <v>39</v>
      </c>
      <c r="L1929" t="s">
        <v>30</v>
      </c>
      <c r="M1929" t="s">
        <v>31</v>
      </c>
      <c r="N1929" t="s">
        <v>40</v>
      </c>
      <c r="Q1929" s="4">
        <v>1</v>
      </c>
    </row>
    <row r="1930" spans="1:17" x14ac:dyDescent="0.55000000000000004">
      <c r="A1930" t="s">
        <v>3943</v>
      </c>
      <c r="C1930" t="s">
        <v>3202</v>
      </c>
      <c r="E1930" t="s">
        <v>29</v>
      </c>
      <c r="F1930" t="s">
        <v>30</v>
      </c>
      <c r="G1930" t="s">
        <v>31</v>
      </c>
      <c r="I1930" t="s">
        <v>3677</v>
      </c>
      <c r="J1930" t="s">
        <v>3678</v>
      </c>
      <c r="K1930" t="s">
        <v>39</v>
      </c>
      <c r="L1930" t="s">
        <v>30</v>
      </c>
      <c r="M1930" t="s">
        <v>31</v>
      </c>
      <c r="N1930" t="s">
        <v>40</v>
      </c>
      <c r="Q1930" s="4">
        <v>1</v>
      </c>
    </row>
    <row r="1931" spans="1:17" x14ac:dyDescent="0.55000000000000004">
      <c r="A1931" t="s">
        <v>3944</v>
      </c>
      <c r="C1931" t="s">
        <v>3202</v>
      </c>
      <c r="E1931" t="s">
        <v>29</v>
      </c>
      <c r="F1931" t="s">
        <v>30</v>
      </c>
      <c r="G1931" t="s">
        <v>31</v>
      </c>
      <c r="I1931" t="s">
        <v>3679</v>
      </c>
      <c r="J1931" t="s">
        <v>3680</v>
      </c>
      <c r="K1931" t="s">
        <v>39</v>
      </c>
      <c r="L1931" t="s">
        <v>30</v>
      </c>
      <c r="M1931" t="s">
        <v>31</v>
      </c>
      <c r="N1931" t="s">
        <v>40</v>
      </c>
      <c r="Q1931" s="4">
        <v>1</v>
      </c>
    </row>
    <row r="1932" spans="1:17" x14ac:dyDescent="0.55000000000000004">
      <c r="A1932" t="s">
        <v>3945</v>
      </c>
      <c r="C1932" t="s">
        <v>3202</v>
      </c>
      <c r="E1932" t="s">
        <v>29</v>
      </c>
      <c r="F1932" t="s">
        <v>30</v>
      </c>
      <c r="G1932" t="s">
        <v>31</v>
      </c>
      <c r="I1932" t="s">
        <v>3681</v>
      </c>
      <c r="J1932" t="s">
        <v>3682</v>
      </c>
      <c r="K1932" t="s">
        <v>39</v>
      </c>
      <c r="L1932" t="s">
        <v>30</v>
      </c>
      <c r="M1932" t="s">
        <v>31</v>
      </c>
      <c r="N1932" t="s">
        <v>40</v>
      </c>
      <c r="Q1932" s="4">
        <v>1</v>
      </c>
    </row>
    <row r="1933" spans="1:17" x14ac:dyDescent="0.55000000000000004">
      <c r="A1933" t="s">
        <v>3946</v>
      </c>
      <c r="C1933" t="s">
        <v>3202</v>
      </c>
      <c r="E1933" t="s">
        <v>29</v>
      </c>
      <c r="F1933" t="s">
        <v>30</v>
      </c>
      <c r="G1933" t="s">
        <v>31</v>
      </c>
      <c r="I1933" t="s">
        <v>3683</v>
      </c>
      <c r="J1933" t="s">
        <v>3684</v>
      </c>
      <c r="K1933" t="s">
        <v>39</v>
      </c>
      <c r="L1933" t="s">
        <v>30</v>
      </c>
      <c r="M1933" t="s">
        <v>31</v>
      </c>
      <c r="N1933" t="s">
        <v>40</v>
      </c>
      <c r="Q1933" s="4">
        <v>1</v>
      </c>
    </row>
    <row r="1934" spans="1:17" x14ac:dyDescent="0.55000000000000004">
      <c r="A1934" t="s">
        <v>3947</v>
      </c>
      <c r="C1934" t="s">
        <v>3202</v>
      </c>
      <c r="E1934" t="s">
        <v>29</v>
      </c>
      <c r="F1934" t="s">
        <v>30</v>
      </c>
      <c r="G1934" t="s">
        <v>31</v>
      </c>
      <c r="I1934" t="s">
        <v>3685</v>
      </c>
      <c r="J1934" t="s">
        <v>3686</v>
      </c>
      <c r="K1934" t="s">
        <v>39</v>
      </c>
      <c r="L1934" t="s">
        <v>30</v>
      </c>
      <c r="M1934" t="s">
        <v>31</v>
      </c>
      <c r="N1934" t="s">
        <v>40</v>
      </c>
      <c r="Q1934" s="4">
        <v>1</v>
      </c>
    </row>
    <row r="1935" spans="1:17" x14ac:dyDescent="0.55000000000000004">
      <c r="A1935" t="s">
        <v>3948</v>
      </c>
      <c r="C1935" t="s">
        <v>3202</v>
      </c>
      <c r="E1935" t="s">
        <v>29</v>
      </c>
      <c r="F1935" t="s">
        <v>30</v>
      </c>
      <c r="G1935" t="s">
        <v>31</v>
      </c>
      <c r="I1935" t="s">
        <v>3687</v>
      </c>
      <c r="J1935" t="s">
        <v>3688</v>
      </c>
      <c r="K1935" t="s">
        <v>39</v>
      </c>
      <c r="L1935" t="s">
        <v>30</v>
      </c>
      <c r="M1935" t="s">
        <v>31</v>
      </c>
      <c r="N1935" t="s">
        <v>40</v>
      </c>
      <c r="Q1935" s="4">
        <v>1</v>
      </c>
    </row>
    <row r="1936" spans="1:17" x14ac:dyDescent="0.55000000000000004">
      <c r="A1936" t="s">
        <v>3949</v>
      </c>
      <c r="C1936" t="s">
        <v>3202</v>
      </c>
      <c r="E1936" t="s">
        <v>29</v>
      </c>
      <c r="F1936" t="s">
        <v>30</v>
      </c>
      <c r="G1936" t="s">
        <v>31</v>
      </c>
      <c r="I1936" t="s">
        <v>3689</v>
      </c>
      <c r="J1936" t="s">
        <v>3690</v>
      </c>
      <c r="K1936" t="s">
        <v>39</v>
      </c>
      <c r="L1936" t="s">
        <v>30</v>
      </c>
      <c r="M1936" t="s">
        <v>31</v>
      </c>
      <c r="N1936" t="s">
        <v>40</v>
      </c>
      <c r="Q1936" s="4">
        <v>1</v>
      </c>
    </row>
    <row r="1937" spans="1:17" x14ac:dyDescent="0.55000000000000004">
      <c r="A1937" t="s">
        <v>3950</v>
      </c>
      <c r="C1937" t="s">
        <v>3202</v>
      </c>
      <c r="E1937" t="s">
        <v>29</v>
      </c>
      <c r="F1937" t="s">
        <v>30</v>
      </c>
      <c r="G1937" t="s">
        <v>31</v>
      </c>
      <c r="I1937" t="s">
        <v>3691</v>
      </c>
      <c r="J1937" t="s">
        <v>3692</v>
      </c>
      <c r="K1937" t="s">
        <v>39</v>
      </c>
      <c r="L1937" t="s">
        <v>30</v>
      </c>
      <c r="M1937" t="s">
        <v>31</v>
      </c>
      <c r="N1937" t="s">
        <v>40</v>
      </c>
      <c r="Q1937" s="4">
        <v>1</v>
      </c>
    </row>
    <row r="1938" spans="1:17" x14ac:dyDescent="0.55000000000000004">
      <c r="A1938" t="s">
        <v>3951</v>
      </c>
      <c r="C1938" t="s">
        <v>3202</v>
      </c>
      <c r="E1938" t="s">
        <v>29</v>
      </c>
      <c r="F1938" t="s">
        <v>30</v>
      </c>
      <c r="G1938" t="s">
        <v>31</v>
      </c>
      <c r="I1938" t="s">
        <v>3693</v>
      </c>
      <c r="J1938" t="s">
        <v>3694</v>
      </c>
      <c r="K1938" t="s">
        <v>39</v>
      </c>
      <c r="L1938" t="s">
        <v>30</v>
      </c>
      <c r="M1938" t="s">
        <v>31</v>
      </c>
      <c r="N1938" t="s">
        <v>40</v>
      </c>
      <c r="Q1938" s="4">
        <v>1</v>
      </c>
    </row>
    <row r="1939" spans="1:17" x14ac:dyDescent="0.55000000000000004">
      <c r="A1939" t="s">
        <v>3952</v>
      </c>
      <c r="C1939" t="s">
        <v>3202</v>
      </c>
      <c r="E1939" t="s">
        <v>29</v>
      </c>
      <c r="F1939" t="s">
        <v>30</v>
      </c>
      <c r="G1939" t="s">
        <v>31</v>
      </c>
      <c r="I1939" t="s">
        <v>3695</v>
      </c>
      <c r="J1939" t="s">
        <v>3696</v>
      </c>
      <c r="K1939" t="s">
        <v>39</v>
      </c>
      <c r="L1939" t="s">
        <v>30</v>
      </c>
      <c r="M1939" t="s">
        <v>31</v>
      </c>
      <c r="N1939" t="s">
        <v>40</v>
      </c>
      <c r="Q1939" s="4">
        <v>1</v>
      </c>
    </row>
    <row r="1940" spans="1:17" x14ac:dyDescent="0.55000000000000004">
      <c r="A1940" t="s">
        <v>3953</v>
      </c>
      <c r="C1940" t="s">
        <v>3202</v>
      </c>
      <c r="E1940" t="s">
        <v>29</v>
      </c>
      <c r="F1940" t="s">
        <v>30</v>
      </c>
      <c r="G1940" t="s">
        <v>31</v>
      </c>
      <c r="I1940" t="s">
        <v>3697</v>
      </c>
      <c r="J1940" t="s">
        <v>3698</v>
      </c>
      <c r="K1940" t="s">
        <v>39</v>
      </c>
      <c r="L1940" t="s">
        <v>30</v>
      </c>
      <c r="M1940" t="s">
        <v>31</v>
      </c>
      <c r="N1940" t="s">
        <v>40</v>
      </c>
      <c r="Q1940" s="4">
        <v>1</v>
      </c>
    </row>
    <row r="1941" spans="1:17" x14ac:dyDescent="0.55000000000000004">
      <c r="A1941" t="s">
        <v>3954</v>
      </c>
      <c r="C1941" t="s">
        <v>3202</v>
      </c>
      <c r="E1941" t="s">
        <v>29</v>
      </c>
      <c r="F1941" t="s">
        <v>30</v>
      </c>
      <c r="G1941" t="s">
        <v>31</v>
      </c>
      <c r="I1941" t="s">
        <v>3699</v>
      </c>
      <c r="J1941" t="s">
        <v>3700</v>
      </c>
      <c r="K1941" t="s">
        <v>39</v>
      </c>
      <c r="L1941" t="s">
        <v>30</v>
      </c>
      <c r="M1941" t="s">
        <v>31</v>
      </c>
      <c r="N1941" t="s">
        <v>40</v>
      </c>
      <c r="Q1941" s="4">
        <v>1</v>
      </c>
    </row>
    <row r="1942" spans="1:17" x14ac:dyDescent="0.55000000000000004">
      <c r="A1942" t="s">
        <v>3955</v>
      </c>
      <c r="C1942" t="s">
        <v>3202</v>
      </c>
      <c r="E1942" t="s">
        <v>29</v>
      </c>
      <c r="F1942" t="s">
        <v>30</v>
      </c>
      <c r="G1942" t="s">
        <v>31</v>
      </c>
      <c r="I1942" t="s">
        <v>3701</v>
      </c>
      <c r="J1942" t="s">
        <v>3702</v>
      </c>
      <c r="K1942" t="s">
        <v>39</v>
      </c>
      <c r="L1942" t="s">
        <v>30</v>
      </c>
      <c r="M1942" t="s">
        <v>31</v>
      </c>
      <c r="N1942" t="s">
        <v>40</v>
      </c>
      <c r="Q1942" s="4">
        <v>1</v>
      </c>
    </row>
    <row r="1943" spans="1:17" x14ac:dyDescent="0.55000000000000004">
      <c r="A1943" t="s">
        <v>3956</v>
      </c>
      <c r="C1943" t="s">
        <v>3202</v>
      </c>
      <c r="E1943" t="s">
        <v>29</v>
      </c>
      <c r="F1943" t="s">
        <v>30</v>
      </c>
      <c r="G1943" t="s">
        <v>31</v>
      </c>
      <c r="I1943" t="s">
        <v>3703</v>
      </c>
      <c r="J1943" t="s">
        <v>3704</v>
      </c>
      <c r="K1943" t="s">
        <v>39</v>
      </c>
      <c r="L1943" t="s">
        <v>30</v>
      </c>
      <c r="M1943" t="s">
        <v>31</v>
      </c>
      <c r="N1943" t="s">
        <v>40</v>
      </c>
      <c r="Q1943" s="4">
        <v>1</v>
      </c>
    </row>
    <row r="1944" spans="1:17" x14ac:dyDescent="0.55000000000000004">
      <c r="A1944" t="s">
        <v>3957</v>
      </c>
      <c r="C1944" t="s">
        <v>3202</v>
      </c>
      <c r="E1944" t="s">
        <v>29</v>
      </c>
      <c r="F1944" t="s">
        <v>30</v>
      </c>
      <c r="G1944" t="s">
        <v>31</v>
      </c>
      <c r="I1944" t="s">
        <v>3705</v>
      </c>
      <c r="J1944" t="s">
        <v>3706</v>
      </c>
      <c r="K1944" t="s">
        <v>39</v>
      </c>
      <c r="L1944" t="s">
        <v>30</v>
      </c>
      <c r="M1944" t="s">
        <v>31</v>
      </c>
      <c r="N1944" t="s">
        <v>40</v>
      </c>
      <c r="Q1944" s="4">
        <v>1</v>
      </c>
    </row>
    <row r="1945" spans="1:17" x14ac:dyDescent="0.55000000000000004">
      <c r="A1945" t="s">
        <v>3958</v>
      </c>
      <c r="C1945" t="s">
        <v>3202</v>
      </c>
      <c r="E1945" t="s">
        <v>29</v>
      </c>
      <c r="F1945" t="s">
        <v>30</v>
      </c>
      <c r="G1945" t="s">
        <v>31</v>
      </c>
      <c r="I1945" t="s">
        <v>3539</v>
      </c>
      <c r="J1945" t="s">
        <v>3540</v>
      </c>
      <c r="K1945" t="s">
        <v>39</v>
      </c>
      <c r="L1945" t="s">
        <v>30</v>
      </c>
      <c r="M1945" t="s">
        <v>31</v>
      </c>
      <c r="N1945" t="s">
        <v>991</v>
      </c>
      <c r="Q1945" s="4">
        <v>1</v>
      </c>
    </row>
    <row r="1946" spans="1:17" x14ac:dyDescent="0.55000000000000004">
      <c r="A1946" t="s">
        <v>3959</v>
      </c>
      <c r="C1946" t="s">
        <v>3202</v>
      </c>
      <c r="E1946" t="s">
        <v>29</v>
      </c>
      <c r="F1946" t="s">
        <v>30</v>
      </c>
      <c r="G1946" t="s">
        <v>31</v>
      </c>
      <c r="I1946" t="s">
        <v>3541</v>
      </c>
      <c r="J1946" t="s">
        <v>3542</v>
      </c>
      <c r="K1946" t="s">
        <v>39</v>
      </c>
      <c r="L1946" t="s">
        <v>30</v>
      </c>
      <c r="M1946" t="s">
        <v>31</v>
      </c>
      <c r="N1946" t="s">
        <v>991</v>
      </c>
      <c r="Q1946" s="4">
        <v>1</v>
      </c>
    </row>
    <row r="1947" spans="1:17" x14ac:dyDescent="0.55000000000000004">
      <c r="A1947" t="s">
        <v>3960</v>
      </c>
      <c r="C1947" t="s">
        <v>3202</v>
      </c>
      <c r="E1947" t="s">
        <v>29</v>
      </c>
      <c r="F1947" t="s">
        <v>30</v>
      </c>
      <c r="G1947" t="s">
        <v>31</v>
      </c>
      <c r="I1947" t="s">
        <v>3543</v>
      </c>
      <c r="J1947" t="s">
        <v>3544</v>
      </c>
      <c r="K1947" t="s">
        <v>39</v>
      </c>
      <c r="L1947" t="s">
        <v>30</v>
      </c>
      <c r="M1947" t="s">
        <v>31</v>
      </c>
      <c r="N1947" t="s">
        <v>991</v>
      </c>
      <c r="Q1947" s="4">
        <v>1</v>
      </c>
    </row>
    <row r="1948" spans="1:17" x14ac:dyDescent="0.55000000000000004">
      <c r="A1948" t="s">
        <v>3961</v>
      </c>
      <c r="C1948" t="s">
        <v>3202</v>
      </c>
      <c r="E1948" t="s">
        <v>29</v>
      </c>
      <c r="F1948" t="s">
        <v>30</v>
      </c>
      <c r="G1948" t="s">
        <v>31</v>
      </c>
      <c r="I1948" t="s">
        <v>3545</v>
      </c>
      <c r="J1948" t="s">
        <v>3546</v>
      </c>
      <c r="K1948" t="s">
        <v>39</v>
      </c>
      <c r="L1948" t="s">
        <v>30</v>
      </c>
      <c r="M1948" t="s">
        <v>31</v>
      </c>
      <c r="N1948" t="s">
        <v>991</v>
      </c>
      <c r="Q1948" s="4">
        <v>1</v>
      </c>
    </row>
    <row r="1949" spans="1:17" x14ac:dyDescent="0.55000000000000004">
      <c r="A1949" t="s">
        <v>3962</v>
      </c>
      <c r="C1949" t="s">
        <v>3202</v>
      </c>
      <c r="E1949" t="s">
        <v>29</v>
      </c>
      <c r="F1949" t="s">
        <v>30</v>
      </c>
      <c r="G1949" t="s">
        <v>31</v>
      </c>
      <c r="I1949" t="s">
        <v>3547</v>
      </c>
      <c r="J1949" t="s">
        <v>3548</v>
      </c>
      <c r="K1949" t="s">
        <v>39</v>
      </c>
      <c r="L1949" t="s">
        <v>30</v>
      </c>
      <c r="M1949" t="s">
        <v>31</v>
      </c>
      <c r="N1949" t="s">
        <v>991</v>
      </c>
      <c r="Q1949" s="4">
        <v>1</v>
      </c>
    </row>
    <row r="1950" spans="1:17" x14ac:dyDescent="0.55000000000000004">
      <c r="A1950" t="s">
        <v>3963</v>
      </c>
      <c r="C1950" t="s">
        <v>3202</v>
      </c>
      <c r="E1950" t="s">
        <v>29</v>
      </c>
      <c r="F1950" t="s">
        <v>30</v>
      </c>
      <c r="G1950" t="s">
        <v>31</v>
      </c>
      <c r="I1950" t="s">
        <v>3549</v>
      </c>
      <c r="J1950" t="s">
        <v>3550</v>
      </c>
      <c r="K1950" t="s">
        <v>39</v>
      </c>
      <c r="L1950" t="s">
        <v>30</v>
      </c>
      <c r="M1950" t="s">
        <v>31</v>
      </c>
      <c r="N1950" t="s">
        <v>991</v>
      </c>
      <c r="Q1950" s="4">
        <v>1</v>
      </c>
    </row>
    <row r="1951" spans="1:17" x14ac:dyDescent="0.55000000000000004">
      <c r="A1951" t="s">
        <v>3964</v>
      </c>
      <c r="C1951" t="s">
        <v>3202</v>
      </c>
      <c r="E1951" t="s">
        <v>29</v>
      </c>
      <c r="F1951" t="s">
        <v>30</v>
      </c>
      <c r="G1951" t="s">
        <v>31</v>
      </c>
      <c r="I1951" t="s">
        <v>3551</v>
      </c>
      <c r="J1951" t="s">
        <v>3552</v>
      </c>
      <c r="K1951" t="s">
        <v>39</v>
      </c>
      <c r="L1951" t="s">
        <v>30</v>
      </c>
      <c r="M1951" t="s">
        <v>31</v>
      </c>
      <c r="N1951" t="s">
        <v>991</v>
      </c>
      <c r="Q1951" s="4">
        <v>1</v>
      </c>
    </row>
    <row r="1952" spans="1:17" x14ac:dyDescent="0.55000000000000004">
      <c r="A1952" t="s">
        <v>3965</v>
      </c>
      <c r="C1952" t="s">
        <v>3202</v>
      </c>
      <c r="E1952" t="s">
        <v>29</v>
      </c>
      <c r="F1952" t="s">
        <v>30</v>
      </c>
      <c r="G1952" t="s">
        <v>31</v>
      </c>
      <c r="I1952" t="s">
        <v>3553</v>
      </c>
      <c r="J1952" t="s">
        <v>3554</v>
      </c>
      <c r="K1952" t="s">
        <v>39</v>
      </c>
      <c r="L1952" t="s">
        <v>30</v>
      </c>
      <c r="M1952" t="s">
        <v>31</v>
      </c>
      <c r="N1952" t="s">
        <v>991</v>
      </c>
      <c r="Q1952" s="4">
        <v>1</v>
      </c>
    </row>
    <row r="1953" spans="1:17" x14ac:dyDescent="0.55000000000000004">
      <c r="A1953" t="s">
        <v>3966</v>
      </c>
      <c r="C1953" t="s">
        <v>3202</v>
      </c>
      <c r="E1953" t="s">
        <v>29</v>
      </c>
      <c r="F1953" t="s">
        <v>30</v>
      </c>
      <c r="G1953" t="s">
        <v>31</v>
      </c>
      <c r="I1953" t="s">
        <v>3555</v>
      </c>
      <c r="J1953" t="s">
        <v>3556</v>
      </c>
      <c r="K1953" t="s">
        <v>39</v>
      </c>
      <c r="L1953" t="s">
        <v>30</v>
      </c>
      <c r="M1953" t="s">
        <v>31</v>
      </c>
      <c r="N1953" t="s">
        <v>991</v>
      </c>
      <c r="Q1953" s="4">
        <v>1</v>
      </c>
    </row>
    <row r="1954" spans="1:17" x14ac:dyDescent="0.55000000000000004">
      <c r="A1954" t="s">
        <v>3967</v>
      </c>
      <c r="C1954" t="s">
        <v>3202</v>
      </c>
      <c r="E1954" t="s">
        <v>29</v>
      </c>
      <c r="F1954" t="s">
        <v>30</v>
      </c>
      <c r="G1954" t="s">
        <v>31</v>
      </c>
      <c r="I1954" t="s">
        <v>3557</v>
      </c>
      <c r="J1954" t="s">
        <v>3558</v>
      </c>
      <c r="K1954" t="s">
        <v>39</v>
      </c>
      <c r="L1954" t="s">
        <v>30</v>
      </c>
      <c r="M1954" t="s">
        <v>31</v>
      </c>
      <c r="N1954" t="s">
        <v>991</v>
      </c>
      <c r="Q1954" s="4">
        <v>1</v>
      </c>
    </row>
    <row r="1955" spans="1:17" x14ac:dyDescent="0.55000000000000004">
      <c r="A1955" t="s">
        <v>3968</v>
      </c>
      <c r="C1955" t="s">
        <v>3202</v>
      </c>
      <c r="E1955" t="s">
        <v>29</v>
      </c>
      <c r="F1955" t="s">
        <v>30</v>
      </c>
      <c r="G1955" t="s">
        <v>31</v>
      </c>
      <c r="I1955" t="s">
        <v>3559</v>
      </c>
      <c r="J1955" t="s">
        <v>3560</v>
      </c>
      <c r="K1955" t="s">
        <v>39</v>
      </c>
      <c r="L1955" t="s">
        <v>30</v>
      </c>
      <c r="M1955" t="s">
        <v>31</v>
      </c>
      <c r="N1955" t="s">
        <v>991</v>
      </c>
      <c r="Q1955" s="4">
        <v>1</v>
      </c>
    </row>
    <row r="1956" spans="1:17" x14ac:dyDescent="0.55000000000000004">
      <c r="A1956" t="s">
        <v>3969</v>
      </c>
      <c r="C1956" t="s">
        <v>3202</v>
      </c>
      <c r="E1956" t="s">
        <v>29</v>
      </c>
      <c r="F1956" t="s">
        <v>30</v>
      </c>
      <c r="G1956" t="s">
        <v>31</v>
      </c>
      <c r="I1956" t="s">
        <v>3561</v>
      </c>
      <c r="J1956" t="s">
        <v>3562</v>
      </c>
      <c r="K1956" t="s">
        <v>39</v>
      </c>
      <c r="L1956" t="s">
        <v>30</v>
      </c>
      <c r="M1956" t="s">
        <v>31</v>
      </c>
      <c r="N1956" t="s">
        <v>991</v>
      </c>
      <c r="Q1956" s="4">
        <v>1</v>
      </c>
    </row>
    <row r="1957" spans="1:17" x14ac:dyDescent="0.55000000000000004">
      <c r="A1957" t="s">
        <v>3970</v>
      </c>
      <c r="C1957" t="s">
        <v>3202</v>
      </c>
      <c r="E1957" t="s">
        <v>29</v>
      </c>
      <c r="F1957" t="s">
        <v>30</v>
      </c>
      <c r="G1957" t="s">
        <v>31</v>
      </c>
      <c r="I1957" t="s">
        <v>3563</v>
      </c>
      <c r="J1957" t="s">
        <v>3564</v>
      </c>
      <c r="K1957" t="s">
        <v>39</v>
      </c>
      <c r="L1957" t="s">
        <v>30</v>
      </c>
      <c r="M1957" t="s">
        <v>31</v>
      </c>
      <c r="N1957" t="s">
        <v>991</v>
      </c>
      <c r="Q1957" s="4">
        <v>1</v>
      </c>
    </row>
    <row r="1958" spans="1:17" x14ac:dyDescent="0.55000000000000004">
      <c r="A1958" t="s">
        <v>3971</v>
      </c>
      <c r="C1958" t="s">
        <v>3202</v>
      </c>
      <c r="E1958" t="s">
        <v>29</v>
      </c>
      <c r="F1958" t="s">
        <v>30</v>
      </c>
      <c r="G1958" t="s">
        <v>31</v>
      </c>
      <c r="I1958" t="s">
        <v>3565</v>
      </c>
      <c r="J1958" t="s">
        <v>3566</v>
      </c>
      <c r="K1958" t="s">
        <v>39</v>
      </c>
      <c r="L1958" t="s">
        <v>30</v>
      </c>
      <c r="M1958" t="s">
        <v>31</v>
      </c>
      <c r="N1958" t="s">
        <v>991</v>
      </c>
      <c r="Q1958" s="4">
        <v>1</v>
      </c>
    </row>
    <row r="1959" spans="1:17" x14ac:dyDescent="0.55000000000000004">
      <c r="A1959" t="s">
        <v>3972</v>
      </c>
      <c r="C1959" t="s">
        <v>3202</v>
      </c>
      <c r="E1959" t="s">
        <v>29</v>
      </c>
      <c r="F1959" t="s">
        <v>30</v>
      </c>
      <c r="G1959" t="s">
        <v>31</v>
      </c>
      <c r="I1959" t="s">
        <v>3567</v>
      </c>
      <c r="J1959" t="s">
        <v>3568</v>
      </c>
      <c r="K1959" t="s">
        <v>39</v>
      </c>
      <c r="L1959" t="s">
        <v>30</v>
      </c>
      <c r="M1959" t="s">
        <v>31</v>
      </c>
      <c r="N1959" t="s">
        <v>991</v>
      </c>
      <c r="Q1959" s="4">
        <v>1</v>
      </c>
    </row>
    <row r="1960" spans="1:17" x14ac:dyDescent="0.55000000000000004">
      <c r="A1960" t="s">
        <v>3973</v>
      </c>
      <c r="C1960" t="s">
        <v>3202</v>
      </c>
      <c r="E1960" t="s">
        <v>29</v>
      </c>
      <c r="F1960" t="s">
        <v>30</v>
      </c>
      <c r="G1960" t="s">
        <v>31</v>
      </c>
      <c r="I1960" t="s">
        <v>3569</v>
      </c>
      <c r="J1960" t="s">
        <v>3570</v>
      </c>
      <c r="K1960" t="s">
        <v>39</v>
      </c>
      <c r="L1960" t="s">
        <v>30</v>
      </c>
      <c r="M1960" t="s">
        <v>31</v>
      </c>
      <c r="N1960" t="s">
        <v>991</v>
      </c>
      <c r="Q1960" s="4">
        <v>1</v>
      </c>
    </row>
    <row r="1961" spans="1:17" x14ac:dyDescent="0.55000000000000004">
      <c r="A1961" t="s">
        <v>3974</v>
      </c>
      <c r="C1961" t="s">
        <v>3202</v>
      </c>
      <c r="E1961" t="s">
        <v>29</v>
      </c>
      <c r="F1961" t="s">
        <v>30</v>
      </c>
      <c r="G1961" t="s">
        <v>31</v>
      </c>
      <c r="I1961" t="s">
        <v>3571</v>
      </c>
      <c r="J1961" t="s">
        <v>3572</v>
      </c>
      <c r="K1961" t="s">
        <v>39</v>
      </c>
      <c r="L1961" t="s">
        <v>30</v>
      </c>
      <c r="M1961" t="s">
        <v>31</v>
      </c>
      <c r="N1961" t="s">
        <v>991</v>
      </c>
      <c r="Q1961" s="4">
        <v>1</v>
      </c>
    </row>
    <row r="1962" spans="1:17" x14ac:dyDescent="0.55000000000000004">
      <c r="A1962" t="s">
        <v>3975</v>
      </c>
      <c r="C1962" t="s">
        <v>3202</v>
      </c>
      <c r="E1962" t="s">
        <v>29</v>
      </c>
      <c r="F1962" t="s">
        <v>30</v>
      </c>
      <c r="G1962" t="s">
        <v>31</v>
      </c>
      <c r="I1962" t="s">
        <v>3573</v>
      </c>
      <c r="J1962" t="s">
        <v>3574</v>
      </c>
      <c r="K1962" t="s">
        <v>39</v>
      </c>
      <c r="L1962" t="s">
        <v>30</v>
      </c>
      <c r="M1962" t="s">
        <v>31</v>
      </c>
      <c r="N1962" t="s">
        <v>991</v>
      </c>
      <c r="Q1962" s="4">
        <v>1</v>
      </c>
    </row>
    <row r="1963" spans="1:17" x14ac:dyDescent="0.55000000000000004">
      <c r="A1963" t="s">
        <v>3976</v>
      </c>
      <c r="C1963" t="s">
        <v>3202</v>
      </c>
      <c r="E1963" t="s">
        <v>29</v>
      </c>
      <c r="F1963" t="s">
        <v>30</v>
      </c>
      <c r="G1963" t="s">
        <v>31</v>
      </c>
      <c r="I1963" t="s">
        <v>3575</v>
      </c>
      <c r="J1963" t="s">
        <v>3576</v>
      </c>
      <c r="K1963" t="s">
        <v>39</v>
      </c>
      <c r="L1963" t="s">
        <v>30</v>
      </c>
      <c r="M1963" t="s">
        <v>31</v>
      </c>
      <c r="N1963" t="s">
        <v>991</v>
      </c>
      <c r="Q1963" s="4">
        <v>1</v>
      </c>
    </row>
    <row r="1964" spans="1:17" x14ac:dyDescent="0.55000000000000004">
      <c r="A1964" t="s">
        <v>3977</v>
      </c>
      <c r="C1964" t="s">
        <v>3202</v>
      </c>
      <c r="E1964" t="s">
        <v>29</v>
      </c>
      <c r="F1964" t="s">
        <v>30</v>
      </c>
      <c r="G1964" t="s">
        <v>31</v>
      </c>
      <c r="I1964" t="s">
        <v>3577</v>
      </c>
      <c r="J1964" t="s">
        <v>3578</v>
      </c>
      <c r="K1964" t="s">
        <v>39</v>
      </c>
      <c r="L1964" t="s">
        <v>30</v>
      </c>
      <c r="M1964" t="s">
        <v>31</v>
      </c>
      <c r="N1964" t="s">
        <v>991</v>
      </c>
      <c r="Q1964" s="4">
        <v>1</v>
      </c>
    </row>
    <row r="1965" spans="1:17" x14ac:dyDescent="0.55000000000000004">
      <c r="A1965" t="s">
        <v>3978</v>
      </c>
      <c r="C1965" t="s">
        <v>3202</v>
      </c>
      <c r="E1965" t="s">
        <v>29</v>
      </c>
      <c r="F1965" t="s">
        <v>30</v>
      </c>
      <c r="G1965" t="s">
        <v>31</v>
      </c>
      <c r="I1965" t="s">
        <v>3579</v>
      </c>
      <c r="J1965" t="s">
        <v>3580</v>
      </c>
      <c r="K1965" t="s">
        <v>39</v>
      </c>
      <c r="L1965" t="s">
        <v>30</v>
      </c>
      <c r="M1965" t="s">
        <v>31</v>
      </c>
      <c r="N1965" t="s">
        <v>991</v>
      </c>
      <c r="Q1965" s="4">
        <v>1</v>
      </c>
    </row>
    <row r="1966" spans="1:17" x14ac:dyDescent="0.55000000000000004">
      <c r="A1966" t="s">
        <v>3979</v>
      </c>
      <c r="C1966" t="s">
        <v>3202</v>
      </c>
      <c r="E1966" t="s">
        <v>29</v>
      </c>
      <c r="F1966" t="s">
        <v>30</v>
      </c>
      <c r="G1966" t="s">
        <v>31</v>
      </c>
      <c r="I1966" t="s">
        <v>3581</v>
      </c>
      <c r="J1966" t="s">
        <v>3582</v>
      </c>
      <c r="K1966" t="s">
        <v>39</v>
      </c>
      <c r="L1966" t="s">
        <v>30</v>
      </c>
      <c r="M1966" t="s">
        <v>31</v>
      </c>
      <c r="N1966" t="s">
        <v>991</v>
      </c>
      <c r="Q1966" s="4">
        <v>1</v>
      </c>
    </row>
    <row r="1967" spans="1:17" x14ac:dyDescent="0.55000000000000004">
      <c r="A1967" t="s">
        <v>3980</v>
      </c>
      <c r="C1967" t="s">
        <v>3202</v>
      </c>
      <c r="E1967" t="s">
        <v>29</v>
      </c>
      <c r="F1967" t="s">
        <v>30</v>
      </c>
      <c r="G1967" t="s">
        <v>31</v>
      </c>
      <c r="I1967" t="s">
        <v>3583</v>
      </c>
      <c r="J1967" t="s">
        <v>3584</v>
      </c>
      <c r="K1967" t="s">
        <v>39</v>
      </c>
      <c r="L1967" t="s">
        <v>30</v>
      </c>
      <c r="M1967" t="s">
        <v>31</v>
      </c>
      <c r="N1967" t="s">
        <v>991</v>
      </c>
      <c r="Q1967" s="4">
        <v>1</v>
      </c>
    </row>
    <row r="1968" spans="1:17" x14ac:dyDescent="0.55000000000000004">
      <c r="A1968" t="s">
        <v>3981</v>
      </c>
      <c r="C1968" t="s">
        <v>3202</v>
      </c>
      <c r="E1968" t="s">
        <v>29</v>
      </c>
      <c r="F1968" t="s">
        <v>30</v>
      </c>
      <c r="G1968" t="s">
        <v>31</v>
      </c>
      <c r="I1968" t="s">
        <v>3585</v>
      </c>
      <c r="J1968" t="s">
        <v>3586</v>
      </c>
      <c r="K1968" t="s">
        <v>39</v>
      </c>
      <c r="L1968" t="s">
        <v>30</v>
      </c>
      <c r="M1968" t="s">
        <v>31</v>
      </c>
      <c r="N1968" t="s">
        <v>991</v>
      </c>
      <c r="Q1968" s="4">
        <v>1</v>
      </c>
    </row>
    <row r="1969" spans="1:17" x14ac:dyDescent="0.55000000000000004">
      <c r="A1969" t="s">
        <v>3982</v>
      </c>
      <c r="C1969" t="s">
        <v>3202</v>
      </c>
      <c r="E1969" t="s">
        <v>29</v>
      </c>
      <c r="F1969" t="s">
        <v>30</v>
      </c>
      <c r="G1969" t="s">
        <v>31</v>
      </c>
      <c r="I1969" t="s">
        <v>3587</v>
      </c>
      <c r="J1969" t="s">
        <v>3588</v>
      </c>
      <c r="K1969" t="s">
        <v>39</v>
      </c>
      <c r="L1969" t="s">
        <v>30</v>
      </c>
      <c r="M1969" t="s">
        <v>31</v>
      </c>
      <c r="N1969" t="s">
        <v>991</v>
      </c>
      <c r="Q1969" s="4">
        <v>1</v>
      </c>
    </row>
    <row r="1970" spans="1:17" x14ac:dyDescent="0.55000000000000004">
      <c r="A1970" t="s">
        <v>3983</v>
      </c>
      <c r="C1970" t="s">
        <v>3202</v>
      </c>
      <c r="E1970" t="s">
        <v>29</v>
      </c>
      <c r="F1970" t="s">
        <v>30</v>
      </c>
      <c r="G1970" t="s">
        <v>31</v>
      </c>
      <c r="I1970" t="s">
        <v>3589</v>
      </c>
      <c r="J1970" t="s">
        <v>3590</v>
      </c>
      <c r="K1970" t="s">
        <v>39</v>
      </c>
      <c r="L1970" t="s">
        <v>30</v>
      </c>
      <c r="M1970" t="s">
        <v>31</v>
      </c>
      <c r="N1970" t="s">
        <v>991</v>
      </c>
      <c r="Q1970" s="4">
        <v>1</v>
      </c>
    </row>
    <row r="1971" spans="1:17" x14ac:dyDescent="0.55000000000000004">
      <c r="A1971" t="s">
        <v>3984</v>
      </c>
      <c r="C1971" t="s">
        <v>3202</v>
      </c>
      <c r="E1971" t="s">
        <v>29</v>
      </c>
      <c r="F1971" t="s">
        <v>30</v>
      </c>
      <c r="G1971" t="s">
        <v>31</v>
      </c>
      <c r="I1971" t="s">
        <v>3591</v>
      </c>
      <c r="J1971" t="s">
        <v>3592</v>
      </c>
      <c r="K1971" t="s">
        <v>39</v>
      </c>
      <c r="L1971" t="s">
        <v>30</v>
      </c>
      <c r="M1971" t="s">
        <v>31</v>
      </c>
      <c r="N1971" t="s">
        <v>991</v>
      </c>
      <c r="Q1971" s="4">
        <v>1</v>
      </c>
    </row>
    <row r="1972" spans="1:17" x14ac:dyDescent="0.55000000000000004">
      <c r="A1972" t="s">
        <v>3985</v>
      </c>
      <c r="C1972" t="s">
        <v>3202</v>
      </c>
      <c r="E1972" t="s">
        <v>29</v>
      </c>
      <c r="F1972" t="s">
        <v>30</v>
      </c>
      <c r="G1972" t="s">
        <v>31</v>
      </c>
      <c r="I1972" t="s">
        <v>3593</v>
      </c>
      <c r="J1972" t="s">
        <v>3594</v>
      </c>
      <c r="K1972" t="s">
        <v>39</v>
      </c>
      <c r="L1972" t="s">
        <v>30</v>
      </c>
      <c r="M1972" t="s">
        <v>31</v>
      </c>
      <c r="N1972" t="s">
        <v>991</v>
      </c>
      <c r="Q1972" s="4">
        <v>1</v>
      </c>
    </row>
    <row r="1973" spans="1:17" x14ac:dyDescent="0.55000000000000004">
      <c r="A1973" t="s">
        <v>3986</v>
      </c>
      <c r="C1973" t="s">
        <v>3202</v>
      </c>
      <c r="E1973" t="s">
        <v>29</v>
      </c>
      <c r="F1973" t="s">
        <v>30</v>
      </c>
      <c r="G1973" t="s">
        <v>31</v>
      </c>
      <c r="I1973" t="s">
        <v>3595</v>
      </c>
      <c r="J1973" t="s">
        <v>3596</v>
      </c>
      <c r="K1973" t="s">
        <v>39</v>
      </c>
      <c r="L1973" t="s">
        <v>30</v>
      </c>
      <c r="M1973" t="s">
        <v>31</v>
      </c>
      <c r="N1973" t="s">
        <v>991</v>
      </c>
      <c r="Q1973" s="4">
        <v>1</v>
      </c>
    </row>
    <row r="1974" spans="1:17" x14ac:dyDescent="0.55000000000000004">
      <c r="A1974" t="s">
        <v>3987</v>
      </c>
      <c r="C1974" t="s">
        <v>3202</v>
      </c>
      <c r="E1974" t="s">
        <v>29</v>
      </c>
      <c r="F1974" t="s">
        <v>30</v>
      </c>
      <c r="G1974" t="s">
        <v>31</v>
      </c>
      <c r="I1974" t="s">
        <v>3597</v>
      </c>
      <c r="J1974" t="s">
        <v>3598</v>
      </c>
      <c r="K1974" t="s">
        <v>39</v>
      </c>
      <c r="L1974" t="s">
        <v>30</v>
      </c>
      <c r="M1974" t="s">
        <v>31</v>
      </c>
      <c r="N1974" t="s">
        <v>991</v>
      </c>
      <c r="Q1974" s="4">
        <v>1</v>
      </c>
    </row>
    <row r="1975" spans="1:17" x14ac:dyDescent="0.55000000000000004">
      <c r="A1975" t="s">
        <v>3988</v>
      </c>
      <c r="C1975" t="s">
        <v>3202</v>
      </c>
      <c r="E1975" t="s">
        <v>29</v>
      </c>
      <c r="F1975" t="s">
        <v>30</v>
      </c>
      <c r="G1975" t="s">
        <v>31</v>
      </c>
      <c r="I1975" t="s">
        <v>3599</v>
      </c>
      <c r="J1975" t="s">
        <v>3600</v>
      </c>
      <c r="K1975" t="s">
        <v>39</v>
      </c>
      <c r="L1975" t="s">
        <v>30</v>
      </c>
      <c r="M1975" t="s">
        <v>31</v>
      </c>
      <c r="N1975" t="s">
        <v>991</v>
      </c>
      <c r="Q1975" s="4">
        <v>1</v>
      </c>
    </row>
    <row r="1976" spans="1:17" x14ac:dyDescent="0.55000000000000004">
      <c r="A1976" t="s">
        <v>3989</v>
      </c>
      <c r="C1976" t="s">
        <v>3202</v>
      </c>
      <c r="E1976" t="s">
        <v>29</v>
      </c>
      <c r="F1976" t="s">
        <v>30</v>
      </c>
      <c r="G1976" t="s">
        <v>31</v>
      </c>
      <c r="I1976" t="s">
        <v>3601</v>
      </c>
      <c r="J1976" t="s">
        <v>3602</v>
      </c>
      <c r="K1976" t="s">
        <v>39</v>
      </c>
      <c r="L1976" t="s">
        <v>30</v>
      </c>
      <c r="M1976" t="s">
        <v>31</v>
      </c>
      <c r="N1976" t="s">
        <v>991</v>
      </c>
      <c r="Q1976" s="4">
        <v>1</v>
      </c>
    </row>
    <row r="1977" spans="1:17" x14ac:dyDescent="0.55000000000000004">
      <c r="A1977" t="s">
        <v>3990</v>
      </c>
      <c r="C1977" t="s">
        <v>3202</v>
      </c>
      <c r="E1977" t="s">
        <v>29</v>
      </c>
      <c r="F1977" t="s">
        <v>30</v>
      </c>
      <c r="G1977" t="s">
        <v>31</v>
      </c>
      <c r="I1977" t="s">
        <v>3603</v>
      </c>
      <c r="J1977" t="s">
        <v>3604</v>
      </c>
      <c r="K1977" t="s">
        <v>39</v>
      </c>
      <c r="L1977" t="s">
        <v>30</v>
      </c>
      <c r="M1977" t="s">
        <v>31</v>
      </c>
      <c r="N1977" t="s">
        <v>991</v>
      </c>
      <c r="Q1977" s="4">
        <v>1</v>
      </c>
    </row>
    <row r="1978" spans="1:17" x14ac:dyDescent="0.55000000000000004">
      <c r="A1978" t="s">
        <v>3991</v>
      </c>
      <c r="C1978" t="s">
        <v>3202</v>
      </c>
      <c r="E1978" t="s">
        <v>29</v>
      </c>
      <c r="F1978" t="s">
        <v>30</v>
      </c>
      <c r="G1978" t="s">
        <v>31</v>
      </c>
      <c r="I1978" t="s">
        <v>3605</v>
      </c>
      <c r="J1978" t="s">
        <v>3606</v>
      </c>
      <c r="K1978" t="s">
        <v>39</v>
      </c>
      <c r="L1978" t="s">
        <v>30</v>
      </c>
      <c r="M1978" t="s">
        <v>31</v>
      </c>
      <c r="N1978" t="s">
        <v>991</v>
      </c>
      <c r="Q1978" s="4">
        <v>1</v>
      </c>
    </row>
    <row r="1979" spans="1:17" x14ac:dyDescent="0.55000000000000004">
      <c r="A1979" t="s">
        <v>3992</v>
      </c>
      <c r="C1979" t="s">
        <v>3202</v>
      </c>
      <c r="E1979" t="s">
        <v>29</v>
      </c>
      <c r="F1979" t="s">
        <v>30</v>
      </c>
      <c r="G1979" t="s">
        <v>31</v>
      </c>
      <c r="I1979" t="s">
        <v>3607</v>
      </c>
      <c r="J1979" t="s">
        <v>3608</v>
      </c>
      <c r="K1979" t="s">
        <v>39</v>
      </c>
      <c r="L1979" t="s">
        <v>30</v>
      </c>
      <c r="M1979" t="s">
        <v>31</v>
      </c>
      <c r="N1979" t="s">
        <v>991</v>
      </c>
      <c r="Q1979" s="4">
        <v>1</v>
      </c>
    </row>
    <row r="1980" spans="1:17" x14ac:dyDescent="0.55000000000000004">
      <c r="A1980" t="s">
        <v>3993</v>
      </c>
      <c r="C1980" t="s">
        <v>3202</v>
      </c>
      <c r="E1980" t="s">
        <v>29</v>
      </c>
      <c r="F1980" t="s">
        <v>30</v>
      </c>
      <c r="G1980" t="s">
        <v>31</v>
      </c>
      <c r="I1980" t="s">
        <v>3609</v>
      </c>
      <c r="J1980" t="s">
        <v>3610</v>
      </c>
      <c r="K1980" t="s">
        <v>39</v>
      </c>
      <c r="L1980" t="s">
        <v>30</v>
      </c>
      <c r="M1980" t="s">
        <v>31</v>
      </c>
      <c r="N1980" t="s">
        <v>991</v>
      </c>
      <c r="Q1980" s="4">
        <v>1</v>
      </c>
    </row>
    <row r="1981" spans="1:17" x14ac:dyDescent="0.55000000000000004">
      <c r="A1981" t="s">
        <v>3994</v>
      </c>
      <c r="C1981" t="s">
        <v>3202</v>
      </c>
      <c r="E1981" t="s">
        <v>29</v>
      </c>
      <c r="F1981" t="s">
        <v>30</v>
      </c>
      <c r="G1981" t="s">
        <v>31</v>
      </c>
      <c r="I1981" t="s">
        <v>3611</v>
      </c>
      <c r="J1981" t="s">
        <v>3612</v>
      </c>
      <c r="K1981" t="s">
        <v>39</v>
      </c>
      <c r="L1981" t="s">
        <v>30</v>
      </c>
      <c r="M1981" t="s">
        <v>31</v>
      </c>
      <c r="N1981" t="s">
        <v>991</v>
      </c>
      <c r="Q1981" s="4">
        <v>1</v>
      </c>
    </row>
    <row r="1982" spans="1:17" x14ac:dyDescent="0.55000000000000004">
      <c r="A1982" t="s">
        <v>3995</v>
      </c>
      <c r="C1982" t="s">
        <v>3202</v>
      </c>
      <c r="E1982" t="s">
        <v>29</v>
      </c>
      <c r="F1982" t="s">
        <v>30</v>
      </c>
      <c r="G1982" t="s">
        <v>31</v>
      </c>
      <c r="I1982" t="s">
        <v>3613</v>
      </c>
      <c r="J1982" t="s">
        <v>3614</v>
      </c>
      <c r="K1982" t="s">
        <v>39</v>
      </c>
      <c r="L1982" t="s">
        <v>30</v>
      </c>
      <c r="M1982" t="s">
        <v>31</v>
      </c>
      <c r="N1982" t="s">
        <v>991</v>
      </c>
      <c r="Q1982" s="4">
        <v>1</v>
      </c>
    </row>
    <row r="1983" spans="1:17" x14ac:dyDescent="0.55000000000000004">
      <c r="A1983" t="s">
        <v>5104</v>
      </c>
      <c r="C1983" t="s">
        <v>3202</v>
      </c>
      <c r="E1983" t="s">
        <v>29</v>
      </c>
      <c r="F1983" t="s">
        <v>30</v>
      </c>
      <c r="G1983" t="s">
        <v>31</v>
      </c>
      <c r="I1983" t="s">
        <v>3615</v>
      </c>
      <c r="J1983" t="s">
        <v>3616</v>
      </c>
      <c r="K1983" t="s">
        <v>39</v>
      </c>
      <c r="L1983" t="s">
        <v>30</v>
      </c>
      <c r="M1983" t="s">
        <v>31</v>
      </c>
      <c r="N1983" t="s">
        <v>991</v>
      </c>
      <c r="Q1983" s="4">
        <v>1</v>
      </c>
    </row>
    <row r="1984" spans="1:17" x14ac:dyDescent="0.55000000000000004">
      <c r="A1984" t="s">
        <v>5105</v>
      </c>
      <c r="C1984" t="s">
        <v>3202</v>
      </c>
      <c r="E1984" t="s">
        <v>29</v>
      </c>
      <c r="F1984" t="s">
        <v>30</v>
      </c>
      <c r="G1984" t="s">
        <v>31</v>
      </c>
      <c r="I1984" t="s">
        <v>3617</v>
      </c>
      <c r="J1984" t="s">
        <v>3618</v>
      </c>
      <c r="K1984" t="s">
        <v>39</v>
      </c>
      <c r="L1984" t="s">
        <v>30</v>
      </c>
      <c r="M1984" t="s">
        <v>31</v>
      </c>
      <c r="N1984" t="s">
        <v>991</v>
      </c>
      <c r="Q1984" s="4">
        <v>1</v>
      </c>
    </row>
    <row r="1985" spans="1:17" x14ac:dyDescent="0.55000000000000004">
      <c r="A1985" t="s">
        <v>5106</v>
      </c>
      <c r="C1985" t="s">
        <v>3202</v>
      </c>
      <c r="E1985" t="s">
        <v>29</v>
      </c>
      <c r="F1985" t="s">
        <v>30</v>
      </c>
      <c r="G1985" t="s">
        <v>31</v>
      </c>
      <c r="I1985" t="s">
        <v>3619</v>
      </c>
      <c r="J1985" t="s">
        <v>3620</v>
      </c>
      <c r="K1985" t="s">
        <v>39</v>
      </c>
      <c r="L1985" t="s">
        <v>30</v>
      </c>
      <c r="M1985" t="s">
        <v>31</v>
      </c>
      <c r="N1985" t="s">
        <v>991</v>
      </c>
      <c r="Q1985" s="4">
        <v>1</v>
      </c>
    </row>
    <row r="1986" spans="1:17" x14ac:dyDescent="0.55000000000000004">
      <c r="A1986" t="s">
        <v>5107</v>
      </c>
      <c r="C1986" t="s">
        <v>3202</v>
      </c>
      <c r="E1986" t="s">
        <v>29</v>
      </c>
      <c r="F1986" t="s">
        <v>30</v>
      </c>
      <c r="G1986" t="s">
        <v>31</v>
      </c>
      <c r="I1986" t="s">
        <v>3621</v>
      </c>
      <c r="J1986" t="s">
        <v>3622</v>
      </c>
      <c r="K1986" t="s">
        <v>39</v>
      </c>
      <c r="L1986" t="s">
        <v>30</v>
      </c>
      <c r="M1986" t="s">
        <v>31</v>
      </c>
      <c r="N1986" t="s">
        <v>991</v>
      </c>
      <c r="Q1986" s="4">
        <v>1</v>
      </c>
    </row>
    <row r="1987" spans="1:17" x14ac:dyDescent="0.55000000000000004">
      <c r="A1987" t="s">
        <v>5108</v>
      </c>
      <c r="C1987" t="s">
        <v>3202</v>
      </c>
      <c r="E1987" t="s">
        <v>29</v>
      </c>
      <c r="F1987" t="s">
        <v>30</v>
      </c>
      <c r="G1987" t="s">
        <v>31</v>
      </c>
      <c r="I1987" t="s">
        <v>3623</v>
      </c>
      <c r="J1987" t="s">
        <v>3624</v>
      </c>
      <c r="K1987" t="s">
        <v>39</v>
      </c>
      <c r="L1987" t="s">
        <v>30</v>
      </c>
      <c r="M1987" t="s">
        <v>31</v>
      </c>
      <c r="N1987" t="s">
        <v>991</v>
      </c>
      <c r="Q1987" s="4">
        <v>1</v>
      </c>
    </row>
    <row r="1988" spans="1:17" x14ac:dyDescent="0.55000000000000004">
      <c r="A1988" t="s">
        <v>5109</v>
      </c>
      <c r="C1988" t="s">
        <v>3202</v>
      </c>
      <c r="E1988" t="s">
        <v>29</v>
      </c>
      <c r="F1988" t="s">
        <v>30</v>
      </c>
      <c r="G1988" t="s">
        <v>31</v>
      </c>
      <c r="I1988" t="s">
        <v>3625</v>
      </c>
      <c r="J1988" t="s">
        <v>3626</v>
      </c>
      <c r="K1988" t="s">
        <v>39</v>
      </c>
      <c r="L1988" t="s">
        <v>30</v>
      </c>
      <c r="M1988" t="s">
        <v>31</v>
      </c>
      <c r="N1988" t="s">
        <v>991</v>
      </c>
      <c r="Q1988" s="4">
        <v>1</v>
      </c>
    </row>
    <row r="1989" spans="1:17" x14ac:dyDescent="0.55000000000000004">
      <c r="A1989" t="s">
        <v>5110</v>
      </c>
      <c r="C1989" t="s">
        <v>3202</v>
      </c>
      <c r="E1989" t="s">
        <v>29</v>
      </c>
      <c r="F1989" t="s">
        <v>30</v>
      </c>
      <c r="G1989" t="s">
        <v>31</v>
      </c>
      <c r="I1989" t="s">
        <v>3627</v>
      </c>
      <c r="J1989" t="s">
        <v>3628</v>
      </c>
      <c r="K1989" t="s">
        <v>39</v>
      </c>
      <c r="L1989" t="s">
        <v>30</v>
      </c>
      <c r="M1989" t="s">
        <v>31</v>
      </c>
      <c r="N1989" t="s">
        <v>991</v>
      </c>
      <c r="Q1989" s="4">
        <v>1</v>
      </c>
    </row>
    <row r="1990" spans="1:17" x14ac:dyDescent="0.55000000000000004">
      <c r="A1990" t="s">
        <v>5111</v>
      </c>
      <c r="C1990" t="s">
        <v>3202</v>
      </c>
      <c r="E1990" t="s">
        <v>29</v>
      </c>
      <c r="F1990" t="s">
        <v>30</v>
      </c>
      <c r="G1990" t="s">
        <v>31</v>
      </c>
      <c r="I1990" t="s">
        <v>3629</v>
      </c>
      <c r="J1990" t="s">
        <v>3630</v>
      </c>
      <c r="K1990" t="s">
        <v>39</v>
      </c>
      <c r="L1990" t="s">
        <v>30</v>
      </c>
      <c r="M1990" t="s">
        <v>31</v>
      </c>
      <c r="N1990" t="s">
        <v>991</v>
      </c>
      <c r="Q1990" s="4">
        <v>1</v>
      </c>
    </row>
    <row r="1991" spans="1:17" x14ac:dyDescent="0.55000000000000004">
      <c r="A1991" t="s">
        <v>5112</v>
      </c>
      <c r="C1991" t="s">
        <v>3202</v>
      </c>
      <c r="E1991" t="s">
        <v>29</v>
      </c>
      <c r="F1991" t="s">
        <v>30</v>
      </c>
      <c r="G1991" t="s">
        <v>31</v>
      </c>
      <c r="I1991" t="s">
        <v>3631</v>
      </c>
      <c r="J1991" t="s">
        <v>3632</v>
      </c>
      <c r="K1991" t="s">
        <v>39</v>
      </c>
      <c r="L1991" t="s">
        <v>30</v>
      </c>
      <c r="M1991" t="s">
        <v>31</v>
      </c>
      <c r="N1991" t="s">
        <v>991</v>
      </c>
      <c r="Q1991" s="4">
        <v>1</v>
      </c>
    </row>
    <row r="1992" spans="1:17" x14ac:dyDescent="0.55000000000000004">
      <c r="A1992" t="s">
        <v>5113</v>
      </c>
      <c r="C1992" t="s">
        <v>3202</v>
      </c>
      <c r="E1992" t="s">
        <v>29</v>
      </c>
      <c r="F1992" t="s">
        <v>30</v>
      </c>
      <c r="G1992" t="s">
        <v>31</v>
      </c>
      <c r="I1992" t="s">
        <v>3633</v>
      </c>
      <c r="J1992" t="s">
        <v>3634</v>
      </c>
      <c r="K1992" t="s">
        <v>39</v>
      </c>
      <c r="L1992" t="s">
        <v>30</v>
      </c>
      <c r="M1992" t="s">
        <v>31</v>
      </c>
      <c r="N1992" t="s">
        <v>991</v>
      </c>
      <c r="Q1992" s="4">
        <v>1</v>
      </c>
    </row>
    <row r="1993" spans="1:17" x14ac:dyDescent="0.55000000000000004">
      <c r="A1993" t="s">
        <v>5114</v>
      </c>
      <c r="C1993" t="s">
        <v>3202</v>
      </c>
      <c r="E1993" t="s">
        <v>29</v>
      </c>
      <c r="F1993" t="s">
        <v>30</v>
      </c>
      <c r="G1993" t="s">
        <v>31</v>
      </c>
      <c r="I1993" t="s">
        <v>984</v>
      </c>
      <c r="J1993" t="s">
        <v>985</v>
      </c>
      <c r="K1993" t="s">
        <v>39</v>
      </c>
      <c r="L1993" t="s">
        <v>30</v>
      </c>
      <c r="M1993" t="s">
        <v>31</v>
      </c>
      <c r="N1993" t="s">
        <v>196</v>
      </c>
      <c r="Q1993" s="4">
        <v>1</v>
      </c>
    </row>
    <row r="1994" spans="1:17" x14ac:dyDescent="0.55000000000000004">
      <c r="A1994" t="s">
        <v>5115</v>
      </c>
      <c r="C1994" t="s">
        <v>3202</v>
      </c>
      <c r="E1994" t="s">
        <v>29</v>
      </c>
      <c r="F1994" t="s">
        <v>30</v>
      </c>
      <c r="G1994" t="s">
        <v>31</v>
      </c>
      <c r="I1994" t="s">
        <v>993</v>
      </c>
      <c r="J1994" t="s">
        <v>994</v>
      </c>
      <c r="K1994" t="s">
        <v>39</v>
      </c>
      <c r="L1994" t="s">
        <v>30</v>
      </c>
      <c r="M1994" t="s">
        <v>31</v>
      </c>
      <c r="N1994" t="s">
        <v>196</v>
      </c>
      <c r="Q1994" s="4">
        <v>1</v>
      </c>
    </row>
    <row r="1995" spans="1:17" x14ac:dyDescent="0.55000000000000004">
      <c r="A1995" t="s">
        <v>5116</v>
      </c>
      <c r="C1995" t="s">
        <v>3202</v>
      </c>
      <c r="E1995" t="s">
        <v>29</v>
      </c>
      <c r="F1995" t="s">
        <v>30</v>
      </c>
      <c r="G1995" t="s">
        <v>31</v>
      </c>
      <c r="I1995" t="s">
        <v>999</v>
      </c>
      <c r="J1995" t="s">
        <v>1000</v>
      </c>
      <c r="K1995" t="s">
        <v>39</v>
      </c>
      <c r="L1995" t="s">
        <v>30</v>
      </c>
      <c r="M1995" t="s">
        <v>31</v>
      </c>
      <c r="N1995" t="s">
        <v>196</v>
      </c>
      <c r="Q1995" s="4">
        <v>1</v>
      </c>
    </row>
    <row r="1996" spans="1:17" x14ac:dyDescent="0.55000000000000004">
      <c r="A1996" t="s">
        <v>5117</v>
      </c>
      <c r="C1996" t="s">
        <v>3202</v>
      </c>
      <c r="E1996" t="s">
        <v>29</v>
      </c>
      <c r="F1996" t="s">
        <v>30</v>
      </c>
      <c r="G1996" t="s">
        <v>31</v>
      </c>
      <c r="I1996" t="s">
        <v>1005</v>
      </c>
      <c r="J1996" t="s">
        <v>1006</v>
      </c>
      <c r="K1996" t="s">
        <v>39</v>
      </c>
      <c r="L1996" t="s">
        <v>30</v>
      </c>
      <c r="M1996" t="s">
        <v>31</v>
      </c>
      <c r="N1996" t="s">
        <v>196</v>
      </c>
      <c r="Q1996" s="4">
        <v>1</v>
      </c>
    </row>
    <row r="1997" spans="1:17" x14ac:dyDescent="0.55000000000000004">
      <c r="A1997" t="s">
        <v>5118</v>
      </c>
      <c r="C1997" t="s">
        <v>3202</v>
      </c>
      <c r="E1997" t="s">
        <v>29</v>
      </c>
      <c r="F1997" t="s">
        <v>30</v>
      </c>
      <c r="G1997" t="s">
        <v>31</v>
      </c>
      <c r="I1997" t="s">
        <v>1011</v>
      </c>
      <c r="J1997" t="s">
        <v>1012</v>
      </c>
      <c r="K1997" t="s">
        <v>39</v>
      </c>
      <c r="L1997" t="s">
        <v>30</v>
      </c>
      <c r="M1997" t="s">
        <v>31</v>
      </c>
      <c r="N1997" t="s">
        <v>196</v>
      </c>
      <c r="Q1997" s="4">
        <v>1</v>
      </c>
    </row>
    <row r="1998" spans="1:17" x14ac:dyDescent="0.55000000000000004">
      <c r="A1998" t="s">
        <v>5119</v>
      </c>
      <c r="C1998" t="s">
        <v>3202</v>
      </c>
      <c r="E1998" t="s">
        <v>29</v>
      </c>
      <c r="F1998" t="s">
        <v>30</v>
      </c>
      <c r="G1998" t="s">
        <v>31</v>
      </c>
      <c r="I1998" t="s">
        <v>1017</v>
      </c>
      <c r="J1998" t="s">
        <v>1018</v>
      </c>
      <c r="K1998" t="s">
        <v>39</v>
      </c>
      <c r="L1998" t="s">
        <v>30</v>
      </c>
      <c r="M1998" t="s">
        <v>31</v>
      </c>
      <c r="N1998" t="s">
        <v>196</v>
      </c>
      <c r="Q1998" s="4">
        <v>1</v>
      </c>
    </row>
    <row r="1999" spans="1:17" x14ac:dyDescent="0.55000000000000004">
      <c r="A1999" t="s">
        <v>5120</v>
      </c>
      <c r="C1999" t="s">
        <v>3202</v>
      </c>
      <c r="E1999" t="s">
        <v>29</v>
      </c>
      <c r="F1999" t="s">
        <v>30</v>
      </c>
      <c r="G1999" t="s">
        <v>31</v>
      </c>
      <c r="I1999" t="s">
        <v>1023</v>
      </c>
      <c r="J1999" t="s">
        <v>1024</v>
      </c>
      <c r="K1999" t="s">
        <v>39</v>
      </c>
      <c r="L1999" t="s">
        <v>30</v>
      </c>
      <c r="M1999" t="s">
        <v>31</v>
      </c>
      <c r="N1999" t="s">
        <v>196</v>
      </c>
      <c r="Q1999" s="4">
        <v>1</v>
      </c>
    </row>
    <row r="2000" spans="1:17" x14ac:dyDescent="0.55000000000000004">
      <c r="A2000" t="s">
        <v>5121</v>
      </c>
      <c r="C2000" t="s">
        <v>3202</v>
      </c>
      <c r="E2000" t="s">
        <v>29</v>
      </c>
      <c r="F2000" t="s">
        <v>30</v>
      </c>
      <c r="G2000" t="s">
        <v>31</v>
      </c>
      <c r="I2000" t="s">
        <v>1029</v>
      </c>
      <c r="J2000" t="s">
        <v>1030</v>
      </c>
      <c r="K2000" t="s">
        <v>39</v>
      </c>
      <c r="L2000" t="s">
        <v>30</v>
      </c>
      <c r="M2000" t="s">
        <v>31</v>
      </c>
      <c r="N2000" t="s">
        <v>196</v>
      </c>
      <c r="Q2000" s="4">
        <v>1</v>
      </c>
    </row>
    <row r="2001" spans="1:17" x14ac:dyDescent="0.55000000000000004">
      <c r="A2001" t="s">
        <v>5122</v>
      </c>
      <c r="C2001" t="s">
        <v>3202</v>
      </c>
      <c r="E2001" t="s">
        <v>29</v>
      </c>
      <c r="F2001" t="s">
        <v>30</v>
      </c>
      <c r="G2001" t="s">
        <v>31</v>
      </c>
      <c r="I2001" t="s">
        <v>1035</v>
      </c>
      <c r="J2001" t="s">
        <v>1036</v>
      </c>
      <c r="K2001" t="s">
        <v>39</v>
      </c>
      <c r="L2001" t="s">
        <v>30</v>
      </c>
      <c r="M2001" t="s">
        <v>31</v>
      </c>
      <c r="N2001" t="s">
        <v>196</v>
      </c>
      <c r="Q2001" s="4">
        <v>1</v>
      </c>
    </row>
    <row r="2002" spans="1:17" x14ac:dyDescent="0.55000000000000004">
      <c r="A2002" t="s">
        <v>5123</v>
      </c>
      <c r="C2002" t="s">
        <v>3202</v>
      </c>
      <c r="E2002" t="s">
        <v>29</v>
      </c>
      <c r="F2002" t="s">
        <v>30</v>
      </c>
      <c r="G2002" t="s">
        <v>31</v>
      </c>
      <c r="I2002" t="s">
        <v>1041</v>
      </c>
      <c r="J2002" t="s">
        <v>1042</v>
      </c>
      <c r="K2002" t="s">
        <v>39</v>
      </c>
      <c r="L2002" t="s">
        <v>30</v>
      </c>
      <c r="M2002" t="s">
        <v>31</v>
      </c>
      <c r="N2002" t="s">
        <v>196</v>
      </c>
      <c r="Q2002" s="4">
        <v>1</v>
      </c>
    </row>
    <row r="2003" spans="1:17" x14ac:dyDescent="0.55000000000000004">
      <c r="A2003" t="s">
        <v>5124</v>
      </c>
      <c r="C2003" t="s">
        <v>3202</v>
      </c>
      <c r="E2003" t="s">
        <v>29</v>
      </c>
      <c r="F2003" t="s">
        <v>30</v>
      </c>
      <c r="G2003" t="s">
        <v>31</v>
      </c>
      <c r="I2003" t="s">
        <v>1047</v>
      </c>
      <c r="J2003" t="s">
        <v>1048</v>
      </c>
      <c r="K2003" t="s">
        <v>39</v>
      </c>
      <c r="L2003" t="s">
        <v>30</v>
      </c>
      <c r="M2003" t="s">
        <v>31</v>
      </c>
      <c r="N2003" t="s">
        <v>196</v>
      </c>
      <c r="Q2003" s="4">
        <v>1</v>
      </c>
    </row>
    <row r="2004" spans="1:17" x14ac:dyDescent="0.55000000000000004">
      <c r="A2004" t="s">
        <v>5125</v>
      </c>
      <c r="C2004" t="s">
        <v>3202</v>
      </c>
      <c r="E2004" t="s">
        <v>29</v>
      </c>
      <c r="F2004" t="s">
        <v>30</v>
      </c>
      <c r="G2004" t="s">
        <v>31</v>
      </c>
      <c r="I2004" t="s">
        <v>1053</v>
      </c>
      <c r="J2004" t="s">
        <v>1054</v>
      </c>
      <c r="K2004" t="s">
        <v>39</v>
      </c>
      <c r="L2004" t="s">
        <v>30</v>
      </c>
      <c r="M2004" t="s">
        <v>31</v>
      </c>
      <c r="N2004" t="s">
        <v>196</v>
      </c>
      <c r="Q2004" s="4">
        <v>1</v>
      </c>
    </row>
    <row r="2005" spans="1:17" x14ac:dyDescent="0.55000000000000004">
      <c r="A2005" t="s">
        <v>5126</v>
      </c>
      <c r="C2005" t="s">
        <v>3202</v>
      </c>
      <c r="E2005" t="s">
        <v>29</v>
      </c>
      <c r="F2005" t="s">
        <v>30</v>
      </c>
      <c r="G2005" t="s">
        <v>31</v>
      </c>
      <c r="I2005" t="s">
        <v>1059</v>
      </c>
      <c r="J2005" t="s">
        <v>1060</v>
      </c>
      <c r="K2005" t="s">
        <v>39</v>
      </c>
      <c r="L2005" t="s">
        <v>30</v>
      </c>
      <c r="M2005" t="s">
        <v>31</v>
      </c>
      <c r="N2005" t="s">
        <v>196</v>
      </c>
      <c r="Q2005" s="4">
        <v>1</v>
      </c>
    </row>
    <row r="2006" spans="1:17" x14ac:dyDescent="0.55000000000000004">
      <c r="A2006" t="s">
        <v>5127</v>
      </c>
      <c r="C2006" t="s">
        <v>3202</v>
      </c>
      <c r="E2006" t="s">
        <v>29</v>
      </c>
      <c r="F2006" t="s">
        <v>30</v>
      </c>
      <c r="G2006" t="s">
        <v>31</v>
      </c>
      <c r="I2006" t="s">
        <v>1065</v>
      </c>
      <c r="J2006" t="s">
        <v>1066</v>
      </c>
      <c r="K2006" t="s">
        <v>39</v>
      </c>
      <c r="L2006" t="s">
        <v>30</v>
      </c>
      <c r="M2006" t="s">
        <v>31</v>
      </c>
      <c r="N2006" t="s">
        <v>196</v>
      </c>
      <c r="Q2006" s="4">
        <v>1</v>
      </c>
    </row>
    <row r="2007" spans="1:17" x14ac:dyDescent="0.55000000000000004">
      <c r="A2007" t="s">
        <v>5128</v>
      </c>
      <c r="C2007" t="s">
        <v>3202</v>
      </c>
      <c r="E2007" t="s">
        <v>29</v>
      </c>
      <c r="F2007" t="s">
        <v>30</v>
      </c>
      <c r="G2007" t="s">
        <v>31</v>
      </c>
      <c r="I2007" t="s">
        <v>1071</v>
      </c>
      <c r="J2007" t="s">
        <v>1072</v>
      </c>
      <c r="K2007" t="s">
        <v>39</v>
      </c>
      <c r="L2007" t="s">
        <v>30</v>
      </c>
      <c r="M2007" t="s">
        <v>31</v>
      </c>
      <c r="N2007" t="s">
        <v>196</v>
      </c>
      <c r="Q2007" s="4">
        <v>1</v>
      </c>
    </row>
    <row r="2008" spans="1:17" x14ac:dyDescent="0.55000000000000004">
      <c r="A2008" t="s">
        <v>5129</v>
      </c>
      <c r="C2008" t="s">
        <v>3202</v>
      </c>
      <c r="E2008" t="s">
        <v>29</v>
      </c>
      <c r="F2008" t="s">
        <v>30</v>
      </c>
      <c r="G2008" t="s">
        <v>31</v>
      </c>
      <c r="I2008" t="s">
        <v>1077</v>
      </c>
      <c r="J2008" t="s">
        <v>1078</v>
      </c>
      <c r="K2008" t="s">
        <v>39</v>
      </c>
      <c r="L2008" t="s">
        <v>30</v>
      </c>
      <c r="M2008" t="s">
        <v>31</v>
      </c>
      <c r="N2008" t="s">
        <v>196</v>
      </c>
      <c r="Q2008" s="4">
        <v>1</v>
      </c>
    </row>
    <row r="2009" spans="1:17" x14ac:dyDescent="0.55000000000000004">
      <c r="A2009" t="s">
        <v>5130</v>
      </c>
      <c r="C2009" t="s">
        <v>3202</v>
      </c>
      <c r="E2009" t="s">
        <v>29</v>
      </c>
      <c r="F2009" t="s">
        <v>30</v>
      </c>
      <c r="G2009" t="s">
        <v>31</v>
      </c>
      <c r="I2009" t="s">
        <v>1083</v>
      </c>
      <c r="J2009" t="s">
        <v>1084</v>
      </c>
      <c r="K2009" t="s">
        <v>39</v>
      </c>
      <c r="L2009" t="s">
        <v>30</v>
      </c>
      <c r="M2009" t="s">
        <v>31</v>
      </c>
      <c r="N2009" t="s">
        <v>196</v>
      </c>
      <c r="Q2009" s="4">
        <v>1</v>
      </c>
    </row>
    <row r="2010" spans="1:17" x14ac:dyDescent="0.55000000000000004">
      <c r="A2010" t="s">
        <v>5131</v>
      </c>
      <c r="C2010" t="s">
        <v>28</v>
      </c>
      <c r="E2010" t="s">
        <v>29</v>
      </c>
      <c r="F2010" t="s">
        <v>30</v>
      </c>
      <c r="G2010" t="s">
        <v>31</v>
      </c>
      <c r="I2010" t="s">
        <v>1089</v>
      </c>
      <c r="J2010" t="s">
        <v>1090</v>
      </c>
      <c r="K2010" t="s">
        <v>39</v>
      </c>
      <c r="L2010" t="s">
        <v>30</v>
      </c>
      <c r="M2010" t="s">
        <v>31</v>
      </c>
      <c r="N2010" t="s">
        <v>196</v>
      </c>
      <c r="Q2010" s="4">
        <v>1</v>
      </c>
    </row>
    <row r="2011" spans="1:17" x14ac:dyDescent="0.55000000000000004">
      <c r="A2011" t="s">
        <v>5132</v>
      </c>
      <c r="C2011" t="s">
        <v>28</v>
      </c>
      <c r="E2011" t="s">
        <v>29</v>
      </c>
      <c r="F2011" t="s">
        <v>30</v>
      </c>
      <c r="G2011" t="s">
        <v>31</v>
      </c>
      <c r="I2011" t="s">
        <v>1095</v>
      </c>
      <c r="J2011" t="s">
        <v>1096</v>
      </c>
      <c r="K2011" t="s">
        <v>39</v>
      </c>
      <c r="L2011" t="s">
        <v>30</v>
      </c>
      <c r="M2011" t="s">
        <v>31</v>
      </c>
      <c r="N2011" t="s">
        <v>196</v>
      </c>
      <c r="Q2011" s="4">
        <v>1</v>
      </c>
    </row>
    <row r="2012" spans="1:17" x14ac:dyDescent="0.55000000000000004">
      <c r="A2012" t="s">
        <v>5133</v>
      </c>
      <c r="C2012" t="s">
        <v>28</v>
      </c>
      <c r="E2012" t="s">
        <v>29</v>
      </c>
      <c r="F2012" t="s">
        <v>30</v>
      </c>
      <c r="G2012" t="s">
        <v>31</v>
      </c>
      <c r="I2012" t="s">
        <v>1101</v>
      </c>
      <c r="J2012" t="s">
        <v>1102</v>
      </c>
      <c r="K2012" t="s">
        <v>39</v>
      </c>
      <c r="L2012" t="s">
        <v>30</v>
      </c>
      <c r="M2012" t="s">
        <v>31</v>
      </c>
      <c r="N2012" t="s">
        <v>196</v>
      </c>
      <c r="Q2012" s="4">
        <v>1</v>
      </c>
    </row>
    <row r="2013" spans="1:17" x14ac:dyDescent="0.55000000000000004">
      <c r="A2013" t="s">
        <v>5134</v>
      </c>
      <c r="C2013" t="s">
        <v>28</v>
      </c>
      <c r="E2013" t="s">
        <v>29</v>
      </c>
      <c r="F2013" t="s">
        <v>30</v>
      </c>
      <c r="G2013" t="s">
        <v>31</v>
      </c>
      <c r="I2013" t="s">
        <v>1107</v>
      </c>
      <c r="J2013" t="s">
        <v>1108</v>
      </c>
      <c r="K2013" t="s">
        <v>39</v>
      </c>
      <c r="L2013" t="s">
        <v>30</v>
      </c>
      <c r="M2013" t="s">
        <v>31</v>
      </c>
      <c r="N2013" t="s">
        <v>196</v>
      </c>
      <c r="Q2013" s="4">
        <v>1</v>
      </c>
    </row>
    <row r="2014" spans="1:17" x14ac:dyDescent="0.55000000000000004">
      <c r="A2014" t="s">
        <v>5135</v>
      </c>
      <c r="C2014" t="s">
        <v>28</v>
      </c>
      <c r="E2014" t="s">
        <v>29</v>
      </c>
      <c r="F2014" t="s">
        <v>30</v>
      </c>
      <c r="G2014" t="s">
        <v>31</v>
      </c>
      <c r="I2014" t="s">
        <v>1113</v>
      </c>
      <c r="J2014" t="s">
        <v>1114</v>
      </c>
      <c r="K2014" t="s">
        <v>39</v>
      </c>
      <c r="L2014" t="s">
        <v>30</v>
      </c>
      <c r="M2014" t="s">
        <v>31</v>
      </c>
      <c r="N2014" t="s">
        <v>196</v>
      </c>
      <c r="Q2014" s="4">
        <v>1</v>
      </c>
    </row>
    <row r="2015" spans="1:17" x14ac:dyDescent="0.55000000000000004">
      <c r="A2015" t="s">
        <v>5136</v>
      </c>
      <c r="C2015" t="s">
        <v>28</v>
      </c>
      <c r="E2015" t="s">
        <v>29</v>
      </c>
      <c r="F2015" t="s">
        <v>30</v>
      </c>
      <c r="G2015" t="s">
        <v>31</v>
      </c>
      <c r="I2015" t="s">
        <v>1119</v>
      </c>
      <c r="J2015" t="s">
        <v>1120</v>
      </c>
      <c r="K2015" t="s">
        <v>39</v>
      </c>
      <c r="L2015" t="s">
        <v>30</v>
      </c>
      <c r="M2015" t="s">
        <v>31</v>
      </c>
      <c r="N2015" t="s">
        <v>196</v>
      </c>
      <c r="Q2015" s="4">
        <v>1</v>
      </c>
    </row>
    <row r="2016" spans="1:17" x14ac:dyDescent="0.55000000000000004">
      <c r="A2016" t="s">
        <v>5137</v>
      </c>
      <c r="C2016" t="s">
        <v>28</v>
      </c>
      <c r="E2016" t="s">
        <v>29</v>
      </c>
      <c r="F2016" t="s">
        <v>30</v>
      </c>
      <c r="G2016" t="s">
        <v>31</v>
      </c>
      <c r="I2016" t="s">
        <v>1125</v>
      </c>
      <c r="J2016" t="s">
        <v>1126</v>
      </c>
      <c r="K2016" t="s">
        <v>39</v>
      </c>
      <c r="L2016" t="s">
        <v>30</v>
      </c>
      <c r="M2016" t="s">
        <v>31</v>
      </c>
      <c r="N2016" t="s">
        <v>196</v>
      </c>
      <c r="Q2016" s="4">
        <v>1</v>
      </c>
    </row>
    <row r="2017" spans="1:17" x14ac:dyDescent="0.55000000000000004">
      <c r="A2017" t="s">
        <v>5138</v>
      </c>
      <c r="C2017" t="s">
        <v>28</v>
      </c>
      <c r="E2017" t="s">
        <v>29</v>
      </c>
      <c r="F2017" t="s">
        <v>30</v>
      </c>
      <c r="G2017" t="s">
        <v>31</v>
      </c>
      <c r="I2017" t="s">
        <v>1131</v>
      </c>
      <c r="J2017" t="s">
        <v>1132</v>
      </c>
      <c r="K2017" t="s">
        <v>39</v>
      </c>
      <c r="L2017" t="s">
        <v>30</v>
      </c>
      <c r="M2017" t="s">
        <v>31</v>
      </c>
      <c r="N2017" t="s">
        <v>196</v>
      </c>
      <c r="Q2017" s="4">
        <v>1</v>
      </c>
    </row>
    <row r="2018" spans="1:17" x14ac:dyDescent="0.55000000000000004">
      <c r="A2018" t="s">
        <v>5139</v>
      </c>
      <c r="C2018" t="s">
        <v>28</v>
      </c>
      <c r="E2018" t="s">
        <v>29</v>
      </c>
      <c r="F2018" t="s">
        <v>30</v>
      </c>
      <c r="G2018" t="s">
        <v>31</v>
      </c>
      <c r="I2018" t="s">
        <v>1137</v>
      </c>
      <c r="J2018" t="s">
        <v>1138</v>
      </c>
      <c r="K2018" t="s">
        <v>39</v>
      </c>
      <c r="L2018" t="s">
        <v>30</v>
      </c>
      <c r="M2018" t="s">
        <v>31</v>
      </c>
      <c r="N2018" t="s">
        <v>196</v>
      </c>
      <c r="Q2018" s="4">
        <v>1</v>
      </c>
    </row>
    <row r="2019" spans="1:17" x14ac:dyDescent="0.55000000000000004">
      <c r="A2019" t="s">
        <v>5140</v>
      </c>
      <c r="C2019" t="s">
        <v>28</v>
      </c>
      <c r="E2019" t="s">
        <v>29</v>
      </c>
      <c r="F2019" t="s">
        <v>30</v>
      </c>
      <c r="G2019" t="s">
        <v>31</v>
      </c>
      <c r="I2019" t="s">
        <v>1143</v>
      </c>
      <c r="J2019" t="s">
        <v>1144</v>
      </c>
      <c r="K2019" t="s">
        <v>39</v>
      </c>
      <c r="L2019" t="s">
        <v>30</v>
      </c>
      <c r="M2019" t="s">
        <v>31</v>
      </c>
      <c r="N2019" t="s">
        <v>196</v>
      </c>
      <c r="Q2019" s="4">
        <v>1</v>
      </c>
    </row>
    <row r="2020" spans="1:17" x14ac:dyDescent="0.55000000000000004">
      <c r="A2020" t="s">
        <v>5141</v>
      </c>
      <c r="C2020" t="s">
        <v>28</v>
      </c>
      <c r="E2020" t="s">
        <v>29</v>
      </c>
      <c r="F2020" t="s">
        <v>30</v>
      </c>
      <c r="G2020" t="s">
        <v>31</v>
      </c>
      <c r="I2020" t="s">
        <v>1149</v>
      </c>
      <c r="J2020" t="s">
        <v>1150</v>
      </c>
      <c r="K2020" t="s">
        <v>39</v>
      </c>
      <c r="L2020" t="s">
        <v>30</v>
      </c>
      <c r="M2020" t="s">
        <v>31</v>
      </c>
      <c r="N2020" t="s">
        <v>196</v>
      </c>
      <c r="Q2020" s="4">
        <v>1</v>
      </c>
    </row>
    <row r="2021" spans="1:17" x14ac:dyDescent="0.55000000000000004">
      <c r="A2021" t="s">
        <v>5142</v>
      </c>
      <c r="C2021" t="s">
        <v>28</v>
      </c>
      <c r="E2021" t="s">
        <v>29</v>
      </c>
      <c r="F2021" t="s">
        <v>30</v>
      </c>
      <c r="G2021" t="s">
        <v>31</v>
      </c>
      <c r="I2021" t="s">
        <v>1155</v>
      </c>
      <c r="J2021" t="s">
        <v>1156</v>
      </c>
      <c r="K2021" t="s">
        <v>39</v>
      </c>
      <c r="L2021" t="s">
        <v>30</v>
      </c>
      <c r="M2021" t="s">
        <v>31</v>
      </c>
      <c r="N2021" t="s">
        <v>196</v>
      </c>
      <c r="Q2021" s="4">
        <v>1</v>
      </c>
    </row>
    <row r="2022" spans="1:17" x14ac:dyDescent="0.55000000000000004">
      <c r="A2022" t="s">
        <v>5143</v>
      </c>
      <c r="C2022" t="s">
        <v>28</v>
      </c>
      <c r="E2022" t="s">
        <v>29</v>
      </c>
      <c r="F2022" t="s">
        <v>30</v>
      </c>
      <c r="G2022" t="s">
        <v>31</v>
      </c>
      <c r="I2022" t="s">
        <v>1161</v>
      </c>
      <c r="J2022" t="s">
        <v>1162</v>
      </c>
      <c r="K2022" t="s">
        <v>39</v>
      </c>
      <c r="L2022" t="s">
        <v>30</v>
      </c>
      <c r="M2022" t="s">
        <v>31</v>
      </c>
      <c r="N2022" t="s">
        <v>196</v>
      </c>
      <c r="Q2022" s="4">
        <v>1</v>
      </c>
    </row>
    <row r="2023" spans="1:17" x14ac:dyDescent="0.55000000000000004">
      <c r="A2023" t="s">
        <v>5144</v>
      </c>
      <c r="C2023" t="s">
        <v>28</v>
      </c>
      <c r="E2023" t="s">
        <v>29</v>
      </c>
      <c r="F2023" t="s">
        <v>30</v>
      </c>
      <c r="G2023" t="s">
        <v>31</v>
      </c>
      <c r="I2023" t="s">
        <v>1167</v>
      </c>
      <c r="J2023" t="s">
        <v>1168</v>
      </c>
      <c r="K2023" t="s">
        <v>39</v>
      </c>
      <c r="L2023" t="s">
        <v>30</v>
      </c>
      <c r="M2023" t="s">
        <v>31</v>
      </c>
      <c r="N2023" t="s">
        <v>196</v>
      </c>
      <c r="Q2023" s="4">
        <v>1</v>
      </c>
    </row>
    <row r="2024" spans="1:17" x14ac:dyDescent="0.55000000000000004">
      <c r="A2024" t="s">
        <v>5145</v>
      </c>
      <c r="C2024" t="s">
        <v>28</v>
      </c>
      <c r="E2024" t="s">
        <v>29</v>
      </c>
      <c r="F2024" t="s">
        <v>30</v>
      </c>
      <c r="G2024" t="s">
        <v>31</v>
      </c>
      <c r="I2024" t="s">
        <v>1173</v>
      </c>
      <c r="J2024" t="s">
        <v>1174</v>
      </c>
      <c r="K2024" t="s">
        <v>39</v>
      </c>
      <c r="L2024" t="s">
        <v>30</v>
      </c>
      <c r="M2024" t="s">
        <v>31</v>
      </c>
      <c r="N2024" t="s">
        <v>196</v>
      </c>
      <c r="Q2024" s="4">
        <v>1</v>
      </c>
    </row>
    <row r="2025" spans="1:17" x14ac:dyDescent="0.55000000000000004">
      <c r="A2025" t="s">
        <v>5146</v>
      </c>
      <c r="C2025" t="s">
        <v>28</v>
      </c>
      <c r="E2025" t="s">
        <v>29</v>
      </c>
      <c r="F2025" t="s">
        <v>30</v>
      </c>
      <c r="G2025" t="s">
        <v>31</v>
      </c>
      <c r="I2025" t="s">
        <v>1179</v>
      </c>
      <c r="J2025" t="s">
        <v>1180</v>
      </c>
      <c r="K2025" t="s">
        <v>39</v>
      </c>
      <c r="L2025" t="s">
        <v>30</v>
      </c>
      <c r="M2025" t="s">
        <v>31</v>
      </c>
      <c r="N2025" t="s">
        <v>196</v>
      </c>
      <c r="Q2025" s="4">
        <v>1</v>
      </c>
    </row>
    <row r="2026" spans="1:17" x14ac:dyDescent="0.55000000000000004">
      <c r="A2026" t="s">
        <v>5147</v>
      </c>
      <c r="C2026" t="s">
        <v>2667</v>
      </c>
      <c r="E2026" t="s">
        <v>29</v>
      </c>
      <c r="F2026" t="s">
        <v>30</v>
      </c>
      <c r="G2026" t="s">
        <v>31</v>
      </c>
      <c r="I2026" t="s">
        <v>3034</v>
      </c>
      <c r="J2026" t="s">
        <v>3035</v>
      </c>
      <c r="K2026" t="s">
        <v>39</v>
      </c>
      <c r="L2026" t="s">
        <v>30</v>
      </c>
      <c r="M2026" t="s">
        <v>31</v>
      </c>
      <c r="N2026" t="s">
        <v>196</v>
      </c>
      <c r="Q2026" s="4">
        <v>1</v>
      </c>
    </row>
    <row r="2027" spans="1:17" x14ac:dyDescent="0.55000000000000004">
      <c r="A2027" t="s">
        <v>5148</v>
      </c>
      <c r="C2027" t="s">
        <v>2667</v>
      </c>
      <c r="E2027" t="s">
        <v>29</v>
      </c>
      <c r="F2027" t="s">
        <v>30</v>
      </c>
      <c r="G2027" t="s">
        <v>31</v>
      </c>
      <c r="I2027" t="s">
        <v>3036</v>
      </c>
      <c r="J2027" t="s">
        <v>3037</v>
      </c>
      <c r="K2027" t="s">
        <v>39</v>
      </c>
      <c r="L2027" t="s">
        <v>30</v>
      </c>
      <c r="M2027" t="s">
        <v>31</v>
      </c>
      <c r="N2027" t="s">
        <v>196</v>
      </c>
      <c r="Q2027" s="4">
        <v>1</v>
      </c>
    </row>
    <row r="2028" spans="1:17" x14ac:dyDescent="0.55000000000000004">
      <c r="A2028" t="s">
        <v>5149</v>
      </c>
      <c r="C2028" t="s">
        <v>2667</v>
      </c>
      <c r="E2028" t="s">
        <v>29</v>
      </c>
      <c r="F2028" t="s">
        <v>30</v>
      </c>
      <c r="G2028" t="s">
        <v>31</v>
      </c>
      <c r="I2028" t="s">
        <v>3038</v>
      </c>
      <c r="J2028" t="s">
        <v>3039</v>
      </c>
      <c r="K2028" t="s">
        <v>39</v>
      </c>
      <c r="L2028" t="s">
        <v>30</v>
      </c>
      <c r="M2028" t="s">
        <v>31</v>
      </c>
      <c r="N2028" t="s">
        <v>196</v>
      </c>
      <c r="Q2028" s="4">
        <v>1</v>
      </c>
    </row>
    <row r="2029" spans="1:17" x14ac:dyDescent="0.55000000000000004">
      <c r="A2029" t="s">
        <v>5150</v>
      </c>
      <c r="C2029" t="s">
        <v>2667</v>
      </c>
      <c r="E2029" t="s">
        <v>29</v>
      </c>
      <c r="F2029" t="s">
        <v>30</v>
      </c>
      <c r="G2029" t="s">
        <v>31</v>
      </c>
      <c r="I2029" t="s">
        <v>3040</v>
      </c>
      <c r="J2029" t="s">
        <v>3041</v>
      </c>
      <c r="K2029" t="s">
        <v>39</v>
      </c>
      <c r="L2029" t="s">
        <v>30</v>
      </c>
      <c r="M2029" t="s">
        <v>31</v>
      </c>
      <c r="N2029" t="s">
        <v>196</v>
      </c>
      <c r="Q2029" s="4">
        <v>1</v>
      </c>
    </row>
    <row r="2030" spans="1:17" x14ac:dyDescent="0.55000000000000004">
      <c r="A2030" t="s">
        <v>5151</v>
      </c>
      <c r="C2030" t="s">
        <v>2667</v>
      </c>
      <c r="E2030" t="s">
        <v>29</v>
      </c>
      <c r="F2030" t="s">
        <v>30</v>
      </c>
      <c r="G2030" t="s">
        <v>31</v>
      </c>
      <c r="I2030" t="s">
        <v>3042</v>
      </c>
      <c r="J2030" t="s">
        <v>3043</v>
      </c>
      <c r="K2030" t="s">
        <v>39</v>
      </c>
      <c r="L2030" t="s">
        <v>30</v>
      </c>
      <c r="M2030" t="s">
        <v>31</v>
      </c>
      <c r="N2030" t="s">
        <v>196</v>
      </c>
      <c r="Q2030" s="4">
        <v>1</v>
      </c>
    </row>
    <row r="2031" spans="1:17" x14ac:dyDescent="0.55000000000000004">
      <c r="A2031" t="s">
        <v>5152</v>
      </c>
      <c r="C2031" t="s">
        <v>2667</v>
      </c>
      <c r="E2031" t="s">
        <v>29</v>
      </c>
      <c r="F2031" t="s">
        <v>30</v>
      </c>
      <c r="G2031" t="s">
        <v>31</v>
      </c>
      <c r="I2031" t="s">
        <v>3044</v>
      </c>
      <c r="J2031" t="s">
        <v>3045</v>
      </c>
      <c r="K2031" t="s">
        <v>39</v>
      </c>
      <c r="L2031" t="s">
        <v>30</v>
      </c>
      <c r="M2031" t="s">
        <v>31</v>
      </c>
      <c r="N2031" t="s">
        <v>196</v>
      </c>
      <c r="Q2031" s="4">
        <v>1</v>
      </c>
    </row>
    <row r="2032" spans="1:17" x14ac:dyDescent="0.55000000000000004">
      <c r="A2032" t="s">
        <v>5153</v>
      </c>
      <c r="C2032" t="s">
        <v>2667</v>
      </c>
      <c r="E2032" t="s">
        <v>29</v>
      </c>
      <c r="F2032" t="s">
        <v>30</v>
      </c>
      <c r="G2032" t="s">
        <v>31</v>
      </c>
      <c r="I2032" t="s">
        <v>3046</v>
      </c>
      <c r="J2032" t="s">
        <v>3047</v>
      </c>
      <c r="K2032" t="s">
        <v>39</v>
      </c>
      <c r="L2032" t="s">
        <v>30</v>
      </c>
      <c r="M2032" t="s">
        <v>31</v>
      </c>
      <c r="N2032" t="s">
        <v>196</v>
      </c>
      <c r="Q2032" s="4">
        <v>1</v>
      </c>
    </row>
    <row r="2033" spans="1:17" x14ac:dyDescent="0.55000000000000004">
      <c r="A2033" t="s">
        <v>5154</v>
      </c>
      <c r="C2033" t="s">
        <v>2667</v>
      </c>
      <c r="E2033" t="s">
        <v>29</v>
      </c>
      <c r="F2033" t="s">
        <v>30</v>
      </c>
      <c r="G2033" t="s">
        <v>31</v>
      </c>
      <c r="I2033" t="s">
        <v>3048</v>
      </c>
      <c r="J2033" t="s">
        <v>3049</v>
      </c>
      <c r="K2033" t="s">
        <v>39</v>
      </c>
      <c r="L2033" t="s">
        <v>30</v>
      </c>
      <c r="M2033" t="s">
        <v>31</v>
      </c>
      <c r="N2033" t="s">
        <v>196</v>
      </c>
      <c r="Q2033" s="4">
        <v>1</v>
      </c>
    </row>
    <row r="2034" spans="1:17" x14ac:dyDescent="0.55000000000000004">
      <c r="A2034" t="s">
        <v>5155</v>
      </c>
      <c r="C2034" t="s">
        <v>2667</v>
      </c>
      <c r="E2034" t="s">
        <v>29</v>
      </c>
      <c r="F2034" t="s">
        <v>30</v>
      </c>
      <c r="G2034" t="s">
        <v>31</v>
      </c>
      <c r="I2034" t="s">
        <v>3050</v>
      </c>
      <c r="J2034" t="s">
        <v>3051</v>
      </c>
      <c r="K2034" t="s">
        <v>39</v>
      </c>
      <c r="L2034" t="s">
        <v>30</v>
      </c>
      <c r="M2034" t="s">
        <v>31</v>
      </c>
      <c r="N2034" t="s">
        <v>196</v>
      </c>
      <c r="Q2034" s="4">
        <v>1</v>
      </c>
    </row>
    <row r="2035" spans="1:17" x14ac:dyDescent="0.55000000000000004">
      <c r="A2035" t="s">
        <v>5156</v>
      </c>
      <c r="C2035" t="s">
        <v>2667</v>
      </c>
      <c r="E2035" t="s">
        <v>29</v>
      </c>
      <c r="F2035" t="s">
        <v>30</v>
      </c>
      <c r="G2035" t="s">
        <v>31</v>
      </c>
      <c r="I2035" t="s">
        <v>3052</v>
      </c>
      <c r="J2035" t="s">
        <v>3053</v>
      </c>
      <c r="K2035" t="s">
        <v>39</v>
      </c>
      <c r="L2035" t="s">
        <v>30</v>
      </c>
      <c r="M2035" t="s">
        <v>31</v>
      </c>
      <c r="N2035" t="s">
        <v>196</v>
      </c>
      <c r="Q2035" s="4">
        <v>1</v>
      </c>
    </row>
    <row r="2036" spans="1:17" x14ac:dyDescent="0.55000000000000004">
      <c r="A2036" t="s">
        <v>5157</v>
      </c>
      <c r="C2036" t="s">
        <v>2667</v>
      </c>
      <c r="E2036" t="s">
        <v>29</v>
      </c>
      <c r="F2036" t="s">
        <v>30</v>
      </c>
      <c r="G2036" t="s">
        <v>31</v>
      </c>
      <c r="I2036" t="s">
        <v>3054</v>
      </c>
      <c r="J2036" t="s">
        <v>3055</v>
      </c>
      <c r="K2036" t="s">
        <v>39</v>
      </c>
      <c r="L2036" t="s">
        <v>30</v>
      </c>
      <c r="M2036" t="s">
        <v>31</v>
      </c>
      <c r="N2036" t="s">
        <v>196</v>
      </c>
      <c r="Q2036" s="4">
        <v>1</v>
      </c>
    </row>
    <row r="2037" spans="1:17" x14ac:dyDescent="0.55000000000000004">
      <c r="A2037" t="s">
        <v>5158</v>
      </c>
      <c r="C2037" t="s">
        <v>2667</v>
      </c>
      <c r="E2037" t="s">
        <v>29</v>
      </c>
      <c r="F2037" t="s">
        <v>30</v>
      </c>
      <c r="G2037" t="s">
        <v>31</v>
      </c>
      <c r="I2037" t="s">
        <v>3056</v>
      </c>
      <c r="J2037" t="s">
        <v>3057</v>
      </c>
      <c r="K2037" t="s">
        <v>39</v>
      </c>
      <c r="L2037" t="s">
        <v>30</v>
      </c>
      <c r="M2037" t="s">
        <v>31</v>
      </c>
      <c r="N2037" t="s">
        <v>196</v>
      </c>
      <c r="Q2037" s="4">
        <v>1</v>
      </c>
    </row>
    <row r="2038" spans="1:17" x14ac:dyDescent="0.55000000000000004">
      <c r="A2038" t="s">
        <v>5159</v>
      </c>
      <c r="C2038" t="s">
        <v>2667</v>
      </c>
      <c r="E2038" t="s">
        <v>29</v>
      </c>
      <c r="F2038" t="s">
        <v>30</v>
      </c>
      <c r="G2038" t="s">
        <v>31</v>
      </c>
      <c r="I2038" t="s">
        <v>3058</v>
      </c>
      <c r="J2038" t="s">
        <v>3059</v>
      </c>
      <c r="K2038" t="s">
        <v>39</v>
      </c>
      <c r="L2038" t="s">
        <v>30</v>
      </c>
      <c r="M2038" t="s">
        <v>31</v>
      </c>
      <c r="N2038" t="s">
        <v>196</v>
      </c>
      <c r="Q2038" s="4">
        <v>1</v>
      </c>
    </row>
    <row r="2039" spans="1:17" x14ac:dyDescent="0.55000000000000004">
      <c r="A2039" t="s">
        <v>5160</v>
      </c>
      <c r="C2039" t="s">
        <v>2667</v>
      </c>
      <c r="E2039" t="s">
        <v>29</v>
      </c>
      <c r="F2039" t="s">
        <v>30</v>
      </c>
      <c r="G2039" t="s">
        <v>31</v>
      </c>
      <c r="I2039" t="s">
        <v>3060</v>
      </c>
      <c r="J2039" t="s">
        <v>3061</v>
      </c>
      <c r="K2039" t="s">
        <v>39</v>
      </c>
      <c r="L2039" t="s">
        <v>30</v>
      </c>
      <c r="M2039" t="s">
        <v>31</v>
      </c>
      <c r="N2039" t="s">
        <v>196</v>
      </c>
      <c r="Q2039" s="4">
        <v>1</v>
      </c>
    </row>
    <row r="2040" spans="1:17" x14ac:dyDescent="0.55000000000000004">
      <c r="A2040" t="s">
        <v>5161</v>
      </c>
      <c r="C2040" t="s">
        <v>2667</v>
      </c>
      <c r="E2040" t="s">
        <v>29</v>
      </c>
      <c r="F2040" t="s">
        <v>30</v>
      </c>
      <c r="G2040" t="s">
        <v>31</v>
      </c>
      <c r="I2040" t="s">
        <v>3062</v>
      </c>
      <c r="J2040" t="s">
        <v>3063</v>
      </c>
      <c r="K2040" t="s">
        <v>39</v>
      </c>
      <c r="L2040" t="s">
        <v>30</v>
      </c>
      <c r="M2040" t="s">
        <v>31</v>
      </c>
      <c r="N2040" t="s">
        <v>196</v>
      </c>
      <c r="Q2040" s="4">
        <v>1</v>
      </c>
    </row>
    <row r="2041" spans="1:17" x14ac:dyDescent="0.55000000000000004">
      <c r="A2041" t="s">
        <v>5162</v>
      </c>
      <c r="C2041" t="s">
        <v>2667</v>
      </c>
      <c r="E2041" t="s">
        <v>29</v>
      </c>
      <c r="F2041" t="s">
        <v>30</v>
      </c>
      <c r="G2041" t="s">
        <v>31</v>
      </c>
      <c r="I2041" t="s">
        <v>3064</v>
      </c>
      <c r="J2041" t="s">
        <v>3065</v>
      </c>
      <c r="K2041" t="s">
        <v>39</v>
      </c>
      <c r="L2041" t="s">
        <v>30</v>
      </c>
      <c r="M2041" t="s">
        <v>31</v>
      </c>
      <c r="N2041" t="s">
        <v>196</v>
      </c>
      <c r="Q2041" s="4">
        <v>1</v>
      </c>
    </row>
    <row r="2042" spans="1:17" x14ac:dyDescent="0.55000000000000004">
      <c r="A2042" t="s">
        <v>5163</v>
      </c>
      <c r="C2042" t="s">
        <v>2667</v>
      </c>
      <c r="E2042" t="s">
        <v>29</v>
      </c>
      <c r="F2042" t="s">
        <v>30</v>
      </c>
      <c r="G2042" t="s">
        <v>31</v>
      </c>
      <c r="I2042" t="s">
        <v>3066</v>
      </c>
      <c r="J2042" t="s">
        <v>3067</v>
      </c>
      <c r="K2042" t="s">
        <v>39</v>
      </c>
      <c r="L2042" t="s">
        <v>30</v>
      </c>
      <c r="M2042" t="s">
        <v>31</v>
      </c>
      <c r="N2042" t="s">
        <v>196</v>
      </c>
      <c r="Q2042" s="4">
        <v>1</v>
      </c>
    </row>
    <row r="2043" spans="1:17" x14ac:dyDescent="0.55000000000000004">
      <c r="A2043" t="s">
        <v>5164</v>
      </c>
      <c r="C2043" t="s">
        <v>2667</v>
      </c>
      <c r="E2043" t="s">
        <v>29</v>
      </c>
      <c r="F2043" t="s">
        <v>30</v>
      </c>
      <c r="G2043" t="s">
        <v>31</v>
      </c>
      <c r="I2043" t="s">
        <v>3068</v>
      </c>
      <c r="J2043" t="s">
        <v>3069</v>
      </c>
      <c r="K2043" t="s">
        <v>39</v>
      </c>
      <c r="L2043" t="s">
        <v>30</v>
      </c>
      <c r="M2043" t="s">
        <v>31</v>
      </c>
      <c r="N2043" t="s">
        <v>196</v>
      </c>
      <c r="Q2043" s="4">
        <v>1</v>
      </c>
    </row>
    <row r="2044" spans="1:17" x14ac:dyDescent="0.55000000000000004">
      <c r="A2044" t="s">
        <v>5165</v>
      </c>
      <c r="C2044" t="s">
        <v>2667</v>
      </c>
      <c r="E2044" t="s">
        <v>29</v>
      </c>
      <c r="F2044" t="s">
        <v>30</v>
      </c>
      <c r="G2044" t="s">
        <v>31</v>
      </c>
      <c r="I2044" t="s">
        <v>3070</v>
      </c>
      <c r="J2044" t="s">
        <v>3071</v>
      </c>
      <c r="K2044" t="s">
        <v>39</v>
      </c>
      <c r="L2044" t="s">
        <v>30</v>
      </c>
      <c r="M2044" t="s">
        <v>31</v>
      </c>
      <c r="N2044" t="s">
        <v>196</v>
      </c>
      <c r="Q2044" s="4">
        <v>1</v>
      </c>
    </row>
    <row r="2045" spans="1:17" x14ac:dyDescent="0.55000000000000004">
      <c r="A2045" t="s">
        <v>5166</v>
      </c>
      <c r="C2045" t="s">
        <v>2667</v>
      </c>
      <c r="E2045" t="s">
        <v>29</v>
      </c>
      <c r="F2045" t="s">
        <v>30</v>
      </c>
      <c r="G2045" t="s">
        <v>31</v>
      </c>
      <c r="I2045" t="s">
        <v>3072</v>
      </c>
      <c r="J2045" t="s">
        <v>3073</v>
      </c>
      <c r="K2045" t="s">
        <v>39</v>
      </c>
      <c r="L2045" t="s">
        <v>30</v>
      </c>
      <c r="M2045" t="s">
        <v>31</v>
      </c>
      <c r="N2045" t="s">
        <v>196</v>
      </c>
      <c r="Q2045" s="4">
        <v>1</v>
      </c>
    </row>
    <row r="2046" spans="1:17" x14ac:dyDescent="0.55000000000000004">
      <c r="A2046" t="s">
        <v>5167</v>
      </c>
      <c r="C2046" t="s">
        <v>2667</v>
      </c>
      <c r="E2046" t="s">
        <v>29</v>
      </c>
      <c r="F2046" t="s">
        <v>30</v>
      </c>
      <c r="G2046" t="s">
        <v>31</v>
      </c>
      <c r="I2046" t="s">
        <v>3074</v>
      </c>
      <c r="J2046" t="s">
        <v>3075</v>
      </c>
      <c r="K2046" t="s">
        <v>39</v>
      </c>
      <c r="L2046" t="s">
        <v>30</v>
      </c>
      <c r="M2046" t="s">
        <v>31</v>
      </c>
      <c r="N2046" t="s">
        <v>196</v>
      </c>
      <c r="Q2046" s="4">
        <v>1</v>
      </c>
    </row>
    <row r="2047" spans="1:17" x14ac:dyDescent="0.55000000000000004">
      <c r="A2047" t="s">
        <v>5168</v>
      </c>
      <c r="C2047" t="s">
        <v>2667</v>
      </c>
      <c r="E2047" t="s">
        <v>29</v>
      </c>
      <c r="F2047" t="s">
        <v>30</v>
      </c>
      <c r="G2047" t="s">
        <v>31</v>
      </c>
      <c r="I2047" t="s">
        <v>3076</v>
      </c>
      <c r="J2047" t="s">
        <v>3077</v>
      </c>
      <c r="K2047" t="s">
        <v>39</v>
      </c>
      <c r="L2047" t="s">
        <v>30</v>
      </c>
      <c r="M2047" t="s">
        <v>31</v>
      </c>
      <c r="N2047" t="s">
        <v>196</v>
      </c>
      <c r="Q2047" s="4">
        <v>1</v>
      </c>
    </row>
    <row r="2048" spans="1:17" x14ac:dyDescent="0.55000000000000004">
      <c r="A2048" t="s">
        <v>5169</v>
      </c>
      <c r="C2048" t="s">
        <v>2667</v>
      </c>
      <c r="E2048" t="s">
        <v>29</v>
      </c>
      <c r="F2048" t="s">
        <v>30</v>
      </c>
      <c r="G2048" t="s">
        <v>31</v>
      </c>
      <c r="I2048" t="s">
        <v>2956</v>
      </c>
      <c r="J2048" t="s">
        <v>2957</v>
      </c>
      <c r="K2048" t="s">
        <v>39</v>
      </c>
      <c r="L2048" t="s">
        <v>30</v>
      </c>
      <c r="M2048" t="s">
        <v>31</v>
      </c>
      <c r="N2048" t="s">
        <v>196</v>
      </c>
      <c r="Q2048" s="4">
        <v>1</v>
      </c>
    </row>
    <row r="2049" spans="1:17" x14ac:dyDescent="0.55000000000000004">
      <c r="A2049" t="s">
        <v>5170</v>
      </c>
      <c r="C2049" t="s">
        <v>2667</v>
      </c>
      <c r="E2049" t="s">
        <v>29</v>
      </c>
      <c r="F2049" t="s">
        <v>30</v>
      </c>
      <c r="G2049" t="s">
        <v>31</v>
      </c>
      <c r="I2049" t="s">
        <v>2958</v>
      </c>
      <c r="J2049" t="s">
        <v>2959</v>
      </c>
      <c r="K2049" t="s">
        <v>39</v>
      </c>
      <c r="L2049" t="s">
        <v>30</v>
      </c>
      <c r="M2049" t="s">
        <v>31</v>
      </c>
      <c r="N2049" t="s">
        <v>196</v>
      </c>
      <c r="Q2049" s="4">
        <v>1</v>
      </c>
    </row>
    <row r="2050" spans="1:17" x14ac:dyDescent="0.55000000000000004">
      <c r="A2050" t="s">
        <v>5171</v>
      </c>
      <c r="C2050" t="s">
        <v>2667</v>
      </c>
      <c r="E2050" t="s">
        <v>29</v>
      </c>
      <c r="F2050" t="s">
        <v>30</v>
      </c>
      <c r="G2050" t="s">
        <v>31</v>
      </c>
      <c r="I2050" t="s">
        <v>2960</v>
      </c>
      <c r="J2050" t="s">
        <v>2961</v>
      </c>
      <c r="K2050" t="s">
        <v>39</v>
      </c>
      <c r="L2050" t="s">
        <v>30</v>
      </c>
      <c r="M2050" t="s">
        <v>31</v>
      </c>
      <c r="N2050" t="s">
        <v>196</v>
      </c>
      <c r="Q2050" s="4">
        <v>1</v>
      </c>
    </row>
    <row r="2051" spans="1:17" x14ac:dyDescent="0.55000000000000004">
      <c r="A2051" t="s">
        <v>5172</v>
      </c>
      <c r="C2051" t="s">
        <v>2667</v>
      </c>
      <c r="E2051" t="s">
        <v>29</v>
      </c>
      <c r="F2051" t="s">
        <v>30</v>
      </c>
      <c r="G2051" t="s">
        <v>31</v>
      </c>
      <c r="I2051" t="s">
        <v>2962</v>
      </c>
      <c r="J2051" t="s">
        <v>2963</v>
      </c>
      <c r="K2051" t="s">
        <v>39</v>
      </c>
      <c r="L2051" t="s">
        <v>30</v>
      </c>
      <c r="M2051" t="s">
        <v>31</v>
      </c>
      <c r="N2051" t="s">
        <v>196</v>
      </c>
      <c r="Q2051" s="4">
        <v>1</v>
      </c>
    </row>
    <row r="2052" spans="1:17" x14ac:dyDescent="0.55000000000000004">
      <c r="A2052" t="s">
        <v>5173</v>
      </c>
      <c r="C2052" t="s">
        <v>2667</v>
      </c>
      <c r="E2052" t="s">
        <v>29</v>
      </c>
      <c r="F2052" t="s">
        <v>30</v>
      </c>
      <c r="G2052" t="s">
        <v>31</v>
      </c>
      <c r="I2052" t="s">
        <v>2964</v>
      </c>
      <c r="J2052" t="s">
        <v>2965</v>
      </c>
      <c r="K2052" t="s">
        <v>39</v>
      </c>
      <c r="L2052" t="s">
        <v>30</v>
      </c>
      <c r="M2052" t="s">
        <v>31</v>
      </c>
      <c r="N2052" t="s">
        <v>196</v>
      </c>
      <c r="Q2052" s="4">
        <v>1</v>
      </c>
    </row>
    <row r="2053" spans="1:17" x14ac:dyDescent="0.55000000000000004">
      <c r="A2053" t="s">
        <v>5174</v>
      </c>
      <c r="C2053" t="s">
        <v>2667</v>
      </c>
      <c r="E2053" t="s">
        <v>29</v>
      </c>
      <c r="F2053" t="s">
        <v>30</v>
      </c>
      <c r="G2053" t="s">
        <v>31</v>
      </c>
      <c r="I2053" t="s">
        <v>2966</v>
      </c>
      <c r="J2053" t="s">
        <v>2967</v>
      </c>
      <c r="K2053" t="s">
        <v>39</v>
      </c>
      <c r="L2053" t="s">
        <v>30</v>
      </c>
      <c r="M2053" t="s">
        <v>31</v>
      </c>
      <c r="N2053" t="s">
        <v>196</v>
      </c>
      <c r="Q2053" s="4">
        <v>1</v>
      </c>
    </row>
    <row r="2054" spans="1:17" x14ac:dyDescent="0.55000000000000004">
      <c r="A2054" t="s">
        <v>5175</v>
      </c>
      <c r="C2054" t="s">
        <v>2667</v>
      </c>
      <c r="E2054" t="s">
        <v>29</v>
      </c>
      <c r="F2054" t="s">
        <v>30</v>
      </c>
      <c r="G2054" t="s">
        <v>31</v>
      </c>
      <c r="I2054" t="s">
        <v>2968</v>
      </c>
      <c r="J2054" t="s">
        <v>2969</v>
      </c>
      <c r="K2054" t="s">
        <v>39</v>
      </c>
      <c r="L2054" t="s">
        <v>30</v>
      </c>
      <c r="M2054" t="s">
        <v>31</v>
      </c>
      <c r="N2054" t="s">
        <v>196</v>
      </c>
      <c r="Q2054" s="4">
        <v>1</v>
      </c>
    </row>
    <row r="2055" spans="1:17" x14ac:dyDescent="0.55000000000000004">
      <c r="A2055" t="s">
        <v>5176</v>
      </c>
      <c r="C2055" t="s">
        <v>2667</v>
      </c>
      <c r="E2055" t="s">
        <v>29</v>
      </c>
      <c r="F2055" t="s">
        <v>30</v>
      </c>
      <c r="G2055" t="s">
        <v>31</v>
      </c>
      <c r="I2055" t="s">
        <v>2970</v>
      </c>
      <c r="J2055" t="s">
        <v>2971</v>
      </c>
      <c r="K2055" t="s">
        <v>39</v>
      </c>
      <c r="L2055" t="s">
        <v>30</v>
      </c>
      <c r="M2055" t="s">
        <v>31</v>
      </c>
      <c r="N2055" t="s">
        <v>196</v>
      </c>
      <c r="Q2055" s="4">
        <v>1</v>
      </c>
    </row>
    <row r="2056" spans="1:17" x14ac:dyDescent="0.55000000000000004">
      <c r="A2056" t="s">
        <v>5177</v>
      </c>
      <c r="C2056" t="s">
        <v>2667</v>
      </c>
      <c r="E2056" t="s">
        <v>29</v>
      </c>
      <c r="F2056" t="s">
        <v>30</v>
      </c>
      <c r="G2056" t="s">
        <v>31</v>
      </c>
      <c r="I2056" t="s">
        <v>2972</v>
      </c>
      <c r="J2056" t="s">
        <v>2973</v>
      </c>
      <c r="K2056" t="s">
        <v>39</v>
      </c>
      <c r="L2056" t="s">
        <v>30</v>
      </c>
      <c r="M2056" t="s">
        <v>31</v>
      </c>
      <c r="N2056" t="s">
        <v>196</v>
      </c>
      <c r="Q2056" s="4">
        <v>1</v>
      </c>
    </row>
    <row r="2057" spans="1:17" x14ac:dyDescent="0.55000000000000004">
      <c r="A2057" t="s">
        <v>5178</v>
      </c>
      <c r="C2057" t="s">
        <v>2667</v>
      </c>
      <c r="E2057" t="s">
        <v>29</v>
      </c>
      <c r="F2057" t="s">
        <v>30</v>
      </c>
      <c r="G2057" t="s">
        <v>31</v>
      </c>
      <c r="I2057" t="s">
        <v>2974</v>
      </c>
      <c r="J2057" t="s">
        <v>2975</v>
      </c>
      <c r="K2057" t="s">
        <v>39</v>
      </c>
      <c r="L2057" t="s">
        <v>30</v>
      </c>
      <c r="M2057" t="s">
        <v>31</v>
      </c>
      <c r="N2057" t="s">
        <v>196</v>
      </c>
      <c r="Q2057" s="4">
        <v>1</v>
      </c>
    </row>
    <row r="2058" spans="1:17" x14ac:dyDescent="0.55000000000000004">
      <c r="A2058" t="s">
        <v>5179</v>
      </c>
      <c r="C2058" t="s">
        <v>2667</v>
      </c>
      <c r="E2058" t="s">
        <v>29</v>
      </c>
      <c r="F2058" t="s">
        <v>30</v>
      </c>
      <c r="G2058" t="s">
        <v>31</v>
      </c>
      <c r="I2058" t="s">
        <v>2976</v>
      </c>
      <c r="J2058" t="s">
        <v>2977</v>
      </c>
      <c r="K2058" t="s">
        <v>39</v>
      </c>
      <c r="L2058" t="s">
        <v>30</v>
      </c>
      <c r="M2058" t="s">
        <v>31</v>
      </c>
      <c r="N2058" t="s">
        <v>196</v>
      </c>
      <c r="Q2058" s="4">
        <v>1</v>
      </c>
    </row>
    <row r="2059" spans="1:17" x14ac:dyDescent="0.55000000000000004">
      <c r="A2059" t="s">
        <v>5180</v>
      </c>
      <c r="C2059" t="s">
        <v>2667</v>
      </c>
      <c r="E2059" t="s">
        <v>29</v>
      </c>
      <c r="F2059" t="s">
        <v>30</v>
      </c>
      <c r="G2059" t="s">
        <v>31</v>
      </c>
      <c r="I2059" t="s">
        <v>2978</v>
      </c>
      <c r="J2059" t="s">
        <v>2979</v>
      </c>
      <c r="K2059" t="s">
        <v>39</v>
      </c>
      <c r="L2059" t="s">
        <v>30</v>
      </c>
      <c r="M2059" t="s">
        <v>31</v>
      </c>
      <c r="N2059" t="s">
        <v>196</v>
      </c>
      <c r="Q2059" s="4">
        <v>1</v>
      </c>
    </row>
    <row r="2060" spans="1:17" x14ac:dyDescent="0.55000000000000004">
      <c r="A2060" t="s">
        <v>5181</v>
      </c>
      <c r="C2060" t="s">
        <v>2667</v>
      </c>
      <c r="E2060" t="s">
        <v>29</v>
      </c>
      <c r="F2060" t="s">
        <v>30</v>
      </c>
      <c r="G2060" t="s">
        <v>31</v>
      </c>
      <c r="I2060" t="s">
        <v>2980</v>
      </c>
      <c r="J2060" t="s">
        <v>2981</v>
      </c>
      <c r="K2060" t="s">
        <v>39</v>
      </c>
      <c r="L2060" t="s">
        <v>30</v>
      </c>
      <c r="M2060" t="s">
        <v>31</v>
      </c>
      <c r="N2060" t="s">
        <v>196</v>
      </c>
      <c r="Q2060" s="4">
        <v>1</v>
      </c>
    </row>
    <row r="2061" spans="1:17" x14ac:dyDescent="0.55000000000000004">
      <c r="A2061" t="s">
        <v>5182</v>
      </c>
      <c r="C2061" t="s">
        <v>2667</v>
      </c>
      <c r="E2061" t="s">
        <v>29</v>
      </c>
      <c r="F2061" t="s">
        <v>30</v>
      </c>
      <c r="G2061" t="s">
        <v>31</v>
      </c>
      <c r="I2061" t="s">
        <v>2982</v>
      </c>
      <c r="J2061" t="s">
        <v>2983</v>
      </c>
      <c r="K2061" t="s">
        <v>39</v>
      </c>
      <c r="L2061" t="s">
        <v>30</v>
      </c>
      <c r="M2061" t="s">
        <v>31</v>
      </c>
      <c r="N2061" t="s">
        <v>196</v>
      </c>
      <c r="Q2061" s="4">
        <v>1</v>
      </c>
    </row>
    <row r="2062" spans="1:17" x14ac:dyDescent="0.55000000000000004">
      <c r="A2062" t="s">
        <v>5183</v>
      </c>
      <c r="C2062" t="s">
        <v>2667</v>
      </c>
      <c r="E2062" t="s">
        <v>29</v>
      </c>
      <c r="F2062" t="s">
        <v>30</v>
      </c>
      <c r="G2062" t="s">
        <v>31</v>
      </c>
      <c r="I2062" t="s">
        <v>2984</v>
      </c>
      <c r="J2062" t="s">
        <v>2985</v>
      </c>
      <c r="K2062" t="s">
        <v>39</v>
      </c>
      <c r="L2062" t="s">
        <v>30</v>
      </c>
      <c r="M2062" t="s">
        <v>31</v>
      </c>
      <c r="N2062" t="s">
        <v>196</v>
      </c>
      <c r="Q2062" s="4">
        <v>1</v>
      </c>
    </row>
    <row r="2063" spans="1:17" x14ac:dyDescent="0.55000000000000004">
      <c r="A2063" t="s">
        <v>5184</v>
      </c>
      <c r="C2063" t="s">
        <v>2667</v>
      </c>
      <c r="E2063" t="s">
        <v>29</v>
      </c>
      <c r="F2063" t="s">
        <v>30</v>
      </c>
      <c r="G2063" t="s">
        <v>31</v>
      </c>
      <c r="I2063" t="s">
        <v>2986</v>
      </c>
      <c r="J2063" t="s">
        <v>2987</v>
      </c>
      <c r="K2063" t="s">
        <v>39</v>
      </c>
      <c r="L2063" t="s">
        <v>30</v>
      </c>
      <c r="M2063" t="s">
        <v>31</v>
      </c>
      <c r="N2063" t="s">
        <v>196</v>
      </c>
      <c r="Q2063" s="4">
        <v>1</v>
      </c>
    </row>
    <row r="2064" spans="1:17" x14ac:dyDescent="0.55000000000000004">
      <c r="A2064" t="s">
        <v>5185</v>
      </c>
      <c r="C2064" t="s">
        <v>2667</v>
      </c>
      <c r="E2064" t="s">
        <v>29</v>
      </c>
      <c r="F2064" t="s">
        <v>30</v>
      </c>
      <c r="G2064" t="s">
        <v>31</v>
      </c>
      <c r="I2064" t="s">
        <v>2988</v>
      </c>
      <c r="J2064" t="s">
        <v>2989</v>
      </c>
      <c r="K2064" t="s">
        <v>39</v>
      </c>
      <c r="L2064" t="s">
        <v>30</v>
      </c>
      <c r="M2064" t="s">
        <v>31</v>
      </c>
      <c r="N2064" t="s">
        <v>196</v>
      </c>
      <c r="Q2064" s="4">
        <v>1</v>
      </c>
    </row>
    <row r="2065" spans="1:17" x14ac:dyDescent="0.55000000000000004">
      <c r="A2065" t="s">
        <v>5186</v>
      </c>
      <c r="C2065" t="s">
        <v>2667</v>
      </c>
      <c r="E2065" t="s">
        <v>29</v>
      </c>
      <c r="F2065" t="s">
        <v>30</v>
      </c>
      <c r="G2065" t="s">
        <v>31</v>
      </c>
      <c r="I2065" t="s">
        <v>2990</v>
      </c>
      <c r="J2065" t="s">
        <v>2991</v>
      </c>
      <c r="K2065" t="s">
        <v>39</v>
      </c>
      <c r="L2065" t="s">
        <v>30</v>
      </c>
      <c r="M2065" t="s">
        <v>31</v>
      </c>
      <c r="N2065" t="s">
        <v>196</v>
      </c>
      <c r="Q2065" s="4">
        <v>1</v>
      </c>
    </row>
    <row r="2066" spans="1:17" x14ac:dyDescent="0.55000000000000004">
      <c r="A2066" t="s">
        <v>5187</v>
      </c>
      <c r="C2066" t="s">
        <v>2667</v>
      </c>
      <c r="E2066" t="s">
        <v>29</v>
      </c>
      <c r="F2066" t="s">
        <v>30</v>
      </c>
      <c r="G2066" t="s">
        <v>31</v>
      </c>
      <c r="I2066" t="s">
        <v>2992</v>
      </c>
      <c r="J2066" t="s">
        <v>2993</v>
      </c>
      <c r="K2066" t="s">
        <v>39</v>
      </c>
      <c r="L2066" t="s">
        <v>30</v>
      </c>
      <c r="M2066" t="s">
        <v>31</v>
      </c>
      <c r="N2066" t="s">
        <v>196</v>
      </c>
      <c r="Q2066" s="4">
        <v>1</v>
      </c>
    </row>
    <row r="2067" spans="1:17" x14ac:dyDescent="0.55000000000000004">
      <c r="A2067" t="s">
        <v>5188</v>
      </c>
      <c r="C2067" t="s">
        <v>2667</v>
      </c>
      <c r="E2067" t="s">
        <v>29</v>
      </c>
      <c r="F2067" t="s">
        <v>30</v>
      </c>
      <c r="G2067" t="s">
        <v>31</v>
      </c>
      <c r="I2067" t="s">
        <v>2994</v>
      </c>
      <c r="J2067" t="s">
        <v>2995</v>
      </c>
      <c r="K2067" t="s">
        <v>39</v>
      </c>
      <c r="L2067" t="s">
        <v>30</v>
      </c>
      <c r="M2067" t="s">
        <v>31</v>
      </c>
      <c r="N2067" t="s">
        <v>196</v>
      </c>
      <c r="Q2067" s="4">
        <v>1</v>
      </c>
    </row>
    <row r="2068" spans="1:17" x14ac:dyDescent="0.55000000000000004">
      <c r="A2068" t="s">
        <v>5189</v>
      </c>
      <c r="C2068" t="s">
        <v>2667</v>
      </c>
      <c r="E2068" t="s">
        <v>29</v>
      </c>
      <c r="F2068" t="s">
        <v>30</v>
      </c>
      <c r="G2068" t="s">
        <v>31</v>
      </c>
      <c r="I2068" t="s">
        <v>2996</v>
      </c>
      <c r="J2068" t="s">
        <v>2997</v>
      </c>
      <c r="K2068" t="s">
        <v>39</v>
      </c>
      <c r="L2068" t="s">
        <v>30</v>
      </c>
      <c r="M2068" t="s">
        <v>31</v>
      </c>
      <c r="N2068" t="s">
        <v>196</v>
      </c>
      <c r="Q2068" s="4">
        <v>1</v>
      </c>
    </row>
    <row r="2069" spans="1:17" x14ac:dyDescent="0.55000000000000004">
      <c r="A2069" t="s">
        <v>5190</v>
      </c>
      <c r="C2069" t="s">
        <v>2667</v>
      </c>
      <c r="E2069" t="s">
        <v>29</v>
      </c>
      <c r="F2069" t="s">
        <v>30</v>
      </c>
      <c r="G2069" t="s">
        <v>31</v>
      </c>
      <c r="I2069" t="s">
        <v>2998</v>
      </c>
      <c r="J2069" t="s">
        <v>2999</v>
      </c>
      <c r="K2069" t="s">
        <v>39</v>
      </c>
      <c r="L2069" t="s">
        <v>30</v>
      </c>
      <c r="M2069" t="s">
        <v>31</v>
      </c>
      <c r="N2069" t="s">
        <v>196</v>
      </c>
      <c r="Q2069" s="4">
        <v>1</v>
      </c>
    </row>
    <row r="2070" spans="1:17" x14ac:dyDescent="0.55000000000000004">
      <c r="A2070" t="s">
        <v>5191</v>
      </c>
      <c r="C2070" t="s">
        <v>2667</v>
      </c>
      <c r="E2070" t="s">
        <v>29</v>
      </c>
      <c r="F2070" t="s">
        <v>30</v>
      </c>
      <c r="G2070" t="s">
        <v>31</v>
      </c>
      <c r="I2070" t="s">
        <v>3000</v>
      </c>
      <c r="J2070" t="s">
        <v>3001</v>
      </c>
      <c r="K2070" t="s">
        <v>39</v>
      </c>
      <c r="L2070" t="s">
        <v>30</v>
      </c>
      <c r="M2070" t="s">
        <v>31</v>
      </c>
      <c r="N2070" t="s">
        <v>196</v>
      </c>
      <c r="Q2070" s="4">
        <v>1</v>
      </c>
    </row>
    <row r="2071" spans="1:17" x14ac:dyDescent="0.55000000000000004">
      <c r="A2071" t="s">
        <v>5192</v>
      </c>
      <c r="C2071" t="s">
        <v>2667</v>
      </c>
      <c r="E2071" t="s">
        <v>29</v>
      </c>
      <c r="F2071" t="s">
        <v>30</v>
      </c>
      <c r="G2071" t="s">
        <v>31</v>
      </c>
      <c r="I2071" t="s">
        <v>3002</v>
      </c>
      <c r="J2071" t="s">
        <v>3003</v>
      </c>
      <c r="K2071" t="s">
        <v>39</v>
      </c>
      <c r="L2071" t="s">
        <v>30</v>
      </c>
      <c r="M2071" t="s">
        <v>31</v>
      </c>
      <c r="N2071" t="s">
        <v>196</v>
      </c>
      <c r="Q2071" s="4">
        <v>1</v>
      </c>
    </row>
    <row r="2072" spans="1:17" x14ac:dyDescent="0.55000000000000004">
      <c r="A2072" t="s">
        <v>5193</v>
      </c>
      <c r="C2072" t="s">
        <v>2667</v>
      </c>
      <c r="E2072" t="s">
        <v>29</v>
      </c>
      <c r="F2072" t="s">
        <v>30</v>
      </c>
      <c r="G2072" t="s">
        <v>31</v>
      </c>
      <c r="I2072" t="s">
        <v>3004</v>
      </c>
      <c r="J2072" t="s">
        <v>3005</v>
      </c>
      <c r="K2072" t="s">
        <v>39</v>
      </c>
      <c r="L2072" t="s">
        <v>30</v>
      </c>
      <c r="M2072" t="s">
        <v>31</v>
      </c>
      <c r="N2072" t="s">
        <v>196</v>
      </c>
      <c r="Q2072" s="4">
        <v>1</v>
      </c>
    </row>
    <row r="2073" spans="1:17" x14ac:dyDescent="0.55000000000000004">
      <c r="A2073" t="s">
        <v>5194</v>
      </c>
      <c r="C2073" t="s">
        <v>2667</v>
      </c>
      <c r="E2073" t="s">
        <v>29</v>
      </c>
      <c r="F2073" t="s">
        <v>30</v>
      </c>
      <c r="G2073" t="s">
        <v>31</v>
      </c>
      <c r="I2073" t="s">
        <v>3006</v>
      </c>
      <c r="J2073" t="s">
        <v>3007</v>
      </c>
      <c r="K2073" t="s">
        <v>39</v>
      </c>
      <c r="L2073" t="s">
        <v>30</v>
      </c>
      <c r="M2073" t="s">
        <v>31</v>
      </c>
      <c r="N2073" t="s">
        <v>196</v>
      </c>
      <c r="Q2073" s="4">
        <v>1</v>
      </c>
    </row>
    <row r="2074" spans="1:17" x14ac:dyDescent="0.55000000000000004">
      <c r="A2074" t="s">
        <v>5195</v>
      </c>
      <c r="C2074" t="s">
        <v>2667</v>
      </c>
      <c r="E2074" t="s">
        <v>29</v>
      </c>
      <c r="F2074" t="s">
        <v>30</v>
      </c>
      <c r="G2074" t="s">
        <v>31</v>
      </c>
      <c r="I2074" t="s">
        <v>3008</v>
      </c>
      <c r="J2074" t="s">
        <v>3009</v>
      </c>
      <c r="K2074" t="s">
        <v>39</v>
      </c>
      <c r="L2074" t="s">
        <v>30</v>
      </c>
      <c r="M2074" t="s">
        <v>31</v>
      </c>
      <c r="N2074" t="s">
        <v>196</v>
      </c>
      <c r="Q2074" s="4">
        <v>1</v>
      </c>
    </row>
    <row r="2075" spans="1:17" x14ac:dyDescent="0.55000000000000004">
      <c r="A2075" t="s">
        <v>5196</v>
      </c>
      <c r="C2075" t="s">
        <v>2667</v>
      </c>
      <c r="E2075" t="s">
        <v>29</v>
      </c>
      <c r="F2075" t="s">
        <v>30</v>
      </c>
      <c r="G2075" t="s">
        <v>31</v>
      </c>
      <c r="I2075" t="s">
        <v>3010</v>
      </c>
      <c r="J2075" t="s">
        <v>3011</v>
      </c>
      <c r="K2075" t="s">
        <v>39</v>
      </c>
      <c r="L2075" t="s">
        <v>30</v>
      </c>
      <c r="M2075" t="s">
        <v>31</v>
      </c>
      <c r="N2075" t="s">
        <v>196</v>
      </c>
      <c r="Q2075" s="4">
        <v>1</v>
      </c>
    </row>
    <row r="2076" spans="1:17" x14ac:dyDescent="0.55000000000000004">
      <c r="A2076" t="s">
        <v>5197</v>
      </c>
      <c r="C2076" t="s">
        <v>2667</v>
      </c>
      <c r="E2076" t="s">
        <v>29</v>
      </c>
      <c r="F2076" t="s">
        <v>30</v>
      </c>
      <c r="G2076" t="s">
        <v>31</v>
      </c>
      <c r="I2076" t="s">
        <v>3012</v>
      </c>
      <c r="J2076" t="s">
        <v>3013</v>
      </c>
      <c r="K2076" t="s">
        <v>39</v>
      </c>
      <c r="L2076" t="s">
        <v>30</v>
      </c>
      <c r="M2076" t="s">
        <v>31</v>
      </c>
      <c r="N2076" t="s">
        <v>196</v>
      </c>
      <c r="Q2076" s="4">
        <v>1</v>
      </c>
    </row>
    <row r="2077" spans="1:17" x14ac:dyDescent="0.55000000000000004">
      <c r="A2077" t="s">
        <v>5198</v>
      </c>
      <c r="C2077" t="s">
        <v>2667</v>
      </c>
      <c r="E2077" t="s">
        <v>29</v>
      </c>
      <c r="F2077" t="s">
        <v>30</v>
      </c>
      <c r="G2077" t="s">
        <v>31</v>
      </c>
      <c r="I2077" t="s">
        <v>3014</v>
      </c>
      <c r="J2077" t="s">
        <v>3015</v>
      </c>
      <c r="K2077" t="s">
        <v>39</v>
      </c>
      <c r="L2077" t="s">
        <v>30</v>
      </c>
      <c r="M2077" t="s">
        <v>31</v>
      </c>
      <c r="N2077" t="s">
        <v>196</v>
      </c>
      <c r="Q2077" s="4">
        <v>1</v>
      </c>
    </row>
    <row r="2078" spans="1:17" x14ac:dyDescent="0.55000000000000004">
      <c r="A2078" t="s">
        <v>5199</v>
      </c>
      <c r="C2078" t="s">
        <v>2667</v>
      </c>
      <c r="E2078" t="s">
        <v>29</v>
      </c>
      <c r="F2078" t="s">
        <v>30</v>
      </c>
      <c r="G2078" t="s">
        <v>31</v>
      </c>
      <c r="I2078" t="s">
        <v>3016</v>
      </c>
      <c r="J2078" t="s">
        <v>3017</v>
      </c>
      <c r="K2078" t="s">
        <v>39</v>
      </c>
      <c r="L2078" t="s">
        <v>30</v>
      </c>
      <c r="M2078" t="s">
        <v>31</v>
      </c>
      <c r="N2078" t="s">
        <v>196</v>
      </c>
      <c r="Q2078" s="4">
        <v>1</v>
      </c>
    </row>
    <row r="2079" spans="1:17" x14ac:dyDescent="0.55000000000000004">
      <c r="A2079" t="s">
        <v>5200</v>
      </c>
      <c r="C2079" t="s">
        <v>2667</v>
      </c>
      <c r="E2079" t="s">
        <v>29</v>
      </c>
      <c r="F2079" t="s">
        <v>30</v>
      </c>
      <c r="G2079" t="s">
        <v>31</v>
      </c>
      <c r="I2079" t="s">
        <v>3018</v>
      </c>
      <c r="J2079" t="s">
        <v>3019</v>
      </c>
      <c r="K2079" t="s">
        <v>39</v>
      </c>
      <c r="L2079" t="s">
        <v>30</v>
      </c>
      <c r="M2079" t="s">
        <v>31</v>
      </c>
      <c r="N2079" t="s">
        <v>196</v>
      </c>
      <c r="Q2079" s="4">
        <v>1</v>
      </c>
    </row>
    <row r="2080" spans="1:17" x14ac:dyDescent="0.55000000000000004">
      <c r="A2080" t="s">
        <v>5201</v>
      </c>
      <c r="C2080" t="s">
        <v>2667</v>
      </c>
      <c r="E2080" t="s">
        <v>29</v>
      </c>
      <c r="F2080" t="s">
        <v>30</v>
      </c>
      <c r="G2080" t="s">
        <v>31</v>
      </c>
      <c r="I2080" t="s">
        <v>3020</v>
      </c>
      <c r="J2080" t="s">
        <v>3021</v>
      </c>
      <c r="K2080" t="s">
        <v>39</v>
      </c>
      <c r="L2080" t="s">
        <v>30</v>
      </c>
      <c r="M2080" t="s">
        <v>31</v>
      </c>
      <c r="N2080" t="s">
        <v>196</v>
      </c>
      <c r="Q2080" s="4">
        <v>1</v>
      </c>
    </row>
    <row r="2081" spans="1:17" x14ac:dyDescent="0.55000000000000004">
      <c r="A2081" t="s">
        <v>5202</v>
      </c>
      <c r="C2081" t="s">
        <v>2667</v>
      </c>
      <c r="E2081" t="s">
        <v>29</v>
      </c>
      <c r="F2081" t="s">
        <v>30</v>
      </c>
      <c r="G2081" t="s">
        <v>31</v>
      </c>
      <c r="I2081" t="s">
        <v>3022</v>
      </c>
      <c r="J2081" t="s">
        <v>3023</v>
      </c>
      <c r="K2081" t="s">
        <v>39</v>
      </c>
      <c r="L2081" t="s">
        <v>30</v>
      </c>
      <c r="M2081" t="s">
        <v>31</v>
      </c>
      <c r="N2081" t="s">
        <v>196</v>
      </c>
      <c r="Q2081" s="4">
        <v>1</v>
      </c>
    </row>
    <row r="2082" spans="1:17" x14ac:dyDescent="0.55000000000000004">
      <c r="A2082" t="s">
        <v>5203</v>
      </c>
      <c r="C2082" t="s">
        <v>2667</v>
      </c>
      <c r="E2082" t="s">
        <v>29</v>
      </c>
      <c r="F2082" t="s">
        <v>30</v>
      </c>
      <c r="G2082" t="s">
        <v>31</v>
      </c>
      <c r="I2082" t="s">
        <v>3024</v>
      </c>
      <c r="J2082" t="s">
        <v>3025</v>
      </c>
      <c r="K2082" t="s">
        <v>39</v>
      </c>
      <c r="L2082" t="s">
        <v>30</v>
      </c>
      <c r="M2082" t="s">
        <v>31</v>
      </c>
      <c r="N2082" t="s">
        <v>196</v>
      </c>
      <c r="Q2082" s="4">
        <v>1</v>
      </c>
    </row>
    <row r="2083" spans="1:17" x14ac:dyDescent="0.55000000000000004">
      <c r="A2083" t="s">
        <v>5204</v>
      </c>
      <c r="C2083" t="s">
        <v>2667</v>
      </c>
      <c r="E2083" t="s">
        <v>29</v>
      </c>
      <c r="F2083" t="s">
        <v>30</v>
      </c>
      <c r="G2083" t="s">
        <v>31</v>
      </c>
      <c r="I2083" t="s">
        <v>3026</v>
      </c>
      <c r="J2083" t="s">
        <v>3027</v>
      </c>
      <c r="K2083" t="s">
        <v>39</v>
      </c>
      <c r="L2083" t="s">
        <v>30</v>
      </c>
      <c r="M2083" t="s">
        <v>31</v>
      </c>
      <c r="N2083" t="s">
        <v>196</v>
      </c>
      <c r="Q2083" s="4">
        <v>1</v>
      </c>
    </row>
    <row r="2084" spans="1:17" x14ac:dyDescent="0.55000000000000004">
      <c r="A2084" t="s">
        <v>5205</v>
      </c>
      <c r="C2084" t="s">
        <v>2667</v>
      </c>
      <c r="E2084" t="s">
        <v>29</v>
      </c>
      <c r="F2084" t="s">
        <v>30</v>
      </c>
      <c r="G2084" t="s">
        <v>31</v>
      </c>
      <c r="I2084" t="s">
        <v>3028</v>
      </c>
      <c r="J2084" t="s">
        <v>3029</v>
      </c>
      <c r="K2084" t="s">
        <v>39</v>
      </c>
      <c r="L2084" t="s">
        <v>30</v>
      </c>
      <c r="M2084" t="s">
        <v>31</v>
      </c>
      <c r="N2084" t="s">
        <v>196</v>
      </c>
      <c r="Q2084" s="4">
        <v>1</v>
      </c>
    </row>
    <row r="2085" spans="1:17" x14ac:dyDescent="0.55000000000000004">
      <c r="A2085" t="s">
        <v>5206</v>
      </c>
      <c r="C2085" t="s">
        <v>2667</v>
      </c>
      <c r="E2085" t="s">
        <v>29</v>
      </c>
      <c r="F2085" t="s">
        <v>30</v>
      </c>
      <c r="G2085" t="s">
        <v>31</v>
      </c>
      <c r="I2085" t="s">
        <v>3030</v>
      </c>
      <c r="J2085" t="s">
        <v>3031</v>
      </c>
      <c r="K2085" t="s">
        <v>39</v>
      </c>
      <c r="L2085" t="s">
        <v>30</v>
      </c>
      <c r="M2085" t="s">
        <v>31</v>
      </c>
      <c r="N2085" t="s">
        <v>196</v>
      </c>
      <c r="Q2085" s="4">
        <v>1</v>
      </c>
    </row>
    <row r="2086" spans="1:17" x14ac:dyDescent="0.55000000000000004">
      <c r="A2086" t="s">
        <v>5207</v>
      </c>
      <c r="C2086" t="s">
        <v>2667</v>
      </c>
      <c r="E2086" t="s">
        <v>29</v>
      </c>
      <c r="F2086" t="s">
        <v>30</v>
      </c>
      <c r="G2086" t="s">
        <v>31</v>
      </c>
      <c r="I2086" t="s">
        <v>3032</v>
      </c>
      <c r="J2086" t="s">
        <v>3033</v>
      </c>
      <c r="K2086" t="s">
        <v>39</v>
      </c>
      <c r="L2086" t="s">
        <v>30</v>
      </c>
      <c r="M2086" t="s">
        <v>31</v>
      </c>
      <c r="N2086" t="s">
        <v>196</v>
      </c>
      <c r="Q2086" s="4">
        <v>1</v>
      </c>
    </row>
    <row r="2087" spans="1:17" x14ac:dyDescent="0.55000000000000004">
      <c r="A2087" t="s">
        <v>5208</v>
      </c>
      <c r="C2087" t="s">
        <v>28</v>
      </c>
      <c r="E2087" t="s">
        <v>29</v>
      </c>
      <c r="F2087" t="s">
        <v>30</v>
      </c>
      <c r="G2087" t="s">
        <v>31</v>
      </c>
      <c r="I2087" t="s">
        <v>1185</v>
      </c>
      <c r="J2087" t="s">
        <v>1186</v>
      </c>
      <c r="K2087" t="s">
        <v>39</v>
      </c>
      <c r="L2087" t="s">
        <v>30</v>
      </c>
      <c r="M2087" t="s">
        <v>31</v>
      </c>
      <c r="N2087" t="s">
        <v>196</v>
      </c>
      <c r="Q2087" s="4">
        <v>1</v>
      </c>
    </row>
    <row r="2088" spans="1:17" x14ac:dyDescent="0.55000000000000004">
      <c r="A2088" t="s">
        <v>5209</v>
      </c>
      <c r="C2088" t="s">
        <v>28</v>
      </c>
      <c r="E2088" t="s">
        <v>29</v>
      </c>
      <c r="F2088" t="s">
        <v>30</v>
      </c>
      <c r="G2088" t="s">
        <v>31</v>
      </c>
      <c r="I2088" t="s">
        <v>1189</v>
      </c>
      <c r="J2088" t="s">
        <v>1190</v>
      </c>
      <c r="K2088" t="s">
        <v>39</v>
      </c>
      <c r="L2088" t="s">
        <v>30</v>
      </c>
      <c r="M2088" t="s">
        <v>31</v>
      </c>
      <c r="N2088" t="s">
        <v>196</v>
      </c>
      <c r="Q2088" s="4">
        <v>1</v>
      </c>
    </row>
    <row r="2089" spans="1:17" x14ac:dyDescent="0.55000000000000004">
      <c r="A2089" t="s">
        <v>5210</v>
      </c>
      <c r="C2089" t="s">
        <v>28</v>
      </c>
      <c r="E2089" t="s">
        <v>29</v>
      </c>
      <c r="F2089" t="s">
        <v>30</v>
      </c>
      <c r="G2089" t="s">
        <v>31</v>
      </c>
      <c r="I2089" t="s">
        <v>1193</v>
      </c>
      <c r="J2089" t="s">
        <v>1194</v>
      </c>
      <c r="K2089" t="s">
        <v>39</v>
      </c>
      <c r="L2089" t="s">
        <v>30</v>
      </c>
      <c r="M2089" t="s">
        <v>31</v>
      </c>
      <c r="N2089" t="s">
        <v>196</v>
      </c>
      <c r="Q2089" s="4">
        <v>1</v>
      </c>
    </row>
    <row r="2090" spans="1:17" x14ac:dyDescent="0.55000000000000004">
      <c r="A2090" t="s">
        <v>5211</v>
      </c>
      <c r="C2090" t="s">
        <v>28</v>
      </c>
      <c r="E2090" t="s">
        <v>29</v>
      </c>
      <c r="F2090" t="s">
        <v>30</v>
      </c>
      <c r="G2090" t="s">
        <v>31</v>
      </c>
      <c r="I2090" t="s">
        <v>1197</v>
      </c>
      <c r="J2090" t="s">
        <v>1198</v>
      </c>
      <c r="K2090" t="s">
        <v>39</v>
      </c>
      <c r="L2090" t="s">
        <v>30</v>
      </c>
      <c r="M2090" t="s">
        <v>31</v>
      </c>
      <c r="N2090" t="s">
        <v>196</v>
      </c>
      <c r="Q2090" s="4">
        <v>1</v>
      </c>
    </row>
    <row r="2091" spans="1:17" x14ac:dyDescent="0.55000000000000004">
      <c r="A2091" t="s">
        <v>5212</v>
      </c>
      <c r="C2091" t="s">
        <v>28</v>
      </c>
      <c r="E2091" t="s">
        <v>29</v>
      </c>
      <c r="F2091" t="s">
        <v>30</v>
      </c>
      <c r="G2091" t="s">
        <v>31</v>
      </c>
      <c r="I2091" t="s">
        <v>1201</v>
      </c>
      <c r="J2091" t="s">
        <v>1202</v>
      </c>
      <c r="K2091" t="s">
        <v>39</v>
      </c>
      <c r="L2091" t="s">
        <v>30</v>
      </c>
      <c r="M2091" t="s">
        <v>31</v>
      </c>
      <c r="N2091" t="s">
        <v>196</v>
      </c>
      <c r="Q2091" s="4">
        <v>1</v>
      </c>
    </row>
    <row r="2092" spans="1:17" x14ac:dyDescent="0.55000000000000004">
      <c r="A2092" t="s">
        <v>5213</v>
      </c>
      <c r="C2092" t="s">
        <v>28</v>
      </c>
      <c r="E2092" t="s">
        <v>29</v>
      </c>
      <c r="F2092" t="s">
        <v>30</v>
      </c>
      <c r="G2092" t="s">
        <v>31</v>
      </c>
      <c r="I2092" t="s">
        <v>1205</v>
      </c>
      <c r="J2092" t="s">
        <v>1206</v>
      </c>
      <c r="K2092" t="s">
        <v>39</v>
      </c>
      <c r="L2092" t="s">
        <v>30</v>
      </c>
      <c r="M2092" t="s">
        <v>31</v>
      </c>
      <c r="N2092" t="s">
        <v>196</v>
      </c>
      <c r="Q2092" s="4">
        <v>1</v>
      </c>
    </row>
    <row r="2093" spans="1:17" x14ac:dyDescent="0.55000000000000004">
      <c r="A2093" t="s">
        <v>5214</v>
      </c>
      <c r="C2093" t="s">
        <v>28</v>
      </c>
      <c r="E2093" t="s">
        <v>29</v>
      </c>
      <c r="F2093" t="s">
        <v>30</v>
      </c>
      <c r="G2093" t="s">
        <v>31</v>
      </c>
      <c r="I2093" t="s">
        <v>1209</v>
      </c>
      <c r="J2093" t="s">
        <v>1210</v>
      </c>
      <c r="K2093" t="s">
        <v>39</v>
      </c>
      <c r="L2093" t="s">
        <v>30</v>
      </c>
      <c r="M2093" t="s">
        <v>31</v>
      </c>
      <c r="N2093" t="s">
        <v>196</v>
      </c>
      <c r="Q2093" s="4">
        <v>1</v>
      </c>
    </row>
    <row r="2094" spans="1:17" x14ac:dyDescent="0.55000000000000004">
      <c r="A2094" t="s">
        <v>5215</v>
      </c>
      <c r="C2094" t="s">
        <v>28</v>
      </c>
      <c r="E2094" t="s">
        <v>29</v>
      </c>
      <c r="F2094" t="s">
        <v>30</v>
      </c>
      <c r="G2094" t="s">
        <v>31</v>
      </c>
      <c r="I2094" t="s">
        <v>1213</v>
      </c>
      <c r="J2094" t="s">
        <v>1214</v>
      </c>
      <c r="K2094" t="s">
        <v>39</v>
      </c>
      <c r="L2094" t="s">
        <v>30</v>
      </c>
      <c r="M2094" t="s">
        <v>31</v>
      </c>
      <c r="N2094" t="s">
        <v>196</v>
      </c>
      <c r="Q2094" s="4">
        <v>1</v>
      </c>
    </row>
    <row r="2095" spans="1:17" x14ac:dyDescent="0.55000000000000004">
      <c r="A2095" t="s">
        <v>5216</v>
      </c>
      <c r="C2095" t="s">
        <v>28</v>
      </c>
      <c r="E2095" t="s">
        <v>29</v>
      </c>
      <c r="F2095" t="s">
        <v>30</v>
      </c>
      <c r="G2095" t="s">
        <v>31</v>
      </c>
      <c r="I2095" t="s">
        <v>1217</v>
      </c>
      <c r="J2095" t="s">
        <v>1218</v>
      </c>
      <c r="K2095" t="s">
        <v>39</v>
      </c>
      <c r="L2095" t="s">
        <v>30</v>
      </c>
      <c r="M2095" t="s">
        <v>31</v>
      </c>
      <c r="N2095" t="s">
        <v>196</v>
      </c>
      <c r="Q2095" s="4">
        <v>1</v>
      </c>
    </row>
    <row r="2096" spans="1:17" x14ac:dyDescent="0.55000000000000004">
      <c r="A2096" t="s">
        <v>5217</v>
      </c>
      <c r="C2096" t="s">
        <v>28</v>
      </c>
      <c r="E2096" t="s">
        <v>29</v>
      </c>
      <c r="F2096" t="s">
        <v>30</v>
      </c>
      <c r="G2096" t="s">
        <v>31</v>
      </c>
      <c r="I2096" t="s">
        <v>1221</v>
      </c>
      <c r="J2096" t="s">
        <v>1222</v>
      </c>
      <c r="K2096" t="s">
        <v>39</v>
      </c>
      <c r="L2096" t="s">
        <v>30</v>
      </c>
      <c r="M2096" t="s">
        <v>31</v>
      </c>
      <c r="N2096" t="s">
        <v>196</v>
      </c>
      <c r="Q2096" s="4">
        <v>1</v>
      </c>
    </row>
    <row r="2097" spans="1:17" x14ac:dyDescent="0.55000000000000004">
      <c r="A2097" t="s">
        <v>5218</v>
      </c>
      <c r="C2097" t="s">
        <v>28</v>
      </c>
      <c r="E2097" t="s">
        <v>29</v>
      </c>
      <c r="F2097" t="s">
        <v>30</v>
      </c>
      <c r="G2097" t="s">
        <v>31</v>
      </c>
      <c r="I2097" t="s">
        <v>1225</v>
      </c>
      <c r="J2097" t="s">
        <v>1226</v>
      </c>
      <c r="K2097" t="s">
        <v>39</v>
      </c>
      <c r="L2097" t="s">
        <v>30</v>
      </c>
      <c r="M2097" t="s">
        <v>31</v>
      </c>
      <c r="N2097" t="s">
        <v>196</v>
      </c>
      <c r="Q2097" s="4">
        <v>1</v>
      </c>
    </row>
    <row r="2098" spans="1:17" x14ac:dyDescent="0.55000000000000004">
      <c r="A2098" t="s">
        <v>5219</v>
      </c>
      <c r="C2098" t="s">
        <v>28</v>
      </c>
      <c r="E2098" t="s">
        <v>29</v>
      </c>
      <c r="F2098" t="s">
        <v>30</v>
      </c>
      <c r="G2098" t="s">
        <v>31</v>
      </c>
      <c r="I2098" t="s">
        <v>1229</v>
      </c>
      <c r="J2098" t="s">
        <v>1230</v>
      </c>
      <c r="K2098" t="s">
        <v>39</v>
      </c>
      <c r="L2098" t="s">
        <v>30</v>
      </c>
      <c r="M2098" t="s">
        <v>31</v>
      </c>
      <c r="N2098" t="s">
        <v>196</v>
      </c>
      <c r="Q2098" s="4">
        <v>1</v>
      </c>
    </row>
    <row r="2099" spans="1:17" x14ac:dyDescent="0.55000000000000004">
      <c r="A2099" t="s">
        <v>5220</v>
      </c>
      <c r="C2099" t="s">
        <v>28</v>
      </c>
      <c r="E2099" t="s">
        <v>29</v>
      </c>
      <c r="F2099" t="s">
        <v>30</v>
      </c>
      <c r="G2099" t="s">
        <v>31</v>
      </c>
      <c r="I2099" t="s">
        <v>1233</v>
      </c>
      <c r="J2099" t="s">
        <v>1234</v>
      </c>
      <c r="K2099" t="s">
        <v>39</v>
      </c>
      <c r="L2099" t="s">
        <v>30</v>
      </c>
      <c r="M2099" t="s">
        <v>31</v>
      </c>
      <c r="N2099" t="s">
        <v>196</v>
      </c>
      <c r="Q2099" s="4">
        <v>1</v>
      </c>
    </row>
    <row r="2100" spans="1:17" x14ac:dyDescent="0.55000000000000004">
      <c r="A2100" t="s">
        <v>5221</v>
      </c>
      <c r="C2100" t="s">
        <v>28</v>
      </c>
      <c r="E2100" t="s">
        <v>29</v>
      </c>
      <c r="F2100" t="s">
        <v>30</v>
      </c>
      <c r="G2100" t="s">
        <v>31</v>
      </c>
      <c r="I2100" t="s">
        <v>1237</v>
      </c>
      <c r="J2100" t="s">
        <v>1238</v>
      </c>
      <c r="K2100" t="s">
        <v>39</v>
      </c>
      <c r="L2100" t="s">
        <v>30</v>
      </c>
      <c r="M2100" t="s">
        <v>31</v>
      </c>
      <c r="N2100" t="s">
        <v>196</v>
      </c>
      <c r="Q2100" s="4">
        <v>1</v>
      </c>
    </row>
    <row r="2101" spans="1:17" x14ac:dyDescent="0.55000000000000004">
      <c r="A2101" t="s">
        <v>5222</v>
      </c>
      <c r="C2101" t="s">
        <v>28</v>
      </c>
      <c r="E2101" t="s">
        <v>29</v>
      </c>
      <c r="F2101" t="s">
        <v>30</v>
      </c>
      <c r="G2101" t="s">
        <v>31</v>
      </c>
      <c r="I2101" t="s">
        <v>1241</v>
      </c>
      <c r="J2101" t="s">
        <v>1242</v>
      </c>
      <c r="K2101" t="s">
        <v>39</v>
      </c>
      <c r="L2101" t="s">
        <v>30</v>
      </c>
      <c r="M2101" t="s">
        <v>31</v>
      </c>
      <c r="N2101" t="s">
        <v>196</v>
      </c>
      <c r="Q2101" s="4">
        <v>1</v>
      </c>
    </row>
    <row r="2102" spans="1:17" x14ac:dyDescent="0.55000000000000004">
      <c r="A2102" t="s">
        <v>5223</v>
      </c>
      <c r="C2102" t="s">
        <v>28</v>
      </c>
      <c r="E2102" t="s">
        <v>29</v>
      </c>
      <c r="F2102" t="s">
        <v>30</v>
      </c>
      <c r="G2102" t="s">
        <v>31</v>
      </c>
      <c r="I2102" t="s">
        <v>1245</v>
      </c>
      <c r="J2102" t="s">
        <v>1246</v>
      </c>
      <c r="K2102" t="s">
        <v>39</v>
      </c>
      <c r="L2102" t="s">
        <v>30</v>
      </c>
      <c r="M2102" t="s">
        <v>31</v>
      </c>
      <c r="N2102" t="s">
        <v>196</v>
      </c>
      <c r="Q2102" s="4">
        <v>1</v>
      </c>
    </row>
    <row r="2103" spans="1:17" x14ac:dyDescent="0.55000000000000004">
      <c r="A2103" t="s">
        <v>5224</v>
      </c>
      <c r="C2103" t="s">
        <v>28</v>
      </c>
      <c r="E2103" t="s">
        <v>29</v>
      </c>
      <c r="F2103" t="s">
        <v>30</v>
      </c>
      <c r="G2103" t="s">
        <v>31</v>
      </c>
      <c r="I2103" t="s">
        <v>1249</v>
      </c>
      <c r="J2103" t="s">
        <v>1250</v>
      </c>
      <c r="K2103" t="s">
        <v>39</v>
      </c>
      <c r="L2103" t="s">
        <v>30</v>
      </c>
      <c r="M2103" t="s">
        <v>31</v>
      </c>
      <c r="N2103" t="s">
        <v>196</v>
      </c>
      <c r="Q2103" s="4">
        <v>1</v>
      </c>
    </row>
    <row r="2104" spans="1:17" x14ac:dyDescent="0.55000000000000004">
      <c r="A2104" t="s">
        <v>5225</v>
      </c>
      <c r="C2104" t="s">
        <v>28</v>
      </c>
      <c r="E2104" t="s">
        <v>29</v>
      </c>
      <c r="F2104" t="s">
        <v>30</v>
      </c>
      <c r="G2104" t="s">
        <v>31</v>
      </c>
      <c r="I2104" t="s">
        <v>1253</v>
      </c>
      <c r="J2104" t="s">
        <v>1254</v>
      </c>
      <c r="K2104" t="s">
        <v>39</v>
      </c>
      <c r="L2104" t="s">
        <v>30</v>
      </c>
      <c r="M2104" t="s">
        <v>31</v>
      </c>
      <c r="N2104" t="s">
        <v>196</v>
      </c>
      <c r="Q2104" s="4">
        <v>1</v>
      </c>
    </row>
    <row r="2105" spans="1:17" x14ac:dyDescent="0.55000000000000004">
      <c r="A2105" t="s">
        <v>5226</v>
      </c>
      <c r="C2105" t="s">
        <v>28</v>
      </c>
      <c r="E2105" t="s">
        <v>29</v>
      </c>
      <c r="F2105" t="s">
        <v>30</v>
      </c>
      <c r="G2105" t="s">
        <v>31</v>
      </c>
      <c r="I2105" t="s">
        <v>1257</v>
      </c>
      <c r="J2105" t="s">
        <v>1258</v>
      </c>
      <c r="K2105" t="s">
        <v>39</v>
      </c>
      <c r="L2105" t="s">
        <v>30</v>
      </c>
      <c r="M2105" t="s">
        <v>31</v>
      </c>
      <c r="N2105" t="s">
        <v>196</v>
      </c>
      <c r="Q2105" s="4">
        <v>1</v>
      </c>
    </row>
    <row r="2106" spans="1:17" x14ac:dyDescent="0.55000000000000004">
      <c r="A2106" t="s">
        <v>5227</v>
      </c>
      <c r="C2106" t="s">
        <v>28</v>
      </c>
      <c r="E2106" t="s">
        <v>29</v>
      </c>
      <c r="F2106" t="s">
        <v>30</v>
      </c>
      <c r="G2106" t="s">
        <v>31</v>
      </c>
      <c r="I2106" t="s">
        <v>1261</v>
      </c>
      <c r="J2106" t="s">
        <v>1262</v>
      </c>
      <c r="K2106" t="s">
        <v>39</v>
      </c>
      <c r="L2106" t="s">
        <v>30</v>
      </c>
      <c r="M2106" t="s">
        <v>31</v>
      </c>
      <c r="N2106" t="s">
        <v>196</v>
      </c>
      <c r="Q2106" s="4">
        <v>1</v>
      </c>
    </row>
    <row r="2107" spans="1:17" x14ac:dyDescent="0.55000000000000004">
      <c r="A2107" t="s">
        <v>5228</v>
      </c>
      <c r="C2107" t="s">
        <v>28</v>
      </c>
      <c r="E2107" t="s">
        <v>29</v>
      </c>
      <c r="F2107" t="s">
        <v>30</v>
      </c>
      <c r="G2107" t="s">
        <v>31</v>
      </c>
      <c r="I2107" t="s">
        <v>1265</v>
      </c>
      <c r="J2107" t="s">
        <v>1266</v>
      </c>
      <c r="K2107" t="s">
        <v>39</v>
      </c>
      <c r="L2107" t="s">
        <v>30</v>
      </c>
      <c r="M2107" t="s">
        <v>31</v>
      </c>
      <c r="N2107" t="s">
        <v>196</v>
      </c>
      <c r="Q2107" s="4">
        <v>1</v>
      </c>
    </row>
    <row r="2108" spans="1:17" x14ac:dyDescent="0.55000000000000004">
      <c r="A2108" t="s">
        <v>5229</v>
      </c>
      <c r="C2108" t="s">
        <v>28</v>
      </c>
      <c r="E2108" t="s">
        <v>29</v>
      </c>
      <c r="F2108" t="s">
        <v>30</v>
      </c>
      <c r="G2108" t="s">
        <v>31</v>
      </c>
      <c r="I2108" t="s">
        <v>1269</v>
      </c>
      <c r="J2108" t="s">
        <v>1270</v>
      </c>
      <c r="K2108" t="s">
        <v>39</v>
      </c>
      <c r="L2108" t="s">
        <v>30</v>
      </c>
      <c r="M2108" t="s">
        <v>31</v>
      </c>
      <c r="N2108" t="s">
        <v>196</v>
      </c>
      <c r="Q2108" s="4">
        <v>1</v>
      </c>
    </row>
    <row r="2109" spans="1:17" x14ac:dyDescent="0.55000000000000004">
      <c r="A2109" t="s">
        <v>5230</v>
      </c>
      <c r="C2109" t="s">
        <v>28</v>
      </c>
      <c r="E2109" t="s">
        <v>29</v>
      </c>
      <c r="F2109" t="s">
        <v>30</v>
      </c>
      <c r="G2109" t="s">
        <v>31</v>
      </c>
      <c r="I2109" t="s">
        <v>1273</v>
      </c>
      <c r="J2109" t="s">
        <v>1274</v>
      </c>
      <c r="K2109" t="s">
        <v>39</v>
      </c>
      <c r="L2109" t="s">
        <v>30</v>
      </c>
      <c r="M2109" t="s">
        <v>31</v>
      </c>
      <c r="N2109" t="s">
        <v>196</v>
      </c>
      <c r="Q2109" s="4">
        <v>1</v>
      </c>
    </row>
    <row r="2110" spans="1:17" x14ac:dyDescent="0.55000000000000004">
      <c r="A2110" t="s">
        <v>5231</v>
      </c>
      <c r="C2110" t="s">
        <v>28</v>
      </c>
      <c r="E2110" t="s">
        <v>29</v>
      </c>
      <c r="F2110" t="s">
        <v>30</v>
      </c>
      <c r="G2110" t="s">
        <v>31</v>
      </c>
      <c r="I2110" t="s">
        <v>1277</v>
      </c>
      <c r="J2110" t="s">
        <v>1278</v>
      </c>
      <c r="K2110" t="s">
        <v>39</v>
      </c>
      <c r="L2110" t="s">
        <v>30</v>
      </c>
      <c r="M2110" t="s">
        <v>31</v>
      </c>
      <c r="N2110" t="s">
        <v>196</v>
      </c>
      <c r="Q2110" s="4">
        <v>1</v>
      </c>
    </row>
    <row r="2111" spans="1:17" x14ac:dyDescent="0.55000000000000004">
      <c r="A2111" t="s">
        <v>5232</v>
      </c>
      <c r="C2111" t="s">
        <v>28</v>
      </c>
      <c r="E2111" t="s">
        <v>29</v>
      </c>
      <c r="F2111" t="s">
        <v>30</v>
      </c>
      <c r="G2111" t="s">
        <v>31</v>
      </c>
      <c r="I2111" t="s">
        <v>1281</v>
      </c>
      <c r="J2111" t="s">
        <v>1282</v>
      </c>
      <c r="K2111" t="s">
        <v>39</v>
      </c>
      <c r="L2111" t="s">
        <v>30</v>
      </c>
      <c r="M2111" t="s">
        <v>31</v>
      </c>
      <c r="N2111" t="s">
        <v>196</v>
      </c>
      <c r="Q2111" s="4">
        <v>1</v>
      </c>
    </row>
    <row r="2112" spans="1:17" x14ac:dyDescent="0.55000000000000004">
      <c r="A2112" t="s">
        <v>5233</v>
      </c>
      <c r="C2112" t="s">
        <v>28</v>
      </c>
      <c r="E2112" t="s">
        <v>29</v>
      </c>
      <c r="F2112" t="s">
        <v>30</v>
      </c>
      <c r="G2112" t="s">
        <v>31</v>
      </c>
      <c r="I2112" t="s">
        <v>1285</v>
      </c>
      <c r="J2112" t="s">
        <v>1286</v>
      </c>
      <c r="K2112" t="s">
        <v>39</v>
      </c>
      <c r="L2112" t="s">
        <v>30</v>
      </c>
      <c r="M2112" t="s">
        <v>31</v>
      </c>
      <c r="N2112" t="s">
        <v>196</v>
      </c>
      <c r="Q2112" s="4">
        <v>1</v>
      </c>
    </row>
    <row r="2113" spans="1:17" x14ac:dyDescent="0.55000000000000004">
      <c r="A2113" t="s">
        <v>5234</v>
      </c>
      <c r="C2113" t="s">
        <v>28</v>
      </c>
      <c r="E2113" t="s">
        <v>29</v>
      </c>
      <c r="F2113" t="s">
        <v>30</v>
      </c>
      <c r="G2113" t="s">
        <v>31</v>
      </c>
      <c r="I2113" t="s">
        <v>1289</v>
      </c>
      <c r="J2113" t="s">
        <v>1290</v>
      </c>
      <c r="K2113" t="s">
        <v>39</v>
      </c>
      <c r="L2113" t="s">
        <v>30</v>
      </c>
      <c r="M2113" t="s">
        <v>31</v>
      </c>
      <c r="N2113" t="s">
        <v>196</v>
      </c>
      <c r="Q2113" s="4">
        <v>1</v>
      </c>
    </row>
    <row r="2114" spans="1:17" x14ac:dyDescent="0.55000000000000004">
      <c r="A2114" t="s">
        <v>5235</v>
      </c>
      <c r="C2114" t="s">
        <v>28</v>
      </c>
      <c r="E2114" t="s">
        <v>29</v>
      </c>
      <c r="F2114" t="s">
        <v>30</v>
      </c>
      <c r="G2114" t="s">
        <v>31</v>
      </c>
      <c r="I2114" t="s">
        <v>1293</v>
      </c>
      <c r="J2114" t="s">
        <v>1294</v>
      </c>
      <c r="K2114" t="s">
        <v>39</v>
      </c>
      <c r="L2114" t="s">
        <v>30</v>
      </c>
      <c r="M2114" t="s">
        <v>31</v>
      </c>
      <c r="N2114" t="s">
        <v>196</v>
      </c>
      <c r="Q2114" s="4">
        <v>1</v>
      </c>
    </row>
    <row r="2115" spans="1:17" x14ac:dyDescent="0.55000000000000004">
      <c r="A2115" t="s">
        <v>5236</v>
      </c>
      <c r="C2115" t="s">
        <v>28</v>
      </c>
      <c r="E2115" t="s">
        <v>29</v>
      </c>
      <c r="F2115" t="s">
        <v>30</v>
      </c>
      <c r="G2115" t="s">
        <v>31</v>
      </c>
      <c r="I2115" t="s">
        <v>1301</v>
      </c>
      <c r="J2115" t="s">
        <v>1302</v>
      </c>
      <c r="K2115" t="s">
        <v>39</v>
      </c>
      <c r="L2115" t="s">
        <v>30</v>
      </c>
      <c r="M2115" t="s">
        <v>31</v>
      </c>
      <c r="N2115" t="s">
        <v>196</v>
      </c>
      <c r="Q2115" s="4">
        <v>1</v>
      </c>
    </row>
    <row r="2116" spans="1:17" x14ac:dyDescent="0.55000000000000004">
      <c r="A2116" t="s">
        <v>5237</v>
      </c>
      <c r="C2116" t="s">
        <v>28</v>
      </c>
      <c r="E2116" t="s">
        <v>29</v>
      </c>
      <c r="F2116" t="s">
        <v>30</v>
      </c>
      <c r="G2116" t="s">
        <v>31</v>
      </c>
      <c r="I2116" t="s">
        <v>1307</v>
      </c>
      <c r="J2116" t="s">
        <v>1308</v>
      </c>
      <c r="K2116" t="s">
        <v>39</v>
      </c>
      <c r="L2116" t="s">
        <v>30</v>
      </c>
      <c r="M2116" t="s">
        <v>31</v>
      </c>
      <c r="N2116" t="s">
        <v>196</v>
      </c>
      <c r="Q2116" s="4">
        <v>1</v>
      </c>
    </row>
    <row r="2117" spans="1:17" x14ac:dyDescent="0.55000000000000004">
      <c r="A2117" t="s">
        <v>5238</v>
      </c>
      <c r="C2117" t="s">
        <v>28</v>
      </c>
      <c r="E2117" t="s">
        <v>29</v>
      </c>
      <c r="F2117" t="s">
        <v>30</v>
      </c>
      <c r="G2117" t="s">
        <v>31</v>
      </c>
      <c r="I2117" t="s">
        <v>1313</v>
      </c>
      <c r="J2117" t="s">
        <v>1314</v>
      </c>
      <c r="K2117" t="s">
        <v>39</v>
      </c>
      <c r="L2117" t="s">
        <v>30</v>
      </c>
      <c r="M2117" t="s">
        <v>31</v>
      </c>
      <c r="N2117" t="s">
        <v>196</v>
      </c>
      <c r="Q2117" s="4">
        <v>1</v>
      </c>
    </row>
    <row r="2118" spans="1:17" x14ac:dyDescent="0.55000000000000004">
      <c r="A2118" t="s">
        <v>5239</v>
      </c>
      <c r="C2118" t="s">
        <v>28</v>
      </c>
      <c r="E2118" t="s">
        <v>29</v>
      </c>
      <c r="F2118" t="s">
        <v>30</v>
      </c>
      <c r="G2118" t="s">
        <v>31</v>
      </c>
      <c r="I2118" t="s">
        <v>1319</v>
      </c>
      <c r="J2118" t="s">
        <v>1320</v>
      </c>
      <c r="K2118" t="s">
        <v>39</v>
      </c>
      <c r="L2118" t="s">
        <v>30</v>
      </c>
      <c r="M2118" t="s">
        <v>31</v>
      </c>
      <c r="N2118" t="s">
        <v>196</v>
      </c>
      <c r="Q2118" s="4">
        <v>1</v>
      </c>
    </row>
    <row r="2119" spans="1:17" x14ac:dyDescent="0.55000000000000004">
      <c r="A2119" t="s">
        <v>5240</v>
      </c>
      <c r="C2119" t="s">
        <v>28</v>
      </c>
      <c r="E2119" t="s">
        <v>29</v>
      </c>
      <c r="F2119" t="s">
        <v>30</v>
      </c>
      <c r="G2119" t="s">
        <v>31</v>
      </c>
      <c r="I2119" t="s">
        <v>1325</v>
      </c>
      <c r="J2119" t="s">
        <v>1326</v>
      </c>
      <c r="K2119" t="s">
        <v>39</v>
      </c>
      <c r="L2119" t="s">
        <v>30</v>
      </c>
      <c r="M2119" t="s">
        <v>31</v>
      </c>
      <c r="N2119" t="s">
        <v>196</v>
      </c>
      <c r="Q2119" s="4">
        <v>1</v>
      </c>
    </row>
    <row r="2120" spans="1:17" x14ac:dyDescent="0.55000000000000004">
      <c r="A2120" t="s">
        <v>5241</v>
      </c>
      <c r="C2120" t="s">
        <v>28</v>
      </c>
      <c r="E2120" t="s">
        <v>29</v>
      </c>
      <c r="F2120" t="s">
        <v>30</v>
      </c>
      <c r="G2120" t="s">
        <v>31</v>
      </c>
      <c r="I2120" t="s">
        <v>1331</v>
      </c>
      <c r="J2120" t="s">
        <v>1332</v>
      </c>
      <c r="K2120" t="s">
        <v>39</v>
      </c>
      <c r="L2120" t="s">
        <v>30</v>
      </c>
      <c r="M2120" t="s">
        <v>31</v>
      </c>
      <c r="N2120" t="s">
        <v>196</v>
      </c>
      <c r="Q2120" s="4">
        <v>1</v>
      </c>
    </row>
    <row r="2121" spans="1:17" x14ac:dyDescent="0.55000000000000004">
      <c r="A2121" t="s">
        <v>5242</v>
      </c>
      <c r="C2121" t="s">
        <v>28</v>
      </c>
      <c r="E2121" t="s">
        <v>29</v>
      </c>
      <c r="F2121" t="s">
        <v>30</v>
      </c>
      <c r="G2121" t="s">
        <v>31</v>
      </c>
      <c r="I2121" t="s">
        <v>1337</v>
      </c>
      <c r="J2121" t="s">
        <v>1338</v>
      </c>
      <c r="K2121" t="s">
        <v>39</v>
      </c>
      <c r="L2121" t="s">
        <v>30</v>
      </c>
      <c r="M2121" t="s">
        <v>31</v>
      </c>
      <c r="N2121" t="s">
        <v>196</v>
      </c>
      <c r="Q2121" s="4">
        <v>1</v>
      </c>
    </row>
    <row r="2122" spans="1:17" x14ac:dyDescent="0.55000000000000004">
      <c r="A2122" t="s">
        <v>5243</v>
      </c>
      <c r="C2122" t="s">
        <v>28</v>
      </c>
      <c r="E2122" t="s">
        <v>29</v>
      </c>
      <c r="F2122" t="s">
        <v>30</v>
      </c>
      <c r="G2122" t="s">
        <v>31</v>
      </c>
      <c r="I2122" t="s">
        <v>1343</v>
      </c>
      <c r="J2122" t="s">
        <v>1344</v>
      </c>
      <c r="K2122" t="s">
        <v>39</v>
      </c>
      <c r="L2122" t="s">
        <v>30</v>
      </c>
      <c r="M2122" t="s">
        <v>31</v>
      </c>
      <c r="N2122" t="s">
        <v>196</v>
      </c>
      <c r="Q2122" s="4">
        <v>1</v>
      </c>
    </row>
    <row r="2123" spans="1:17" x14ac:dyDescent="0.55000000000000004">
      <c r="A2123" t="s">
        <v>5244</v>
      </c>
      <c r="C2123" t="s">
        <v>28</v>
      </c>
      <c r="E2123" t="s">
        <v>29</v>
      </c>
      <c r="F2123" t="s">
        <v>30</v>
      </c>
      <c r="G2123" t="s">
        <v>31</v>
      </c>
      <c r="I2123" t="s">
        <v>1349</v>
      </c>
      <c r="J2123" t="s">
        <v>1350</v>
      </c>
      <c r="K2123" t="s">
        <v>39</v>
      </c>
      <c r="L2123" t="s">
        <v>30</v>
      </c>
      <c r="M2123" t="s">
        <v>31</v>
      </c>
      <c r="N2123" t="s">
        <v>196</v>
      </c>
      <c r="Q2123" s="4">
        <v>1</v>
      </c>
    </row>
    <row r="2124" spans="1:17" x14ac:dyDescent="0.55000000000000004">
      <c r="A2124" t="s">
        <v>5245</v>
      </c>
      <c r="C2124" t="s">
        <v>28</v>
      </c>
      <c r="E2124" t="s">
        <v>29</v>
      </c>
      <c r="F2124" t="s">
        <v>30</v>
      </c>
      <c r="G2124" t="s">
        <v>31</v>
      </c>
      <c r="I2124" t="s">
        <v>1355</v>
      </c>
      <c r="J2124" t="s">
        <v>1356</v>
      </c>
      <c r="K2124" t="s">
        <v>39</v>
      </c>
      <c r="L2124" t="s">
        <v>30</v>
      </c>
      <c r="M2124" t="s">
        <v>31</v>
      </c>
      <c r="N2124" t="s">
        <v>196</v>
      </c>
      <c r="Q2124" s="4">
        <v>1</v>
      </c>
    </row>
    <row r="2125" spans="1:17" x14ac:dyDescent="0.55000000000000004">
      <c r="A2125" t="s">
        <v>5246</v>
      </c>
      <c r="C2125" t="s">
        <v>28</v>
      </c>
      <c r="E2125" t="s">
        <v>29</v>
      </c>
      <c r="F2125" t="s">
        <v>30</v>
      </c>
      <c r="G2125" t="s">
        <v>31</v>
      </c>
      <c r="I2125" t="s">
        <v>1361</v>
      </c>
      <c r="J2125" t="s">
        <v>1362</v>
      </c>
      <c r="K2125" t="s">
        <v>39</v>
      </c>
      <c r="L2125" t="s">
        <v>30</v>
      </c>
      <c r="M2125" t="s">
        <v>31</v>
      </c>
      <c r="N2125" t="s">
        <v>196</v>
      </c>
      <c r="Q2125" s="4">
        <v>1</v>
      </c>
    </row>
    <row r="2126" spans="1:17" x14ac:dyDescent="0.55000000000000004">
      <c r="A2126" t="s">
        <v>5247</v>
      </c>
      <c r="C2126" t="s">
        <v>28</v>
      </c>
      <c r="E2126" t="s">
        <v>29</v>
      </c>
      <c r="F2126" t="s">
        <v>30</v>
      </c>
      <c r="G2126" t="s">
        <v>31</v>
      </c>
      <c r="I2126" t="s">
        <v>1367</v>
      </c>
      <c r="J2126" t="s">
        <v>1368</v>
      </c>
      <c r="K2126" t="s">
        <v>39</v>
      </c>
      <c r="L2126" t="s">
        <v>30</v>
      </c>
      <c r="M2126" t="s">
        <v>31</v>
      </c>
      <c r="N2126" t="s">
        <v>196</v>
      </c>
      <c r="Q2126" s="4">
        <v>1</v>
      </c>
    </row>
    <row r="2127" spans="1:17" x14ac:dyDescent="0.55000000000000004">
      <c r="A2127" t="s">
        <v>5248</v>
      </c>
      <c r="C2127" t="s">
        <v>28</v>
      </c>
      <c r="E2127" t="s">
        <v>29</v>
      </c>
      <c r="F2127" t="s">
        <v>30</v>
      </c>
      <c r="G2127" t="s">
        <v>31</v>
      </c>
      <c r="I2127" t="s">
        <v>1373</v>
      </c>
      <c r="J2127" t="s">
        <v>1374</v>
      </c>
      <c r="K2127" t="s">
        <v>39</v>
      </c>
      <c r="L2127" t="s">
        <v>30</v>
      </c>
      <c r="M2127" t="s">
        <v>31</v>
      </c>
      <c r="N2127" t="s">
        <v>196</v>
      </c>
      <c r="Q2127" s="4">
        <v>1</v>
      </c>
    </row>
    <row r="2128" spans="1:17" x14ac:dyDescent="0.55000000000000004">
      <c r="A2128" t="s">
        <v>5249</v>
      </c>
      <c r="C2128" t="s">
        <v>28</v>
      </c>
      <c r="E2128" t="s">
        <v>29</v>
      </c>
      <c r="F2128" t="s">
        <v>30</v>
      </c>
      <c r="G2128" t="s">
        <v>31</v>
      </c>
      <c r="I2128" t="s">
        <v>1379</v>
      </c>
      <c r="J2128" t="s">
        <v>1380</v>
      </c>
      <c r="K2128" t="s">
        <v>39</v>
      </c>
      <c r="L2128" t="s">
        <v>30</v>
      </c>
      <c r="M2128" t="s">
        <v>31</v>
      </c>
      <c r="N2128" t="s">
        <v>196</v>
      </c>
      <c r="Q2128" s="4">
        <v>1</v>
      </c>
    </row>
    <row r="2129" spans="1:17" x14ac:dyDescent="0.55000000000000004">
      <c r="A2129" t="s">
        <v>5250</v>
      </c>
      <c r="C2129" t="s">
        <v>28</v>
      </c>
      <c r="E2129" t="s">
        <v>29</v>
      </c>
      <c r="F2129" t="s">
        <v>30</v>
      </c>
      <c r="G2129" t="s">
        <v>31</v>
      </c>
      <c r="I2129" t="s">
        <v>1385</v>
      </c>
      <c r="J2129" t="s">
        <v>1386</v>
      </c>
      <c r="K2129" t="s">
        <v>39</v>
      </c>
      <c r="L2129" t="s">
        <v>30</v>
      </c>
      <c r="M2129" t="s">
        <v>31</v>
      </c>
      <c r="N2129" t="s">
        <v>196</v>
      </c>
      <c r="Q2129" s="4">
        <v>1</v>
      </c>
    </row>
    <row r="2130" spans="1:17" x14ac:dyDescent="0.55000000000000004">
      <c r="A2130" t="s">
        <v>5251</v>
      </c>
      <c r="C2130" t="s">
        <v>28</v>
      </c>
      <c r="E2130" t="s">
        <v>29</v>
      </c>
      <c r="F2130" t="s">
        <v>30</v>
      </c>
      <c r="G2130" t="s">
        <v>31</v>
      </c>
      <c r="I2130" t="s">
        <v>1391</v>
      </c>
      <c r="J2130" t="s">
        <v>1392</v>
      </c>
      <c r="K2130" t="s">
        <v>39</v>
      </c>
      <c r="L2130" t="s">
        <v>30</v>
      </c>
      <c r="M2130" t="s">
        <v>31</v>
      </c>
      <c r="N2130" t="s">
        <v>196</v>
      </c>
      <c r="Q2130" s="4">
        <v>1</v>
      </c>
    </row>
    <row r="2131" spans="1:17" x14ac:dyDescent="0.55000000000000004">
      <c r="A2131" t="s">
        <v>5252</v>
      </c>
      <c r="C2131" t="s">
        <v>28</v>
      </c>
      <c r="E2131" t="s">
        <v>29</v>
      </c>
      <c r="F2131" t="s">
        <v>30</v>
      </c>
      <c r="G2131" t="s">
        <v>31</v>
      </c>
      <c r="I2131" t="s">
        <v>1397</v>
      </c>
      <c r="J2131" t="s">
        <v>1398</v>
      </c>
      <c r="K2131" t="s">
        <v>39</v>
      </c>
      <c r="L2131" t="s">
        <v>30</v>
      </c>
      <c r="M2131" t="s">
        <v>31</v>
      </c>
      <c r="N2131" t="s">
        <v>196</v>
      </c>
      <c r="Q2131" s="4">
        <v>1</v>
      </c>
    </row>
    <row r="2132" spans="1:17" x14ac:dyDescent="0.55000000000000004">
      <c r="A2132" t="s">
        <v>5253</v>
      </c>
      <c r="C2132" t="s">
        <v>28</v>
      </c>
      <c r="E2132" t="s">
        <v>29</v>
      </c>
      <c r="F2132" t="s">
        <v>30</v>
      </c>
      <c r="G2132" t="s">
        <v>31</v>
      </c>
      <c r="I2132" t="s">
        <v>1403</v>
      </c>
      <c r="J2132" t="s">
        <v>1404</v>
      </c>
      <c r="K2132" t="s">
        <v>39</v>
      </c>
      <c r="L2132" t="s">
        <v>30</v>
      </c>
      <c r="M2132" t="s">
        <v>31</v>
      </c>
      <c r="N2132" t="s">
        <v>196</v>
      </c>
      <c r="Q2132" s="4">
        <v>1</v>
      </c>
    </row>
    <row r="2133" spans="1:17" x14ac:dyDescent="0.55000000000000004">
      <c r="A2133" t="s">
        <v>5254</v>
      </c>
      <c r="C2133" t="s">
        <v>28</v>
      </c>
      <c r="E2133" t="s">
        <v>29</v>
      </c>
      <c r="F2133" t="s">
        <v>30</v>
      </c>
      <c r="G2133" t="s">
        <v>31</v>
      </c>
      <c r="I2133" t="s">
        <v>1409</v>
      </c>
      <c r="J2133" t="s">
        <v>1410</v>
      </c>
      <c r="K2133" t="s">
        <v>39</v>
      </c>
      <c r="L2133" t="s">
        <v>30</v>
      </c>
      <c r="M2133" t="s">
        <v>31</v>
      </c>
      <c r="N2133" t="s">
        <v>196</v>
      </c>
      <c r="Q2133" s="4">
        <v>1</v>
      </c>
    </row>
    <row r="2134" spans="1:17" x14ac:dyDescent="0.55000000000000004">
      <c r="A2134" t="s">
        <v>5255</v>
      </c>
      <c r="C2134" t="s">
        <v>28</v>
      </c>
      <c r="E2134" t="s">
        <v>29</v>
      </c>
      <c r="F2134" t="s">
        <v>30</v>
      </c>
      <c r="G2134" t="s">
        <v>31</v>
      </c>
      <c r="I2134" t="s">
        <v>1415</v>
      </c>
      <c r="J2134" t="s">
        <v>1416</v>
      </c>
      <c r="K2134" t="s">
        <v>39</v>
      </c>
      <c r="L2134" t="s">
        <v>30</v>
      </c>
      <c r="M2134" t="s">
        <v>31</v>
      </c>
      <c r="N2134" t="s">
        <v>196</v>
      </c>
      <c r="Q2134" s="4">
        <v>1</v>
      </c>
    </row>
    <row r="2135" spans="1:17" x14ac:dyDescent="0.55000000000000004">
      <c r="A2135" t="s">
        <v>5256</v>
      </c>
      <c r="C2135" t="s">
        <v>28</v>
      </c>
      <c r="E2135" t="s">
        <v>29</v>
      </c>
      <c r="F2135" t="s">
        <v>30</v>
      </c>
      <c r="G2135" t="s">
        <v>31</v>
      </c>
      <c r="I2135" t="s">
        <v>1421</v>
      </c>
      <c r="J2135" t="s">
        <v>1422</v>
      </c>
      <c r="K2135" t="s">
        <v>39</v>
      </c>
      <c r="L2135" t="s">
        <v>30</v>
      </c>
      <c r="M2135" t="s">
        <v>31</v>
      </c>
      <c r="N2135" t="s">
        <v>196</v>
      </c>
      <c r="Q2135" s="4">
        <v>1</v>
      </c>
    </row>
    <row r="2136" spans="1:17" x14ac:dyDescent="0.55000000000000004">
      <c r="A2136" t="s">
        <v>5257</v>
      </c>
      <c r="C2136" t="s">
        <v>28</v>
      </c>
      <c r="E2136" t="s">
        <v>29</v>
      </c>
      <c r="F2136" t="s">
        <v>30</v>
      </c>
      <c r="G2136" t="s">
        <v>31</v>
      </c>
      <c r="I2136" t="s">
        <v>1427</v>
      </c>
      <c r="J2136" t="s">
        <v>1428</v>
      </c>
      <c r="K2136" t="s">
        <v>39</v>
      </c>
      <c r="L2136" t="s">
        <v>30</v>
      </c>
      <c r="M2136" t="s">
        <v>31</v>
      </c>
      <c r="N2136" t="s">
        <v>196</v>
      </c>
      <c r="Q2136" s="4">
        <v>1</v>
      </c>
    </row>
    <row r="2137" spans="1:17" x14ac:dyDescent="0.55000000000000004">
      <c r="A2137" t="s">
        <v>5258</v>
      </c>
      <c r="C2137" t="s">
        <v>28</v>
      </c>
      <c r="E2137" t="s">
        <v>29</v>
      </c>
      <c r="F2137" t="s">
        <v>30</v>
      </c>
      <c r="G2137" t="s">
        <v>31</v>
      </c>
      <c r="I2137" t="s">
        <v>1433</v>
      </c>
      <c r="J2137" t="s">
        <v>1434</v>
      </c>
      <c r="K2137" t="s">
        <v>39</v>
      </c>
      <c r="L2137" t="s">
        <v>30</v>
      </c>
      <c r="M2137" t="s">
        <v>31</v>
      </c>
      <c r="N2137" t="s">
        <v>196</v>
      </c>
      <c r="Q2137" s="4">
        <v>1</v>
      </c>
    </row>
    <row r="2138" spans="1:17" x14ac:dyDescent="0.55000000000000004">
      <c r="A2138" t="s">
        <v>5259</v>
      </c>
      <c r="C2138" t="s">
        <v>28</v>
      </c>
      <c r="E2138" t="s">
        <v>29</v>
      </c>
      <c r="F2138" t="s">
        <v>30</v>
      </c>
      <c r="G2138" t="s">
        <v>31</v>
      </c>
      <c r="I2138" t="s">
        <v>1439</v>
      </c>
      <c r="J2138" t="s">
        <v>1440</v>
      </c>
      <c r="K2138" t="s">
        <v>39</v>
      </c>
      <c r="L2138" t="s">
        <v>30</v>
      </c>
      <c r="M2138" t="s">
        <v>31</v>
      </c>
      <c r="N2138" t="s">
        <v>196</v>
      </c>
      <c r="Q2138" s="4">
        <v>1</v>
      </c>
    </row>
    <row r="2139" spans="1:17" x14ac:dyDescent="0.55000000000000004">
      <c r="A2139" t="s">
        <v>5260</v>
      </c>
      <c r="C2139" t="s">
        <v>28</v>
      </c>
      <c r="E2139" t="s">
        <v>29</v>
      </c>
      <c r="F2139" t="s">
        <v>30</v>
      </c>
      <c r="G2139" t="s">
        <v>31</v>
      </c>
      <c r="I2139" t="s">
        <v>1445</v>
      </c>
      <c r="J2139" t="s">
        <v>1446</v>
      </c>
      <c r="K2139" t="s">
        <v>39</v>
      </c>
      <c r="L2139" t="s">
        <v>30</v>
      </c>
      <c r="M2139" t="s">
        <v>31</v>
      </c>
      <c r="N2139" t="s">
        <v>196</v>
      </c>
      <c r="Q2139" s="4">
        <v>1</v>
      </c>
    </row>
    <row r="2140" spans="1:17" x14ac:dyDescent="0.55000000000000004">
      <c r="A2140" t="s">
        <v>5261</v>
      </c>
      <c r="C2140" t="s">
        <v>28</v>
      </c>
      <c r="E2140" t="s">
        <v>29</v>
      </c>
      <c r="F2140" t="s">
        <v>30</v>
      </c>
      <c r="G2140" t="s">
        <v>31</v>
      </c>
      <c r="I2140" t="s">
        <v>1451</v>
      </c>
      <c r="J2140" t="s">
        <v>1452</v>
      </c>
      <c r="K2140" t="s">
        <v>39</v>
      </c>
      <c r="L2140" t="s">
        <v>30</v>
      </c>
      <c r="M2140" t="s">
        <v>31</v>
      </c>
      <c r="N2140" t="s">
        <v>196</v>
      </c>
      <c r="Q2140" s="4">
        <v>1</v>
      </c>
    </row>
    <row r="2141" spans="1:17" x14ac:dyDescent="0.55000000000000004">
      <c r="A2141" t="s">
        <v>5262</v>
      </c>
      <c r="C2141" t="s">
        <v>28</v>
      </c>
      <c r="E2141" t="s">
        <v>29</v>
      </c>
      <c r="F2141" t="s">
        <v>30</v>
      </c>
      <c r="G2141" t="s">
        <v>31</v>
      </c>
      <c r="I2141" t="s">
        <v>1457</v>
      </c>
      <c r="J2141" t="s">
        <v>1458</v>
      </c>
      <c r="K2141" t="s">
        <v>39</v>
      </c>
      <c r="L2141" t="s">
        <v>30</v>
      </c>
      <c r="M2141" t="s">
        <v>31</v>
      </c>
      <c r="N2141" t="s">
        <v>196</v>
      </c>
      <c r="Q2141" s="4">
        <v>1</v>
      </c>
    </row>
    <row r="2142" spans="1:17" x14ac:dyDescent="0.55000000000000004">
      <c r="A2142" t="s">
        <v>5263</v>
      </c>
      <c r="C2142" t="s">
        <v>28</v>
      </c>
      <c r="E2142" t="s">
        <v>29</v>
      </c>
      <c r="F2142" t="s">
        <v>30</v>
      </c>
      <c r="G2142" t="s">
        <v>31</v>
      </c>
      <c r="I2142" t="s">
        <v>1463</v>
      </c>
      <c r="J2142" t="s">
        <v>1464</v>
      </c>
      <c r="K2142" t="s">
        <v>39</v>
      </c>
      <c r="L2142" t="s">
        <v>30</v>
      </c>
      <c r="M2142" t="s">
        <v>31</v>
      </c>
      <c r="N2142" t="s">
        <v>196</v>
      </c>
      <c r="Q2142" s="4">
        <v>1</v>
      </c>
    </row>
    <row r="2143" spans="1:17" x14ac:dyDescent="0.55000000000000004">
      <c r="A2143" t="s">
        <v>5264</v>
      </c>
      <c r="C2143" t="s">
        <v>28</v>
      </c>
      <c r="E2143" t="s">
        <v>29</v>
      </c>
      <c r="F2143" t="s">
        <v>30</v>
      </c>
      <c r="G2143" t="s">
        <v>31</v>
      </c>
      <c r="I2143" t="s">
        <v>1469</v>
      </c>
      <c r="J2143" t="s">
        <v>1470</v>
      </c>
      <c r="K2143" t="s">
        <v>39</v>
      </c>
      <c r="L2143" t="s">
        <v>30</v>
      </c>
      <c r="M2143" t="s">
        <v>31</v>
      </c>
      <c r="N2143" t="s">
        <v>196</v>
      </c>
      <c r="Q2143" s="4">
        <v>1</v>
      </c>
    </row>
    <row r="2144" spans="1:17" x14ac:dyDescent="0.55000000000000004">
      <c r="A2144" t="s">
        <v>5265</v>
      </c>
      <c r="C2144" t="s">
        <v>28</v>
      </c>
      <c r="E2144" t="s">
        <v>29</v>
      </c>
      <c r="F2144" t="s">
        <v>30</v>
      </c>
      <c r="G2144" t="s">
        <v>31</v>
      </c>
      <c r="I2144" t="s">
        <v>1475</v>
      </c>
      <c r="J2144" t="s">
        <v>1476</v>
      </c>
      <c r="K2144" t="s">
        <v>39</v>
      </c>
      <c r="L2144" t="s">
        <v>30</v>
      </c>
      <c r="M2144" t="s">
        <v>31</v>
      </c>
      <c r="N2144" t="s">
        <v>196</v>
      </c>
      <c r="Q2144" s="4">
        <v>1</v>
      </c>
    </row>
    <row r="2145" spans="1:17" x14ac:dyDescent="0.55000000000000004">
      <c r="A2145" t="s">
        <v>5266</v>
      </c>
      <c r="C2145" t="s">
        <v>28</v>
      </c>
      <c r="E2145" t="s">
        <v>29</v>
      </c>
      <c r="F2145" t="s">
        <v>30</v>
      </c>
      <c r="G2145" t="s">
        <v>31</v>
      </c>
      <c r="I2145" t="s">
        <v>1481</v>
      </c>
      <c r="J2145" t="s">
        <v>1482</v>
      </c>
      <c r="K2145" t="s">
        <v>39</v>
      </c>
      <c r="L2145" t="s">
        <v>30</v>
      </c>
      <c r="M2145" t="s">
        <v>31</v>
      </c>
      <c r="N2145" t="s">
        <v>196</v>
      </c>
      <c r="Q2145" s="4">
        <v>1</v>
      </c>
    </row>
    <row r="2146" spans="1:17" x14ac:dyDescent="0.55000000000000004">
      <c r="A2146" t="s">
        <v>5267</v>
      </c>
      <c r="C2146" t="s">
        <v>28</v>
      </c>
      <c r="E2146" t="s">
        <v>29</v>
      </c>
      <c r="F2146" t="s">
        <v>30</v>
      </c>
      <c r="G2146" t="s">
        <v>31</v>
      </c>
      <c r="I2146" t="s">
        <v>1487</v>
      </c>
      <c r="J2146" t="s">
        <v>1488</v>
      </c>
      <c r="K2146" t="s">
        <v>39</v>
      </c>
      <c r="L2146" t="s">
        <v>30</v>
      </c>
      <c r="M2146" t="s">
        <v>31</v>
      </c>
      <c r="N2146" t="s">
        <v>196</v>
      </c>
      <c r="Q2146" s="4">
        <v>1</v>
      </c>
    </row>
    <row r="2147" spans="1:17" x14ac:dyDescent="0.55000000000000004">
      <c r="A2147" t="s">
        <v>5268</v>
      </c>
      <c r="C2147" t="s">
        <v>28</v>
      </c>
      <c r="E2147" t="s">
        <v>29</v>
      </c>
      <c r="F2147" t="s">
        <v>30</v>
      </c>
      <c r="G2147" t="s">
        <v>31</v>
      </c>
      <c r="I2147" t="s">
        <v>1493</v>
      </c>
      <c r="J2147" t="s">
        <v>1494</v>
      </c>
      <c r="K2147" t="s">
        <v>39</v>
      </c>
      <c r="L2147" t="s">
        <v>30</v>
      </c>
      <c r="M2147" t="s">
        <v>31</v>
      </c>
      <c r="N2147" t="s">
        <v>196</v>
      </c>
      <c r="Q2147" s="4">
        <v>1</v>
      </c>
    </row>
    <row r="2148" spans="1:17" x14ac:dyDescent="0.55000000000000004">
      <c r="A2148" t="s">
        <v>5269</v>
      </c>
      <c r="C2148" t="s">
        <v>28</v>
      </c>
      <c r="E2148" t="s">
        <v>29</v>
      </c>
      <c r="F2148" t="s">
        <v>30</v>
      </c>
      <c r="G2148" t="s">
        <v>31</v>
      </c>
      <c r="I2148" t="s">
        <v>1499</v>
      </c>
      <c r="J2148" t="s">
        <v>1500</v>
      </c>
      <c r="K2148" t="s">
        <v>39</v>
      </c>
      <c r="L2148" t="s">
        <v>30</v>
      </c>
      <c r="M2148" t="s">
        <v>31</v>
      </c>
      <c r="N2148" t="s">
        <v>196</v>
      </c>
      <c r="Q2148" s="4">
        <v>1</v>
      </c>
    </row>
    <row r="2149" spans="1:17" x14ac:dyDescent="0.55000000000000004">
      <c r="A2149" t="s">
        <v>5270</v>
      </c>
      <c r="C2149" t="s">
        <v>28</v>
      </c>
      <c r="E2149" t="s">
        <v>29</v>
      </c>
      <c r="F2149" t="s">
        <v>30</v>
      </c>
      <c r="G2149" t="s">
        <v>31</v>
      </c>
      <c r="I2149" t="s">
        <v>1505</v>
      </c>
      <c r="J2149" t="s">
        <v>1506</v>
      </c>
      <c r="K2149" t="s">
        <v>39</v>
      </c>
      <c r="L2149" t="s">
        <v>30</v>
      </c>
      <c r="M2149" t="s">
        <v>31</v>
      </c>
      <c r="N2149" t="s">
        <v>196</v>
      </c>
      <c r="Q2149" s="4">
        <v>1</v>
      </c>
    </row>
    <row r="2150" spans="1:17" x14ac:dyDescent="0.55000000000000004">
      <c r="A2150" t="s">
        <v>5271</v>
      </c>
      <c r="C2150" t="s">
        <v>28</v>
      </c>
      <c r="E2150" t="s">
        <v>29</v>
      </c>
      <c r="F2150" t="s">
        <v>30</v>
      </c>
      <c r="G2150" t="s">
        <v>31</v>
      </c>
      <c r="I2150" t="s">
        <v>1511</v>
      </c>
      <c r="J2150" t="s">
        <v>1512</v>
      </c>
      <c r="K2150" t="s">
        <v>39</v>
      </c>
      <c r="L2150" t="s">
        <v>30</v>
      </c>
      <c r="M2150" t="s">
        <v>31</v>
      </c>
      <c r="N2150" t="s">
        <v>196</v>
      </c>
      <c r="Q2150" s="4">
        <v>1</v>
      </c>
    </row>
    <row r="2151" spans="1:17" x14ac:dyDescent="0.55000000000000004">
      <c r="A2151" t="s">
        <v>5272</v>
      </c>
      <c r="C2151" t="s">
        <v>28</v>
      </c>
      <c r="E2151" t="s">
        <v>29</v>
      </c>
      <c r="F2151" t="s">
        <v>30</v>
      </c>
      <c r="G2151" t="s">
        <v>31</v>
      </c>
      <c r="I2151" t="s">
        <v>1517</v>
      </c>
      <c r="J2151" t="s">
        <v>1518</v>
      </c>
      <c r="K2151" t="s">
        <v>39</v>
      </c>
      <c r="L2151" t="s">
        <v>30</v>
      </c>
      <c r="M2151" t="s">
        <v>31</v>
      </c>
      <c r="N2151" t="s">
        <v>196</v>
      </c>
      <c r="Q2151" s="4">
        <v>1</v>
      </c>
    </row>
    <row r="2152" spans="1:17" x14ac:dyDescent="0.55000000000000004">
      <c r="A2152" t="s">
        <v>5273</v>
      </c>
      <c r="C2152" t="s">
        <v>28</v>
      </c>
      <c r="E2152" t="s">
        <v>29</v>
      </c>
      <c r="F2152" t="s">
        <v>30</v>
      </c>
      <c r="G2152" t="s">
        <v>31</v>
      </c>
      <c r="I2152" t="s">
        <v>1523</v>
      </c>
      <c r="J2152" t="s">
        <v>1524</v>
      </c>
      <c r="K2152" t="s">
        <v>39</v>
      </c>
      <c r="L2152" t="s">
        <v>30</v>
      </c>
      <c r="M2152" t="s">
        <v>31</v>
      </c>
      <c r="N2152" t="s">
        <v>196</v>
      </c>
      <c r="Q2152" s="4">
        <v>1</v>
      </c>
    </row>
    <row r="2153" spans="1:17" x14ac:dyDescent="0.55000000000000004">
      <c r="A2153" t="s">
        <v>5274</v>
      </c>
      <c r="C2153" t="s">
        <v>28</v>
      </c>
      <c r="E2153" t="s">
        <v>29</v>
      </c>
      <c r="F2153" t="s">
        <v>30</v>
      </c>
      <c r="G2153" t="s">
        <v>31</v>
      </c>
      <c r="I2153" t="s">
        <v>1529</v>
      </c>
      <c r="J2153" t="s">
        <v>1530</v>
      </c>
      <c r="K2153" t="s">
        <v>39</v>
      </c>
      <c r="L2153" t="s">
        <v>30</v>
      </c>
      <c r="M2153" t="s">
        <v>31</v>
      </c>
      <c r="N2153" t="s">
        <v>196</v>
      </c>
      <c r="Q2153" s="4">
        <v>1</v>
      </c>
    </row>
    <row r="2154" spans="1:17" x14ac:dyDescent="0.55000000000000004">
      <c r="A2154" t="s">
        <v>5275</v>
      </c>
      <c r="C2154" t="s">
        <v>28</v>
      </c>
      <c r="E2154" t="s">
        <v>29</v>
      </c>
      <c r="F2154" t="s">
        <v>30</v>
      </c>
      <c r="G2154" t="s">
        <v>31</v>
      </c>
      <c r="I2154" t="s">
        <v>1535</v>
      </c>
      <c r="J2154" t="s">
        <v>1536</v>
      </c>
      <c r="K2154" t="s">
        <v>39</v>
      </c>
      <c r="L2154" t="s">
        <v>30</v>
      </c>
      <c r="M2154" t="s">
        <v>31</v>
      </c>
      <c r="N2154" t="s">
        <v>196</v>
      </c>
      <c r="Q2154" s="4">
        <v>1</v>
      </c>
    </row>
    <row r="2155" spans="1:17" x14ac:dyDescent="0.55000000000000004">
      <c r="A2155" t="s">
        <v>5276</v>
      </c>
      <c r="C2155" t="s">
        <v>28</v>
      </c>
      <c r="E2155" t="s">
        <v>29</v>
      </c>
      <c r="F2155" t="s">
        <v>30</v>
      </c>
      <c r="G2155" t="s">
        <v>31</v>
      </c>
      <c r="I2155" t="s">
        <v>1541</v>
      </c>
      <c r="J2155" t="s">
        <v>1542</v>
      </c>
      <c r="K2155" t="s">
        <v>39</v>
      </c>
      <c r="L2155" t="s">
        <v>30</v>
      </c>
      <c r="M2155" t="s">
        <v>31</v>
      </c>
      <c r="N2155" t="s">
        <v>196</v>
      </c>
      <c r="Q2155" s="4">
        <v>1</v>
      </c>
    </row>
    <row r="2156" spans="1:17" x14ac:dyDescent="0.55000000000000004">
      <c r="A2156" t="s">
        <v>5277</v>
      </c>
      <c r="C2156" t="s">
        <v>28</v>
      </c>
      <c r="E2156" t="s">
        <v>29</v>
      </c>
      <c r="F2156" t="s">
        <v>30</v>
      </c>
      <c r="G2156" t="s">
        <v>31</v>
      </c>
      <c r="I2156" t="s">
        <v>1547</v>
      </c>
      <c r="J2156" t="s">
        <v>1548</v>
      </c>
      <c r="K2156" t="s">
        <v>39</v>
      </c>
      <c r="L2156" t="s">
        <v>30</v>
      </c>
      <c r="M2156" t="s">
        <v>31</v>
      </c>
      <c r="N2156" t="s">
        <v>196</v>
      </c>
      <c r="Q2156" s="4">
        <v>1</v>
      </c>
    </row>
    <row r="2157" spans="1:17" x14ac:dyDescent="0.55000000000000004">
      <c r="A2157" t="s">
        <v>5278</v>
      </c>
      <c r="C2157" t="s">
        <v>28</v>
      </c>
      <c r="E2157" t="s">
        <v>29</v>
      </c>
      <c r="F2157" t="s">
        <v>30</v>
      </c>
      <c r="G2157" t="s">
        <v>31</v>
      </c>
      <c r="I2157" t="s">
        <v>1552</v>
      </c>
      <c r="J2157" t="s">
        <v>1553</v>
      </c>
      <c r="K2157" t="s">
        <v>39</v>
      </c>
      <c r="L2157" t="s">
        <v>30</v>
      </c>
      <c r="M2157" t="s">
        <v>31</v>
      </c>
      <c r="N2157" t="s">
        <v>196</v>
      </c>
      <c r="Q2157" s="4">
        <v>1</v>
      </c>
    </row>
    <row r="2158" spans="1:17" x14ac:dyDescent="0.55000000000000004">
      <c r="A2158" t="s">
        <v>5279</v>
      </c>
      <c r="C2158" t="s">
        <v>28</v>
      </c>
      <c r="E2158" t="s">
        <v>29</v>
      </c>
      <c r="F2158" t="s">
        <v>30</v>
      </c>
      <c r="G2158" t="s">
        <v>31</v>
      </c>
      <c r="I2158" t="s">
        <v>1557</v>
      </c>
      <c r="J2158" t="s">
        <v>1558</v>
      </c>
      <c r="K2158" t="s">
        <v>39</v>
      </c>
      <c r="L2158" t="s">
        <v>30</v>
      </c>
      <c r="M2158" t="s">
        <v>31</v>
      </c>
      <c r="N2158" t="s">
        <v>196</v>
      </c>
      <c r="Q2158" s="4">
        <v>1</v>
      </c>
    </row>
    <row r="2159" spans="1:17" x14ac:dyDescent="0.55000000000000004">
      <c r="A2159" t="s">
        <v>5280</v>
      </c>
      <c r="C2159" t="s">
        <v>28</v>
      </c>
      <c r="E2159" t="s">
        <v>29</v>
      </c>
      <c r="F2159" t="s">
        <v>30</v>
      </c>
      <c r="G2159" t="s">
        <v>31</v>
      </c>
      <c r="I2159" t="s">
        <v>1562</v>
      </c>
      <c r="J2159" t="s">
        <v>1563</v>
      </c>
      <c r="K2159" t="s">
        <v>39</v>
      </c>
      <c r="L2159" t="s">
        <v>30</v>
      </c>
      <c r="M2159" t="s">
        <v>31</v>
      </c>
      <c r="N2159" t="s">
        <v>196</v>
      </c>
      <c r="Q2159" s="4">
        <v>1</v>
      </c>
    </row>
    <row r="2160" spans="1:17" x14ac:dyDescent="0.55000000000000004">
      <c r="A2160" t="s">
        <v>5281</v>
      </c>
      <c r="C2160" t="s">
        <v>28</v>
      </c>
      <c r="E2160" t="s">
        <v>29</v>
      </c>
      <c r="F2160" t="s">
        <v>30</v>
      </c>
      <c r="G2160" t="s">
        <v>31</v>
      </c>
      <c r="I2160" t="s">
        <v>1567</v>
      </c>
      <c r="J2160" t="s">
        <v>1568</v>
      </c>
      <c r="K2160" t="s">
        <v>39</v>
      </c>
      <c r="L2160" t="s">
        <v>30</v>
      </c>
      <c r="M2160" t="s">
        <v>31</v>
      </c>
      <c r="N2160" t="s">
        <v>196</v>
      </c>
      <c r="Q2160" s="4">
        <v>1</v>
      </c>
    </row>
    <row r="2161" spans="1:17" x14ac:dyDescent="0.55000000000000004">
      <c r="A2161" t="s">
        <v>5282</v>
      </c>
      <c r="C2161" t="s">
        <v>28</v>
      </c>
      <c r="E2161" t="s">
        <v>29</v>
      </c>
      <c r="F2161" t="s">
        <v>30</v>
      </c>
      <c r="G2161" t="s">
        <v>31</v>
      </c>
      <c r="I2161" t="s">
        <v>1572</v>
      </c>
      <c r="J2161" t="s">
        <v>1573</v>
      </c>
      <c r="K2161" t="s">
        <v>39</v>
      </c>
      <c r="L2161" t="s">
        <v>30</v>
      </c>
      <c r="M2161" t="s">
        <v>31</v>
      </c>
      <c r="N2161" t="s">
        <v>196</v>
      </c>
      <c r="Q2161" s="4">
        <v>1</v>
      </c>
    </row>
    <row r="2162" spans="1:17" x14ac:dyDescent="0.55000000000000004">
      <c r="A2162" t="s">
        <v>5283</v>
      </c>
      <c r="C2162" t="s">
        <v>28</v>
      </c>
      <c r="E2162" t="s">
        <v>29</v>
      </c>
      <c r="F2162" t="s">
        <v>30</v>
      </c>
      <c r="G2162" t="s">
        <v>31</v>
      </c>
      <c r="I2162" t="s">
        <v>1577</v>
      </c>
      <c r="J2162" t="s">
        <v>1578</v>
      </c>
      <c r="K2162" t="s">
        <v>39</v>
      </c>
      <c r="L2162" t="s">
        <v>30</v>
      </c>
      <c r="M2162" t="s">
        <v>31</v>
      </c>
      <c r="N2162" t="s">
        <v>196</v>
      </c>
      <c r="Q2162" s="4">
        <v>1</v>
      </c>
    </row>
    <row r="2163" spans="1:17" x14ac:dyDescent="0.55000000000000004">
      <c r="A2163" t="s">
        <v>5284</v>
      </c>
      <c r="C2163" t="s">
        <v>28</v>
      </c>
      <c r="E2163" t="s">
        <v>29</v>
      </c>
      <c r="F2163" t="s">
        <v>30</v>
      </c>
      <c r="G2163" t="s">
        <v>31</v>
      </c>
      <c r="I2163" t="s">
        <v>1582</v>
      </c>
      <c r="J2163" t="s">
        <v>1583</v>
      </c>
      <c r="K2163" t="s">
        <v>39</v>
      </c>
      <c r="L2163" t="s">
        <v>30</v>
      </c>
      <c r="M2163" t="s">
        <v>31</v>
      </c>
      <c r="N2163" t="s">
        <v>196</v>
      </c>
      <c r="Q2163" s="4">
        <v>1</v>
      </c>
    </row>
    <row r="2164" spans="1:17" x14ac:dyDescent="0.55000000000000004">
      <c r="A2164" t="s">
        <v>5285</v>
      </c>
      <c r="C2164" t="s">
        <v>28</v>
      </c>
      <c r="E2164" t="s">
        <v>29</v>
      </c>
      <c r="F2164" t="s">
        <v>30</v>
      </c>
      <c r="G2164" t="s">
        <v>31</v>
      </c>
      <c r="I2164" t="s">
        <v>1587</v>
      </c>
      <c r="J2164" t="s">
        <v>1588</v>
      </c>
      <c r="K2164" t="s">
        <v>39</v>
      </c>
      <c r="L2164" t="s">
        <v>30</v>
      </c>
      <c r="M2164" t="s">
        <v>31</v>
      </c>
      <c r="N2164" t="s">
        <v>196</v>
      </c>
      <c r="Q2164" s="4">
        <v>1</v>
      </c>
    </row>
    <row r="2165" spans="1:17" x14ac:dyDescent="0.55000000000000004">
      <c r="A2165" t="s">
        <v>5286</v>
      </c>
      <c r="C2165" t="s">
        <v>28</v>
      </c>
      <c r="E2165" t="s">
        <v>29</v>
      </c>
      <c r="F2165" t="s">
        <v>30</v>
      </c>
      <c r="G2165" t="s">
        <v>31</v>
      </c>
      <c r="I2165" t="s">
        <v>1592</v>
      </c>
      <c r="J2165" t="s">
        <v>1593</v>
      </c>
      <c r="K2165" t="s">
        <v>39</v>
      </c>
      <c r="L2165" t="s">
        <v>30</v>
      </c>
      <c r="M2165" t="s">
        <v>31</v>
      </c>
      <c r="N2165" t="s">
        <v>196</v>
      </c>
      <c r="Q2165" s="4">
        <v>1</v>
      </c>
    </row>
    <row r="2166" spans="1:17" x14ac:dyDescent="0.55000000000000004">
      <c r="A2166" t="s">
        <v>5287</v>
      </c>
      <c r="C2166" t="s">
        <v>28</v>
      </c>
      <c r="E2166" t="s">
        <v>29</v>
      </c>
      <c r="F2166" t="s">
        <v>30</v>
      </c>
      <c r="G2166" t="s">
        <v>31</v>
      </c>
      <c r="I2166" t="s">
        <v>1597</v>
      </c>
      <c r="J2166" t="s">
        <v>1598</v>
      </c>
      <c r="K2166" t="s">
        <v>39</v>
      </c>
      <c r="L2166" t="s">
        <v>30</v>
      </c>
      <c r="M2166" t="s">
        <v>31</v>
      </c>
      <c r="N2166" t="s">
        <v>196</v>
      </c>
      <c r="Q2166" s="4">
        <v>1</v>
      </c>
    </row>
    <row r="2167" spans="1:17" x14ac:dyDescent="0.55000000000000004">
      <c r="A2167" t="s">
        <v>5288</v>
      </c>
      <c r="C2167" t="s">
        <v>28</v>
      </c>
      <c r="E2167" t="s">
        <v>29</v>
      </c>
      <c r="F2167" t="s">
        <v>30</v>
      </c>
      <c r="G2167" t="s">
        <v>31</v>
      </c>
      <c r="I2167" t="s">
        <v>1604</v>
      </c>
      <c r="J2167" t="s">
        <v>1605</v>
      </c>
      <c r="K2167" t="s">
        <v>39</v>
      </c>
      <c r="L2167" t="s">
        <v>30</v>
      </c>
      <c r="M2167" t="s">
        <v>31</v>
      </c>
      <c r="N2167" t="s">
        <v>196</v>
      </c>
      <c r="Q2167" s="4">
        <v>1</v>
      </c>
    </row>
    <row r="2168" spans="1:17" x14ac:dyDescent="0.55000000000000004">
      <c r="A2168" t="s">
        <v>5289</v>
      </c>
      <c r="C2168" t="s">
        <v>28</v>
      </c>
      <c r="E2168" t="s">
        <v>29</v>
      </c>
      <c r="F2168" t="s">
        <v>30</v>
      </c>
      <c r="G2168" t="s">
        <v>31</v>
      </c>
      <c r="I2168" t="s">
        <v>1609</v>
      </c>
      <c r="J2168" t="s">
        <v>1610</v>
      </c>
      <c r="K2168" t="s">
        <v>39</v>
      </c>
      <c r="L2168" t="s">
        <v>30</v>
      </c>
      <c r="M2168" t="s">
        <v>31</v>
      </c>
      <c r="N2168" t="s">
        <v>196</v>
      </c>
      <c r="Q2168" s="4">
        <v>1</v>
      </c>
    </row>
    <row r="2169" spans="1:17" x14ac:dyDescent="0.55000000000000004">
      <c r="A2169" t="s">
        <v>5290</v>
      </c>
      <c r="C2169" t="s">
        <v>28</v>
      </c>
      <c r="E2169" t="s">
        <v>29</v>
      </c>
      <c r="F2169" t="s">
        <v>30</v>
      </c>
      <c r="G2169" t="s">
        <v>31</v>
      </c>
      <c r="I2169" t="s">
        <v>1614</v>
      </c>
      <c r="J2169" t="s">
        <v>1615</v>
      </c>
      <c r="K2169" t="s">
        <v>39</v>
      </c>
      <c r="L2169" t="s">
        <v>30</v>
      </c>
      <c r="M2169" t="s">
        <v>31</v>
      </c>
      <c r="N2169" t="s">
        <v>196</v>
      </c>
      <c r="Q2169" s="4">
        <v>1</v>
      </c>
    </row>
    <row r="2170" spans="1:17" x14ac:dyDescent="0.55000000000000004">
      <c r="A2170" t="s">
        <v>5291</v>
      </c>
      <c r="C2170" t="s">
        <v>28</v>
      </c>
      <c r="E2170" t="s">
        <v>29</v>
      </c>
      <c r="F2170" t="s">
        <v>30</v>
      </c>
      <c r="G2170" t="s">
        <v>31</v>
      </c>
      <c r="I2170" t="s">
        <v>1619</v>
      </c>
      <c r="J2170" t="s">
        <v>1620</v>
      </c>
      <c r="K2170" t="s">
        <v>39</v>
      </c>
      <c r="L2170" t="s">
        <v>30</v>
      </c>
      <c r="M2170" t="s">
        <v>31</v>
      </c>
      <c r="N2170" t="s">
        <v>196</v>
      </c>
      <c r="Q2170" s="4">
        <v>1</v>
      </c>
    </row>
    <row r="2171" spans="1:17" x14ac:dyDescent="0.55000000000000004">
      <c r="A2171" t="s">
        <v>5292</v>
      </c>
      <c r="C2171" t="s">
        <v>28</v>
      </c>
      <c r="E2171" t="s">
        <v>29</v>
      </c>
      <c r="F2171" t="s">
        <v>30</v>
      </c>
      <c r="G2171" t="s">
        <v>31</v>
      </c>
      <c r="I2171" t="s">
        <v>1624</v>
      </c>
      <c r="J2171" t="s">
        <v>1625</v>
      </c>
      <c r="K2171" t="s">
        <v>39</v>
      </c>
      <c r="L2171" t="s">
        <v>30</v>
      </c>
      <c r="M2171" t="s">
        <v>31</v>
      </c>
      <c r="N2171" t="s">
        <v>196</v>
      </c>
      <c r="Q2171" s="4">
        <v>1</v>
      </c>
    </row>
    <row r="2172" spans="1:17" x14ac:dyDescent="0.55000000000000004">
      <c r="A2172" t="s">
        <v>5293</v>
      </c>
      <c r="C2172" t="s">
        <v>28</v>
      </c>
      <c r="E2172" t="s">
        <v>29</v>
      </c>
      <c r="F2172" t="s">
        <v>30</v>
      </c>
      <c r="G2172" t="s">
        <v>31</v>
      </c>
      <c r="I2172" t="s">
        <v>1629</v>
      </c>
      <c r="J2172" t="s">
        <v>1630</v>
      </c>
      <c r="K2172" t="s">
        <v>39</v>
      </c>
      <c r="L2172" t="s">
        <v>30</v>
      </c>
      <c r="M2172" t="s">
        <v>31</v>
      </c>
      <c r="N2172" t="s">
        <v>196</v>
      </c>
      <c r="Q2172" s="4">
        <v>1</v>
      </c>
    </row>
    <row r="2173" spans="1:17" x14ac:dyDescent="0.55000000000000004">
      <c r="A2173" t="s">
        <v>5294</v>
      </c>
      <c r="C2173" t="s">
        <v>28</v>
      </c>
      <c r="E2173" t="s">
        <v>29</v>
      </c>
      <c r="F2173" t="s">
        <v>30</v>
      </c>
      <c r="G2173" t="s">
        <v>31</v>
      </c>
      <c r="I2173" t="s">
        <v>1634</v>
      </c>
      <c r="J2173" t="s">
        <v>1635</v>
      </c>
      <c r="K2173" t="s">
        <v>39</v>
      </c>
      <c r="L2173" t="s">
        <v>30</v>
      </c>
      <c r="M2173" t="s">
        <v>31</v>
      </c>
      <c r="N2173" t="s">
        <v>196</v>
      </c>
      <c r="Q2173" s="4">
        <v>1</v>
      </c>
    </row>
    <row r="2174" spans="1:17" x14ac:dyDescent="0.55000000000000004">
      <c r="A2174" t="s">
        <v>5295</v>
      </c>
      <c r="C2174" t="s">
        <v>28</v>
      </c>
      <c r="E2174" t="s">
        <v>29</v>
      </c>
      <c r="F2174" t="s">
        <v>30</v>
      </c>
      <c r="G2174" t="s">
        <v>31</v>
      </c>
      <c r="I2174" t="s">
        <v>1639</v>
      </c>
      <c r="J2174" t="s">
        <v>1640</v>
      </c>
      <c r="K2174" t="s">
        <v>39</v>
      </c>
      <c r="L2174" t="s">
        <v>30</v>
      </c>
      <c r="M2174" t="s">
        <v>31</v>
      </c>
      <c r="N2174" t="s">
        <v>196</v>
      </c>
      <c r="Q2174" s="4">
        <v>1</v>
      </c>
    </row>
    <row r="2175" spans="1:17" x14ac:dyDescent="0.55000000000000004">
      <c r="A2175" t="s">
        <v>5296</v>
      </c>
      <c r="C2175" t="s">
        <v>28</v>
      </c>
      <c r="E2175" t="s">
        <v>29</v>
      </c>
      <c r="F2175" t="s">
        <v>30</v>
      </c>
      <c r="G2175" t="s">
        <v>31</v>
      </c>
      <c r="I2175" t="s">
        <v>1644</v>
      </c>
      <c r="J2175" t="s">
        <v>1645</v>
      </c>
      <c r="K2175" t="s">
        <v>39</v>
      </c>
      <c r="L2175" t="s">
        <v>30</v>
      </c>
      <c r="M2175" t="s">
        <v>31</v>
      </c>
      <c r="N2175" t="s">
        <v>196</v>
      </c>
      <c r="Q2175" s="4">
        <v>1</v>
      </c>
    </row>
    <row r="2176" spans="1:17" x14ac:dyDescent="0.55000000000000004">
      <c r="A2176" t="s">
        <v>5297</v>
      </c>
      <c r="C2176" t="s">
        <v>28</v>
      </c>
      <c r="E2176" t="s">
        <v>29</v>
      </c>
      <c r="F2176" t="s">
        <v>30</v>
      </c>
      <c r="G2176" t="s">
        <v>31</v>
      </c>
      <c r="I2176" t="s">
        <v>1649</v>
      </c>
      <c r="J2176" t="s">
        <v>1650</v>
      </c>
      <c r="K2176" t="s">
        <v>39</v>
      </c>
      <c r="L2176" t="s">
        <v>30</v>
      </c>
      <c r="M2176" t="s">
        <v>31</v>
      </c>
      <c r="N2176" t="s">
        <v>196</v>
      </c>
      <c r="Q2176" s="4">
        <v>1</v>
      </c>
    </row>
    <row r="2177" spans="1:17" x14ac:dyDescent="0.55000000000000004">
      <c r="A2177" t="s">
        <v>5298</v>
      </c>
      <c r="C2177" t="s">
        <v>28</v>
      </c>
      <c r="E2177" t="s">
        <v>29</v>
      </c>
      <c r="F2177" t="s">
        <v>30</v>
      </c>
      <c r="G2177" t="s">
        <v>31</v>
      </c>
      <c r="I2177" t="s">
        <v>1654</v>
      </c>
      <c r="J2177" t="s">
        <v>1655</v>
      </c>
      <c r="K2177" t="s">
        <v>39</v>
      </c>
      <c r="L2177" t="s">
        <v>30</v>
      </c>
      <c r="M2177" t="s">
        <v>31</v>
      </c>
      <c r="N2177" t="s">
        <v>196</v>
      </c>
      <c r="Q2177" s="4">
        <v>1</v>
      </c>
    </row>
    <row r="2178" spans="1:17" x14ac:dyDescent="0.55000000000000004">
      <c r="A2178" t="s">
        <v>5299</v>
      </c>
      <c r="C2178" t="s">
        <v>28</v>
      </c>
      <c r="E2178" t="s">
        <v>29</v>
      </c>
      <c r="F2178" t="s">
        <v>30</v>
      </c>
      <c r="G2178" t="s">
        <v>31</v>
      </c>
      <c r="I2178" t="s">
        <v>1659</v>
      </c>
      <c r="J2178" t="s">
        <v>1660</v>
      </c>
      <c r="K2178" t="s">
        <v>39</v>
      </c>
      <c r="L2178" t="s">
        <v>30</v>
      </c>
      <c r="M2178" t="s">
        <v>31</v>
      </c>
      <c r="N2178" t="s">
        <v>196</v>
      </c>
      <c r="Q2178" s="4">
        <v>1</v>
      </c>
    </row>
    <row r="2179" spans="1:17" x14ac:dyDescent="0.55000000000000004">
      <c r="A2179" t="s">
        <v>5300</v>
      </c>
      <c r="C2179" t="s">
        <v>28</v>
      </c>
      <c r="E2179" t="s">
        <v>29</v>
      </c>
      <c r="F2179" t="s">
        <v>30</v>
      </c>
      <c r="G2179" t="s">
        <v>31</v>
      </c>
      <c r="I2179" t="s">
        <v>1664</v>
      </c>
      <c r="J2179" t="s">
        <v>1665</v>
      </c>
      <c r="K2179" t="s">
        <v>39</v>
      </c>
      <c r="L2179" t="s">
        <v>30</v>
      </c>
      <c r="M2179" t="s">
        <v>31</v>
      </c>
      <c r="N2179" t="s">
        <v>196</v>
      </c>
      <c r="Q2179" s="4">
        <v>1</v>
      </c>
    </row>
    <row r="2180" spans="1:17" x14ac:dyDescent="0.55000000000000004">
      <c r="A2180" t="s">
        <v>5301</v>
      </c>
      <c r="C2180" t="s">
        <v>28</v>
      </c>
      <c r="E2180" t="s">
        <v>29</v>
      </c>
      <c r="F2180" t="s">
        <v>30</v>
      </c>
      <c r="G2180" t="s">
        <v>31</v>
      </c>
      <c r="I2180" t="s">
        <v>1669</v>
      </c>
      <c r="J2180" t="s">
        <v>1670</v>
      </c>
      <c r="K2180" t="s">
        <v>39</v>
      </c>
      <c r="L2180" t="s">
        <v>30</v>
      </c>
      <c r="M2180" t="s">
        <v>31</v>
      </c>
      <c r="N2180" t="s">
        <v>196</v>
      </c>
      <c r="Q2180" s="4">
        <v>1</v>
      </c>
    </row>
    <row r="2181" spans="1:17" x14ac:dyDescent="0.55000000000000004">
      <c r="A2181" t="s">
        <v>5302</v>
      </c>
      <c r="C2181" t="s">
        <v>28</v>
      </c>
      <c r="E2181" t="s">
        <v>29</v>
      </c>
      <c r="F2181" t="s">
        <v>30</v>
      </c>
      <c r="G2181" t="s">
        <v>31</v>
      </c>
      <c r="I2181" t="s">
        <v>1674</v>
      </c>
      <c r="J2181" t="s">
        <v>1675</v>
      </c>
      <c r="K2181" t="s">
        <v>39</v>
      </c>
      <c r="L2181" t="s">
        <v>30</v>
      </c>
      <c r="M2181" t="s">
        <v>31</v>
      </c>
      <c r="N2181" t="s">
        <v>196</v>
      </c>
      <c r="Q2181" s="4">
        <v>1</v>
      </c>
    </row>
    <row r="2182" spans="1:17" x14ac:dyDescent="0.55000000000000004">
      <c r="A2182" t="s">
        <v>5303</v>
      </c>
      <c r="C2182" t="s">
        <v>28</v>
      </c>
      <c r="E2182" t="s">
        <v>29</v>
      </c>
      <c r="F2182" t="s">
        <v>30</v>
      </c>
      <c r="G2182" t="s">
        <v>31</v>
      </c>
      <c r="I2182" t="s">
        <v>1680</v>
      </c>
      <c r="J2182" t="s">
        <v>1681</v>
      </c>
      <c r="K2182" t="s">
        <v>39</v>
      </c>
      <c r="L2182" t="s">
        <v>30</v>
      </c>
      <c r="M2182" t="s">
        <v>31</v>
      </c>
      <c r="N2182" t="s">
        <v>196</v>
      </c>
      <c r="Q2182" s="4">
        <v>1</v>
      </c>
    </row>
    <row r="2183" spans="1:17" x14ac:dyDescent="0.55000000000000004">
      <c r="A2183" t="s">
        <v>5304</v>
      </c>
      <c r="C2183" t="s">
        <v>28</v>
      </c>
      <c r="E2183" t="s">
        <v>29</v>
      </c>
      <c r="F2183" t="s">
        <v>30</v>
      </c>
      <c r="G2183" t="s">
        <v>31</v>
      </c>
      <c r="I2183" t="s">
        <v>1686</v>
      </c>
      <c r="J2183" t="s">
        <v>1687</v>
      </c>
      <c r="K2183" t="s">
        <v>39</v>
      </c>
      <c r="L2183" t="s">
        <v>30</v>
      </c>
      <c r="M2183" t="s">
        <v>31</v>
      </c>
      <c r="N2183" t="s">
        <v>196</v>
      </c>
      <c r="Q2183" s="4">
        <v>1</v>
      </c>
    </row>
    <row r="2184" spans="1:17" x14ac:dyDescent="0.55000000000000004">
      <c r="A2184" t="s">
        <v>5305</v>
      </c>
      <c r="C2184" t="s">
        <v>28</v>
      </c>
      <c r="E2184" t="s">
        <v>29</v>
      </c>
      <c r="F2184" t="s">
        <v>30</v>
      </c>
      <c r="G2184" t="s">
        <v>31</v>
      </c>
      <c r="I2184" t="s">
        <v>1692</v>
      </c>
      <c r="J2184" t="s">
        <v>1693</v>
      </c>
      <c r="K2184" t="s">
        <v>39</v>
      </c>
      <c r="L2184" t="s">
        <v>30</v>
      </c>
      <c r="M2184" t="s">
        <v>31</v>
      </c>
      <c r="N2184" t="s">
        <v>196</v>
      </c>
      <c r="Q2184" s="4">
        <v>1</v>
      </c>
    </row>
    <row r="2185" spans="1:17" x14ac:dyDescent="0.55000000000000004">
      <c r="A2185" t="s">
        <v>5306</v>
      </c>
      <c r="C2185" t="s">
        <v>28</v>
      </c>
      <c r="E2185" t="s">
        <v>29</v>
      </c>
      <c r="F2185" t="s">
        <v>30</v>
      </c>
      <c r="G2185" t="s">
        <v>31</v>
      </c>
      <c r="I2185" t="s">
        <v>1698</v>
      </c>
      <c r="J2185" t="s">
        <v>1699</v>
      </c>
      <c r="K2185" t="s">
        <v>39</v>
      </c>
      <c r="L2185" t="s">
        <v>30</v>
      </c>
      <c r="M2185" t="s">
        <v>31</v>
      </c>
      <c r="N2185" t="s">
        <v>196</v>
      </c>
      <c r="Q2185" s="4">
        <v>1</v>
      </c>
    </row>
    <row r="2186" spans="1:17" x14ac:dyDescent="0.55000000000000004">
      <c r="A2186" t="s">
        <v>5307</v>
      </c>
      <c r="C2186" t="s">
        <v>28</v>
      </c>
      <c r="E2186" t="s">
        <v>29</v>
      </c>
      <c r="F2186" t="s">
        <v>30</v>
      </c>
      <c r="G2186" t="s">
        <v>31</v>
      </c>
      <c r="I2186" t="s">
        <v>1704</v>
      </c>
      <c r="J2186" t="s">
        <v>1705</v>
      </c>
      <c r="K2186" t="s">
        <v>39</v>
      </c>
      <c r="L2186" t="s">
        <v>30</v>
      </c>
      <c r="M2186" t="s">
        <v>31</v>
      </c>
      <c r="N2186" t="s">
        <v>196</v>
      </c>
      <c r="Q2186" s="4">
        <v>1</v>
      </c>
    </row>
    <row r="2187" spans="1:17" x14ac:dyDescent="0.55000000000000004">
      <c r="A2187" t="s">
        <v>5308</v>
      </c>
      <c r="C2187" t="s">
        <v>28</v>
      </c>
      <c r="E2187" t="s">
        <v>29</v>
      </c>
      <c r="F2187" t="s">
        <v>30</v>
      </c>
      <c r="G2187" t="s">
        <v>31</v>
      </c>
      <c r="I2187" t="s">
        <v>1710</v>
      </c>
      <c r="J2187" t="s">
        <v>1711</v>
      </c>
      <c r="K2187" t="s">
        <v>39</v>
      </c>
      <c r="L2187" t="s">
        <v>30</v>
      </c>
      <c r="M2187" t="s">
        <v>31</v>
      </c>
      <c r="N2187" t="s">
        <v>196</v>
      </c>
      <c r="Q2187" s="4">
        <v>1</v>
      </c>
    </row>
    <row r="2188" spans="1:17" x14ac:dyDescent="0.55000000000000004">
      <c r="A2188" t="s">
        <v>5309</v>
      </c>
      <c r="C2188" t="s">
        <v>28</v>
      </c>
      <c r="E2188" t="s">
        <v>29</v>
      </c>
      <c r="F2188" t="s">
        <v>30</v>
      </c>
      <c r="G2188" t="s">
        <v>31</v>
      </c>
      <c r="I2188" t="s">
        <v>1716</v>
      </c>
      <c r="J2188" t="s">
        <v>1717</v>
      </c>
      <c r="K2188" t="s">
        <v>39</v>
      </c>
      <c r="L2188" t="s">
        <v>30</v>
      </c>
      <c r="M2188" t="s">
        <v>31</v>
      </c>
      <c r="N2188" t="s">
        <v>196</v>
      </c>
      <c r="Q2188" s="4">
        <v>1</v>
      </c>
    </row>
    <row r="2189" spans="1:17" x14ac:dyDescent="0.55000000000000004">
      <c r="A2189" t="s">
        <v>5310</v>
      </c>
      <c r="C2189" t="s">
        <v>28</v>
      </c>
      <c r="E2189" t="s">
        <v>29</v>
      </c>
      <c r="F2189" t="s">
        <v>30</v>
      </c>
      <c r="G2189" t="s">
        <v>31</v>
      </c>
      <c r="I2189" t="s">
        <v>1722</v>
      </c>
      <c r="J2189" t="s">
        <v>1723</v>
      </c>
      <c r="K2189" t="s">
        <v>39</v>
      </c>
      <c r="L2189" t="s">
        <v>30</v>
      </c>
      <c r="M2189" t="s">
        <v>31</v>
      </c>
      <c r="N2189" t="s">
        <v>196</v>
      </c>
      <c r="Q2189" s="4">
        <v>1</v>
      </c>
    </row>
    <row r="2190" spans="1:17" x14ac:dyDescent="0.55000000000000004">
      <c r="A2190" t="s">
        <v>5311</v>
      </c>
      <c r="C2190" t="s">
        <v>28</v>
      </c>
      <c r="E2190" t="s">
        <v>29</v>
      </c>
      <c r="F2190" t="s">
        <v>30</v>
      </c>
      <c r="G2190" t="s">
        <v>31</v>
      </c>
      <c r="I2190" t="s">
        <v>1728</v>
      </c>
      <c r="J2190" t="s">
        <v>1729</v>
      </c>
      <c r="K2190" t="s">
        <v>39</v>
      </c>
      <c r="L2190" t="s">
        <v>30</v>
      </c>
      <c r="M2190" t="s">
        <v>31</v>
      </c>
      <c r="N2190" t="s">
        <v>196</v>
      </c>
      <c r="Q2190" s="4">
        <v>1</v>
      </c>
    </row>
    <row r="2191" spans="1:17" x14ac:dyDescent="0.55000000000000004">
      <c r="A2191" t="s">
        <v>5312</v>
      </c>
      <c r="C2191" t="s">
        <v>28</v>
      </c>
      <c r="E2191" t="s">
        <v>29</v>
      </c>
      <c r="F2191" t="s">
        <v>30</v>
      </c>
      <c r="G2191" t="s">
        <v>31</v>
      </c>
      <c r="I2191" t="s">
        <v>1734</v>
      </c>
      <c r="J2191" t="s">
        <v>1735</v>
      </c>
      <c r="K2191" t="s">
        <v>39</v>
      </c>
      <c r="L2191" t="s">
        <v>30</v>
      </c>
      <c r="M2191" t="s">
        <v>31</v>
      </c>
      <c r="N2191" t="s">
        <v>196</v>
      </c>
      <c r="Q2191" s="4">
        <v>1</v>
      </c>
    </row>
    <row r="2192" spans="1:17" x14ac:dyDescent="0.55000000000000004">
      <c r="A2192" t="s">
        <v>5313</v>
      </c>
      <c r="C2192" t="s">
        <v>28</v>
      </c>
      <c r="E2192" t="s">
        <v>29</v>
      </c>
      <c r="F2192" t="s">
        <v>30</v>
      </c>
      <c r="G2192" t="s">
        <v>31</v>
      </c>
      <c r="I2192" t="s">
        <v>1740</v>
      </c>
      <c r="J2192" t="s">
        <v>1741</v>
      </c>
      <c r="K2192" t="s">
        <v>39</v>
      </c>
      <c r="L2192" t="s">
        <v>30</v>
      </c>
      <c r="M2192" t="s">
        <v>31</v>
      </c>
      <c r="N2192" t="s">
        <v>196</v>
      </c>
      <c r="Q2192" s="4">
        <v>1</v>
      </c>
    </row>
    <row r="2193" spans="1:17" x14ac:dyDescent="0.55000000000000004">
      <c r="A2193" t="s">
        <v>5314</v>
      </c>
      <c r="C2193" t="s">
        <v>28</v>
      </c>
      <c r="E2193" t="s">
        <v>29</v>
      </c>
      <c r="F2193" t="s">
        <v>30</v>
      </c>
      <c r="G2193" t="s">
        <v>31</v>
      </c>
      <c r="I2193" t="s">
        <v>1746</v>
      </c>
      <c r="J2193" t="s">
        <v>1747</v>
      </c>
      <c r="K2193" t="s">
        <v>39</v>
      </c>
      <c r="L2193" t="s">
        <v>30</v>
      </c>
      <c r="M2193" t="s">
        <v>31</v>
      </c>
      <c r="N2193" t="s">
        <v>196</v>
      </c>
      <c r="Q2193" s="4">
        <v>1</v>
      </c>
    </row>
    <row r="2194" spans="1:17" x14ac:dyDescent="0.55000000000000004">
      <c r="A2194" t="s">
        <v>5315</v>
      </c>
      <c r="C2194" t="s">
        <v>28</v>
      </c>
      <c r="E2194" t="s">
        <v>29</v>
      </c>
      <c r="F2194" t="s">
        <v>30</v>
      </c>
      <c r="G2194" t="s">
        <v>31</v>
      </c>
      <c r="I2194" t="s">
        <v>1752</v>
      </c>
      <c r="J2194" t="s">
        <v>1753</v>
      </c>
      <c r="K2194" t="s">
        <v>39</v>
      </c>
      <c r="L2194" t="s">
        <v>30</v>
      </c>
      <c r="M2194" t="s">
        <v>31</v>
      </c>
      <c r="N2194" t="s">
        <v>196</v>
      </c>
      <c r="Q2194" s="4">
        <v>1</v>
      </c>
    </row>
    <row r="2195" spans="1:17" x14ac:dyDescent="0.55000000000000004">
      <c r="A2195" t="s">
        <v>5316</v>
      </c>
      <c r="C2195" t="s">
        <v>28</v>
      </c>
      <c r="E2195" t="s">
        <v>29</v>
      </c>
      <c r="F2195" t="s">
        <v>30</v>
      </c>
      <c r="G2195" t="s">
        <v>31</v>
      </c>
      <c r="I2195" t="s">
        <v>1758</v>
      </c>
      <c r="J2195" t="s">
        <v>1759</v>
      </c>
      <c r="K2195" t="s">
        <v>39</v>
      </c>
      <c r="L2195" t="s">
        <v>30</v>
      </c>
      <c r="M2195" t="s">
        <v>31</v>
      </c>
      <c r="N2195" t="s">
        <v>196</v>
      </c>
      <c r="Q2195" s="4">
        <v>1</v>
      </c>
    </row>
    <row r="2196" spans="1:17" x14ac:dyDescent="0.55000000000000004">
      <c r="A2196" t="s">
        <v>5317</v>
      </c>
      <c r="C2196" t="s">
        <v>28</v>
      </c>
      <c r="E2196" t="s">
        <v>29</v>
      </c>
      <c r="F2196" t="s">
        <v>30</v>
      </c>
      <c r="G2196" t="s">
        <v>31</v>
      </c>
      <c r="I2196" t="s">
        <v>1764</v>
      </c>
      <c r="J2196" t="s">
        <v>1765</v>
      </c>
      <c r="K2196" t="s">
        <v>39</v>
      </c>
      <c r="L2196" t="s">
        <v>30</v>
      </c>
      <c r="M2196" t="s">
        <v>31</v>
      </c>
      <c r="N2196" t="s">
        <v>196</v>
      </c>
      <c r="Q2196" s="4">
        <v>1</v>
      </c>
    </row>
    <row r="2197" spans="1:17" x14ac:dyDescent="0.55000000000000004">
      <c r="A2197" t="s">
        <v>5318</v>
      </c>
      <c r="C2197" t="s">
        <v>28</v>
      </c>
      <c r="E2197" t="s">
        <v>29</v>
      </c>
      <c r="F2197" t="s">
        <v>30</v>
      </c>
      <c r="G2197" t="s">
        <v>31</v>
      </c>
      <c r="I2197" t="s">
        <v>1770</v>
      </c>
      <c r="J2197" t="s">
        <v>1771</v>
      </c>
      <c r="K2197" t="s">
        <v>39</v>
      </c>
      <c r="L2197" t="s">
        <v>30</v>
      </c>
      <c r="M2197" t="s">
        <v>31</v>
      </c>
      <c r="N2197" t="s">
        <v>196</v>
      </c>
      <c r="Q2197" s="4">
        <v>1</v>
      </c>
    </row>
    <row r="2198" spans="1:17" x14ac:dyDescent="0.55000000000000004">
      <c r="A2198" t="s">
        <v>5319</v>
      </c>
      <c r="C2198" t="s">
        <v>28</v>
      </c>
      <c r="E2198" t="s">
        <v>29</v>
      </c>
      <c r="F2198" t="s">
        <v>30</v>
      </c>
      <c r="G2198" t="s">
        <v>31</v>
      </c>
      <c r="I2198" t="s">
        <v>1776</v>
      </c>
      <c r="J2198" t="s">
        <v>1777</v>
      </c>
      <c r="K2198" t="s">
        <v>39</v>
      </c>
      <c r="L2198" t="s">
        <v>30</v>
      </c>
      <c r="M2198" t="s">
        <v>31</v>
      </c>
      <c r="N2198" t="s">
        <v>196</v>
      </c>
      <c r="Q2198" s="4">
        <v>1</v>
      </c>
    </row>
    <row r="2199" spans="1:17" x14ac:dyDescent="0.55000000000000004">
      <c r="A2199" t="s">
        <v>5320</v>
      </c>
      <c r="C2199" t="s">
        <v>28</v>
      </c>
      <c r="E2199" t="s">
        <v>29</v>
      </c>
      <c r="F2199" t="s">
        <v>30</v>
      </c>
      <c r="G2199" t="s">
        <v>31</v>
      </c>
      <c r="I2199" t="s">
        <v>1782</v>
      </c>
      <c r="J2199" t="s">
        <v>1783</v>
      </c>
      <c r="K2199" t="s">
        <v>39</v>
      </c>
      <c r="L2199" t="s">
        <v>30</v>
      </c>
      <c r="M2199" t="s">
        <v>31</v>
      </c>
      <c r="N2199" t="s">
        <v>196</v>
      </c>
      <c r="Q2199" s="4">
        <v>1</v>
      </c>
    </row>
    <row r="2200" spans="1:17" x14ac:dyDescent="0.55000000000000004">
      <c r="A2200" t="s">
        <v>5321</v>
      </c>
      <c r="C2200" t="s">
        <v>28</v>
      </c>
      <c r="E2200" t="s">
        <v>29</v>
      </c>
      <c r="F2200" t="s">
        <v>30</v>
      </c>
      <c r="G2200" t="s">
        <v>31</v>
      </c>
      <c r="I2200" t="s">
        <v>1788</v>
      </c>
      <c r="J2200" t="s">
        <v>1789</v>
      </c>
      <c r="K2200" t="s">
        <v>39</v>
      </c>
      <c r="L2200" t="s">
        <v>30</v>
      </c>
      <c r="M2200" t="s">
        <v>31</v>
      </c>
      <c r="N2200" t="s">
        <v>196</v>
      </c>
      <c r="Q2200" s="4">
        <v>1</v>
      </c>
    </row>
    <row r="2201" spans="1:17" x14ac:dyDescent="0.55000000000000004">
      <c r="A2201" t="s">
        <v>5322</v>
      </c>
      <c r="C2201" t="s">
        <v>28</v>
      </c>
      <c r="E2201" t="s">
        <v>29</v>
      </c>
      <c r="F2201" t="s">
        <v>30</v>
      </c>
      <c r="G2201" t="s">
        <v>31</v>
      </c>
      <c r="I2201" t="s">
        <v>1794</v>
      </c>
      <c r="J2201" t="s">
        <v>1795</v>
      </c>
      <c r="K2201" t="s">
        <v>39</v>
      </c>
      <c r="L2201" t="s">
        <v>30</v>
      </c>
      <c r="M2201" t="s">
        <v>31</v>
      </c>
      <c r="N2201" t="s">
        <v>196</v>
      </c>
      <c r="Q2201" s="4">
        <v>1</v>
      </c>
    </row>
    <row r="2202" spans="1:17" x14ac:dyDescent="0.55000000000000004">
      <c r="A2202" t="s">
        <v>5323</v>
      </c>
      <c r="C2202" t="s">
        <v>28</v>
      </c>
      <c r="E2202" t="s">
        <v>29</v>
      </c>
      <c r="F2202" t="s">
        <v>30</v>
      </c>
      <c r="G2202" t="s">
        <v>31</v>
      </c>
      <c r="I2202" t="s">
        <v>1800</v>
      </c>
      <c r="J2202" t="s">
        <v>1801</v>
      </c>
      <c r="K2202" t="s">
        <v>39</v>
      </c>
      <c r="L2202" t="s">
        <v>30</v>
      </c>
      <c r="M2202" t="s">
        <v>31</v>
      </c>
      <c r="N2202" t="s">
        <v>196</v>
      </c>
      <c r="Q2202" s="4">
        <v>1</v>
      </c>
    </row>
    <row r="2203" spans="1:17" x14ac:dyDescent="0.55000000000000004">
      <c r="A2203" t="s">
        <v>5324</v>
      </c>
      <c r="C2203" t="s">
        <v>28</v>
      </c>
      <c r="E2203" t="s">
        <v>29</v>
      </c>
      <c r="F2203" t="s">
        <v>30</v>
      </c>
      <c r="G2203" t="s">
        <v>31</v>
      </c>
      <c r="I2203" t="s">
        <v>1806</v>
      </c>
      <c r="J2203" t="s">
        <v>1807</v>
      </c>
      <c r="K2203" t="s">
        <v>39</v>
      </c>
      <c r="L2203" t="s">
        <v>30</v>
      </c>
      <c r="M2203" t="s">
        <v>31</v>
      </c>
      <c r="N2203" t="s">
        <v>196</v>
      </c>
      <c r="Q2203" s="4">
        <v>1</v>
      </c>
    </row>
    <row r="2204" spans="1:17" x14ac:dyDescent="0.55000000000000004">
      <c r="A2204" t="s">
        <v>5325</v>
      </c>
      <c r="C2204" t="s">
        <v>28</v>
      </c>
      <c r="E2204" t="s">
        <v>29</v>
      </c>
      <c r="F2204" t="s">
        <v>30</v>
      </c>
      <c r="G2204" t="s">
        <v>31</v>
      </c>
      <c r="I2204" t="s">
        <v>1812</v>
      </c>
      <c r="J2204" t="s">
        <v>1813</v>
      </c>
      <c r="K2204" t="s">
        <v>39</v>
      </c>
      <c r="L2204" t="s">
        <v>30</v>
      </c>
      <c r="M2204" t="s">
        <v>31</v>
      </c>
      <c r="N2204" t="s">
        <v>196</v>
      </c>
      <c r="Q2204" s="4">
        <v>1</v>
      </c>
    </row>
    <row r="2205" spans="1:17" x14ac:dyDescent="0.55000000000000004">
      <c r="A2205" t="s">
        <v>5326</v>
      </c>
      <c r="C2205" t="s">
        <v>28</v>
      </c>
      <c r="E2205" t="s">
        <v>29</v>
      </c>
      <c r="F2205" t="s">
        <v>30</v>
      </c>
      <c r="G2205" t="s">
        <v>31</v>
      </c>
      <c r="I2205" t="s">
        <v>1818</v>
      </c>
      <c r="J2205" t="s">
        <v>1819</v>
      </c>
      <c r="K2205" t="s">
        <v>39</v>
      </c>
      <c r="L2205" t="s">
        <v>30</v>
      </c>
      <c r="M2205" t="s">
        <v>31</v>
      </c>
      <c r="N2205" t="s">
        <v>196</v>
      </c>
      <c r="Q2205" s="4">
        <v>1</v>
      </c>
    </row>
    <row r="2206" spans="1:17" x14ac:dyDescent="0.55000000000000004">
      <c r="A2206" t="s">
        <v>5327</v>
      </c>
      <c r="C2206" t="s">
        <v>28</v>
      </c>
      <c r="E2206" t="s">
        <v>29</v>
      </c>
      <c r="F2206" t="s">
        <v>30</v>
      </c>
      <c r="G2206" t="s">
        <v>31</v>
      </c>
      <c r="I2206" t="s">
        <v>1824</v>
      </c>
      <c r="J2206" t="s">
        <v>1825</v>
      </c>
      <c r="K2206" t="s">
        <v>39</v>
      </c>
      <c r="L2206" t="s">
        <v>30</v>
      </c>
      <c r="M2206" t="s">
        <v>31</v>
      </c>
      <c r="N2206" t="s">
        <v>196</v>
      </c>
      <c r="Q2206" s="4">
        <v>1</v>
      </c>
    </row>
    <row r="2207" spans="1:17" x14ac:dyDescent="0.55000000000000004">
      <c r="A2207" t="s">
        <v>5328</v>
      </c>
      <c r="C2207" t="s">
        <v>28</v>
      </c>
      <c r="E2207" t="s">
        <v>29</v>
      </c>
      <c r="F2207" t="s">
        <v>30</v>
      </c>
      <c r="G2207" t="s">
        <v>31</v>
      </c>
      <c r="I2207" t="s">
        <v>1830</v>
      </c>
      <c r="J2207" t="s">
        <v>1831</v>
      </c>
      <c r="K2207" t="s">
        <v>39</v>
      </c>
      <c r="L2207" t="s">
        <v>30</v>
      </c>
      <c r="M2207" t="s">
        <v>31</v>
      </c>
      <c r="N2207" t="s">
        <v>196</v>
      </c>
      <c r="Q2207" s="4">
        <v>1</v>
      </c>
    </row>
    <row r="2208" spans="1:17" x14ac:dyDescent="0.55000000000000004">
      <c r="A2208" t="s">
        <v>5329</v>
      </c>
      <c r="C2208" t="s">
        <v>28</v>
      </c>
      <c r="E2208" t="s">
        <v>29</v>
      </c>
      <c r="F2208" t="s">
        <v>30</v>
      </c>
      <c r="G2208" t="s">
        <v>31</v>
      </c>
      <c r="I2208" t="s">
        <v>1836</v>
      </c>
      <c r="J2208" t="s">
        <v>1837</v>
      </c>
      <c r="K2208" t="s">
        <v>39</v>
      </c>
      <c r="L2208" t="s">
        <v>30</v>
      </c>
      <c r="M2208" t="s">
        <v>31</v>
      </c>
      <c r="N2208" t="s">
        <v>196</v>
      </c>
      <c r="Q2208" s="4">
        <v>1</v>
      </c>
    </row>
    <row r="2209" spans="1:20" x14ac:dyDescent="0.55000000000000004">
      <c r="A2209" t="s">
        <v>5330</v>
      </c>
      <c r="C2209" t="s">
        <v>28</v>
      </c>
      <c r="E2209" t="s">
        <v>29</v>
      </c>
      <c r="F2209" t="s">
        <v>30</v>
      </c>
      <c r="G2209" t="s">
        <v>31</v>
      </c>
      <c r="I2209" t="s">
        <v>1842</v>
      </c>
      <c r="J2209" t="s">
        <v>1843</v>
      </c>
      <c r="K2209" t="s">
        <v>39</v>
      </c>
      <c r="L2209" t="s">
        <v>30</v>
      </c>
      <c r="M2209" t="s">
        <v>31</v>
      </c>
      <c r="N2209" t="s">
        <v>196</v>
      </c>
      <c r="Q2209" s="4">
        <v>1</v>
      </c>
    </row>
    <row r="2210" spans="1:20" x14ac:dyDescent="0.55000000000000004">
      <c r="A2210" t="s">
        <v>5331</v>
      </c>
      <c r="C2210" t="s">
        <v>28</v>
      </c>
      <c r="E2210" t="s">
        <v>29</v>
      </c>
      <c r="F2210" t="s">
        <v>30</v>
      </c>
      <c r="G2210" t="s">
        <v>31</v>
      </c>
      <c r="I2210" t="s">
        <v>1848</v>
      </c>
      <c r="J2210" t="s">
        <v>1849</v>
      </c>
      <c r="K2210" t="s">
        <v>39</v>
      </c>
      <c r="L2210" t="s">
        <v>30</v>
      </c>
      <c r="M2210" t="s">
        <v>31</v>
      </c>
      <c r="N2210" t="s">
        <v>196</v>
      </c>
      <c r="Q2210" s="4">
        <v>1</v>
      </c>
    </row>
    <row r="2211" spans="1:20" s="16" customFormat="1" ht="18.5" thickBot="1" x14ac:dyDescent="0.6">
      <c r="A2211" s="16" t="s">
        <v>5332</v>
      </c>
      <c r="C2211" s="16" t="s">
        <v>28</v>
      </c>
      <c r="E2211" s="16" t="s">
        <v>29</v>
      </c>
      <c r="F2211" s="16" t="s">
        <v>30</v>
      </c>
      <c r="G2211" s="16" t="s">
        <v>31</v>
      </c>
      <c r="I2211" s="16" t="s">
        <v>1854</v>
      </c>
      <c r="J2211" s="16" t="s">
        <v>1855</v>
      </c>
      <c r="K2211" s="16" t="s">
        <v>39</v>
      </c>
      <c r="L2211" s="16" t="s">
        <v>30</v>
      </c>
      <c r="M2211" s="16" t="s">
        <v>31</v>
      </c>
      <c r="N2211" s="16" t="s">
        <v>196</v>
      </c>
      <c r="Q2211" s="18">
        <v>1</v>
      </c>
    </row>
    <row r="2212" spans="1:20" x14ac:dyDescent="0.55000000000000004">
      <c r="A2212" t="s">
        <v>5333</v>
      </c>
      <c r="C2212" t="s">
        <v>4150</v>
      </c>
      <c r="D2212" t="s">
        <v>4151</v>
      </c>
      <c r="E2212" t="s">
        <v>39</v>
      </c>
      <c r="F2212" t="s">
        <v>30</v>
      </c>
      <c r="G2212" t="s">
        <v>31</v>
      </c>
      <c r="H2212" t="s">
        <v>991</v>
      </c>
      <c r="I2212" t="s">
        <v>4152</v>
      </c>
      <c r="J2212" t="s">
        <v>4153</v>
      </c>
      <c r="K2212" t="s">
        <v>362</v>
      </c>
      <c r="L2212" t="s">
        <v>30</v>
      </c>
      <c r="M2212" t="s">
        <v>31</v>
      </c>
      <c r="Q2212" s="4">
        <v>1</v>
      </c>
    </row>
    <row r="2213" spans="1:20" x14ac:dyDescent="0.55000000000000004">
      <c r="A2213" t="s">
        <v>5334</v>
      </c>
      <c r="C2213" t="s">
        <v>4150</v>
      </c>
      <c r="D2213" t="s">
        <v>4151</v>
      </c>
      <c r="E2213" t="s">
        <v>39</v>
      </c>
      <c r="F2213" t="s">
        <v>30</v>
      </c>
      <c r="G2213" t="s">
        <v>31</v>
      </c>
      <c r="H2213" t="s">
        <v>991</v>
      </c>
      <c r="I2213" t="s">
        <v>4154</v>
      </c>
      <c r="J2213" t="s">
        <v>5675</v>
      </c>
      <c r="K2213" t="s">
        <v>39</v>
      </c>
      <c r="L2213" t="s">
        <v>30</v>
      </c>
      <c r="M2213" t="s">
        <v>31</v>
      </c>
      <c r="N2213" t="s">
        <v>991</v>
      </c>
      <c r="Q2213" s="4">
        <v>1</v>
      </c>
    </row>
    <row r="2214" spans="1:20" x14ac:dyDescent="0.55000000000000004">
      <c r="A2214" t="s">
        <v>5335</v>
      </c>
      <c r="C2214" t="s">
        <v>4154</v>
      </c>
      <c r="D2214" t="s">
        <v>4155</v>
      </c>
      <c r="E2214" t="s">
        <v>39</v>
      </c>
      <c r="F2214" t="s">
        <v>30</v>
      </c>
      <c r="G2214" t="s">
        <v>31</v>
      </c>
      <c r="H2214" t="s">
        <v>991</v>
      </c>
      <c r="I2214" t="s">
        <v>4156</v>
      </c>
      <c r="J2214" t="s">
        <v>4157</v>
      </c>
      <c r="K2214" t="s">
        <v>39</v>
      </c>
      <c r="L2214" t="s">
        <v>30</v>
      </c>
      <c r="M2214" t="s">
        <v>31</v>
      </c>
      <c r="N2214" t="s">
        <v>991</v>
      </c>
      <c r="Q2214" s="15">
        <f>S2214/T2214</f>
        <v>0.06</v>
      </c>
      <c r="S2214">
        <f>MID(D2214,FIND("x",D2214)+6,3)*1</f>
        <v>300</v>
      </c>
      <c r="T2214">
        <v>5000</v>
      </c>
    </row>
    <row r="2215" spans="1:20" s="16" customFormat="1" ht="18.5" thickBot="1" x14ac:dyDescent="0.6">
      <c r="A2215" s="16" t="s">
        <v>5336</v>
      </c>
      <c r="C2215" s="16" t="s">
        <v>4156</v>
      </c>
      <c r="D2215" s="16" t="s">
        <v>4157</v>
      </c>
      <c r="E2215" s="16" t="s">
        <v>39</v>
      </c>
      <c r="F2215" s="16" t="s">
        <v>30</v>
      </c>
      <c r="G2215" s="16" t="s">
        <v>31</v>
      </c>
      <c r="H2215" s="16" t="s">
        <v>991</v>
      </c>
      <c r="I2215" s="16" t="s">
        <v>4158</v>
      </c>
      <c r="J2215" s="16" t="s">
        <v>4159</v>
      </c>
      <c r="K2215" s="16" t="s">
        <v>39</v>
      </c>
      <c r="L2215" s="16" t="s">
        <v>30</v>
      </c>
      <c r="M2215" s="16" t="s">
        <v>31</v>
      </c>
      <c r="N2215" s="16" t="s">
        <v>991</v>
      </c>
      <c r="Q2215" s="18">
        <v>1</v>
      </c>
    </row>
    <row r="2216" spans="1:20" x14ac:dyDescent="0.55000000000000004">
      <c r="A2216" t="s">
        <v>5337</v>
      </c>
      <c r="C2216" t="s">
        <v>4160</v>
      </c>
      <c r="D2216" t="s">
        <v>4161</v>
      </c>
      <c r="E2216" t="s">
        <v>39</v>
      </c>
      <c r="F2216" t="s">
        <v>30</v>
      </c>
      <c r="G2216" t="s">
        <v>31</v>
      </c>
      <c r="H2216" t="s">
        <v>991</v>
      </c>
      <c r="I2216" t="s">
        <v>4152</v>
      </c>
      <c r="J2216" t="s">
        <v>4153</v>
      </c>
      <c r="K2216" t="s">
        <v>362</v>
      </c>
      <c r="L2216" t="s">
        <v>30</v>
      </c>
      <c r="M2216" t="s">
        <v>31</v>
      </c>
      <c r="Q2216" s="4">
        <v>1</v>
      </c>
    </row>
    <row r="2217" spans="1:20" x14ac:dyDescent="0.55000000000000004">
      <c r="A2217" t="s">
        <v>5338</v>
      </c>
      <c r="C2217" t="s">
        <v>4160</v>
      </c>
      <c r="D2217" t="s">
        <v>4161</v>
      </c>
      <c r="E2217" t="s">
        <v>39</v>
      </c>
      <c r="F2217" t="s">
        <v>30</v>
      </c>
      <c r="G2217" t="s">
        <v>31</v>
      </c>
      <c r="H2217" t="s">
        <v>991</v>
      </c>
      <c r="I2217" t="s">
        <v>4162</v>
      </c>
      <c r="J2217" t="s">
        <v>4163</v>
      </c>
      <c r="K2217" t="s">
        <v>39</v>
      </c>
      <c r="L2217" t="s">
        <v>30</v>
      </c>
      <c r="M2217" t="s">
        <v>31</v>
      </c>
      <c r="N2217" t="s">
        <v>991</v>
      </c>
      <c r="Q2217" s="4">
        <v>1</v>
      </c>
    </row>
    <row r="2218" spans="1:20" s="16" customFormat="1" ht="18.5" thickBot="1" x14ac:dyDescent="0.6">
      <c r="A2218" s="16" t="s">
        <v>5339</v>
      </c>
      <c r="C2218" s="16" t="s">
        <v>4162</v>
      </c>
      <c r="D2218" s="16" t="s">
        <v>4163</v>
      </c>
      <c r="E2218" s="16" t="s">
        <v>39</v>
      </c>
      <c r="F2218" s="16" t="s">
        <v>30</v>
      </c>
      <c r="G2218" s="16" t="s">
        <v>31</v>
      </c>
      <c r="H2218" s="16" t="s">
        <v>991</v>
      </c>
      <c r="I2218" s="16" t="s">
        <v>4156</v>
      </c>
      <c r="J2218" s="16" t="s">
        <v>4157</v>
      </c>
      <c r="K2218" s="16" t="s">
        <v>39</v>
      </c>
      <c r="L2218" s="16" t="s">
        <v>30</v>
      </c>
      <c r="M2218" s="16" t="s">
        <v>31</v>
      </c>
      <c r="N2218" s="16" t="s">
        <v>991</v>
      </c>
      <c r="Q2218" s="17">
        <f>S2218/T2218</f>
        <v>0.08</v>
      </c>
      <c r="S2218" s="16">
        <f>MID(D2218,FIND("x",D2218)+6,3)*1</f>
        <v>400</v>
      </c>
      <c r="T2218" s="16">
        <v>5000</v>
      </c>
    </row>
    <row r="2219" spans="1:20" x14ac:dyDescent="0.55000000000000004">
      <c r="A2219" t="s">
        <v>5340</v>
      </c>
      <c r="C2219" t="s">
        <v>4164</v>
      </c>
      <c r="D2219" t="s">
        <v>4165</v>
      </c>
      <c r="E2219" t="s">
        <v>4168</v>
      </c>
      <c r="F2219" t="s">
        <v>30</v>
      </c>
      <c r="G2219" t="s">
        <v>31</v>
      </c>
      <c r="H2219" t="s">
        <v>4169</v>
      </c>
      <c r="I2219" t="s">
        <v>4152</v>
      </c>
      <c r="J2219" t="s">
        <v>4153</v>
      </c>
      <c r="K2219" t="s">
        <v>362</v>
      </c>
      <c r="L2219" t="s">
        <v>30</v>
      </c>
      <c r="M2219" t="s">
        <v>31</v>
      </c>
      <c r="Q2219" s="4">
        <v>1</v>
      </c>
    </row>
    <row r="2220" spans="1:20" x14ac:dyDescent="0.55000000000000004">
      <c r="A2220" t="s">
        <v>5341</v>
      </c>
      <c r="C2220" t="s">
        <v>4164</v>
      </c>
      <c r="D2220" t="s">
        <v>4165</v>
      </c>
      <c r="E2220" t="s">
        <v>39</v>
      </c>
      <c r="F2220" t="s">
        <v>30</v>
      </c>
      <c r="G2220" t="s">
        <v>31</v>
      </c>
      <c r="H2220" t="s">
        <v>991</v>
      </c>
      <c r="I2220" t="s">
        <v>4166</v>
      </c>
      <c r="J2220" t="s">
        <v>4167</v>
      </c>
      <c r="K2220" t="s">
        <v>39</v>
      </c>
      <c r="L2220" t="s">
        <v>30</v>
      </c>
      <c r="M2220" t="s">
        <v>31</v>
      </c>
      <c r="N2220" t="s">
        <v>991</v>
      </c>
      <c r="Q2220" s="4">
        <v>1</v>
      </c>
    </row>
    <row r="2221" spans="1:20" s="16" customFormat="1" ht="18.5" thickBot="1" x14ac:dyDescent="0.6">
      <c r="A2221" s="16" t="s">
        <v>5342</v>
      </c>
      <c r="C2221" s="16" t="s">
        <v>4166</v>
      </c>
      <c r="D2221" s="16" t="s">
        <v>4167</v>
      </c>
      <c r="E2221" s="16" t="s">
        <v>39</v>
      </c>
      <c r="F2221" s="16" t="s">
        <v>30</v>
      </c>
      <c r="G2221" s="16" t="s">
        <v>31</v>
      </c>
      <c r="H2221" s="16" t="s">
        <v>991</v>
      </c>
      <c r="I2221" s="16" t="s">
        <v>4156</v>
      </c>
      <c r="J2221" s="16" t="s">
        <v>4157</v>
      </c>
      <c r="K2221" s="16" t="s">
        <v>39</v>
      </c>
      <c r="L2221" s="16" t="s">
        <v>30</v>
      </c>
      <c r="M2221" s="16" t="s">
        <v>31</v>
      </c>
      <c r="N2221" s="16" t="s">
        <v>991</v>
      </c>
      <c r="Q2221" s="17">
        <f>S2221/T2221</f>
        <v>0.1</v>
      </c>
      <c r="S2221" s="16">
        <f>MID(D2221,FIND("x",D2221)+6,3)*1</f>
        <v>500</v>
      </c>
      <c r="T2221" s="16">
        <v>5000</v>
      </c>
    </row>
    <row r="2222" spans="1:20" x14ac:dyDescent="0.55000000000000004">
      <c r="A2222" t="s">
        <v>5343</v>
      </c>
      <c r="C2222" t="s">
        <v>4170</v>
      </c>
      <c r="D2222" t="s">
        <v>4171</v>
      </c>
      <c r="E2222" t="s">
        <v>39</v>
      </c>
      <c r="F2222" t="s">
        <v>30</v>
      </c>
      <c r="G2222" t="s">
        <v>31</v>
      </c>
      <c r="H2222" t="s">
        <v>991</v>
      </c>
      <c r="I2222" t="s">
        <v>4152</v>
      </c>
      <c r="J2222" t="s">
        <v>4153</v>
      </c>
      <c r="K2222" t="s">
        <v>362</v>
      </c>
      <c r="L2222" t="s">
        <v>30</v>
      </c>
      <c r="M2222" t="s">
        <v>31</v>
      </c>
      <c r="Q2222" s="4">
        <v>1</v>
      </c>
    </row>
    <row r="2223" spans="1:20" x14ac:dyDescent="0.55000000000000004">
      <c r="A2223" t="s">
        <v>5344</v>
      </c>
      <c r="C2223" t="s">
        <v>4170</v>
      </c>
      <c r="D2223" t="s">
        <v>4171</v>
      </c>
      <c r="E2223" t="s">
        <v>39</v>
      </c>
      <c r="F2223" t="s">
        <v>30</v>
      </c>
      <c r="G2223" t="s">
        <v>31</v>
      </c>
      <c r="H2223" t="s">
        <v>991</v>
      </c>
      <c r="I2223" t="s">
        <v>4172</v>
      </c>
      <c r="J2223" t="s">
        <v>4173</v>
      </c>
      <c r="K2223" t="s">
        <v>39</v>
      </c>
      <c r="L2223" t="s">
        <v>30</v>
      </c>
      <c r="M2223" t="s">
        <v>31</v>
      </c>
      <c r="N2223" t="s">
        <v>991</v>
      </c>
      <c r="Q2223" s="4">
        <v>1</v>
      </c>
    </row>
    <row r="2224" spans="1:20" s="16" customFormat="1" ht="18.5" thickBot="1" x14ac:dyDescent="0.6">
      <c r="A2224" s="16" t="s">
        <v>5345</v>
      </c>
      <c r="C2224" s="16" t="s">
        <v>4172</v>
      </c>
      <c r="D2224" s="16" t="s">
        <v>4173</v>
      </c>
      <c r="E2224" s="16" t="s">
        <v>39</v>
      </c>
      <c r="F2224" s="16" t="s">
        <v>30</v>
      </c>
      <c r="G2224" s="16" t="s">
        <v>31</v>
      </c>
      <c r="H2224" s="16" t="s">
        <v>991</v>
      </c>
      <c r="I2224" s="16" t="s">
        <v>4156</v>
      </c>
      <c r="J2224" s="16" t="s">
        <v>4157</v>
      </c>
      <c r="K2224" s="16" t="s">
        <v>39</v>
      </c>
      <c r="L2224" s="16" t="s">
        <v>30</v>
      </c>
      <c r="M2224" s="16" t="s">
        <v>31</v>
      </c>
      <c r="N2224" s="16" t="s">
        <v>991</v>
      </c>
      <c r="Q2224" s="17">
        <f>S2224/T2224</f>
        <v>0.12</v>
      </c>
      <c r="S2224" s="16">
        <f>MID(D2224,FIND("x",D2224)+6,3)*1</f>
        <v>600</v>
      </c>
      <c r="T2224" s="16">
        <v>5000</v>
      </c>
    </row>
    <row r="2225" spans="1:20" x14ac:dyDescent="0.55000000000000004">
      <c r="A2225" t="s">
        <v>5346</v>
      </c>
      <c r="C2225" t="s">
        <v>4174</v>
      </c>
      <c r="D2225" t="s">
        <v>4175</v>
      </c>
      <c r="E2225" t="s">
        <v>39</v>
      </c>
      <c r="F2225" t="s">
        <v>30</v>
      </c>
      <c r="G2225" t="s">
        <v>31</v>
      </c>
      <c r="H2225" t="s">
        <v>991</v>
      </c>
      <c r="I2225" t="s">
        <v>4152</v>
      </c>
      <c r="J2225" t="s">
        <v>4153</v>
      </c>
      <c r="K2225" t="s">
        <v>362</v>
      </c>
      <c r="L2225" t="s">
        <v>30</v>
      </c>
      <c r="M2225" t="s">
        <v>31</v>
      </c>
      <c r="Q2225" s="4">
        <v>1</v>
      </c>
    </row>
    <row r="2226" spans="1:20" x14ac:dyDescent="0.55000000000000004">
      <c r="A2226" t="s">
        <v>5347</v>
      </c>
      <c r="C2226" t="s">
        <v>4174</v>
      </c>
      <c r="D2226" t="s">
        <v>4175</v>
      </c>
      <c r="E2226" t="s">
        <v>39</v>
      </c>
      <c r="F2226" t="s">
        <v>30</v>
      </c>
      <c r="G2226" t="s">
        <v>31</v>
      </c>
      <c r="H2226" t="s">
        <v>991</v>
      </c>
      <c r="I2226" t="s">
        <v>4176</v>
      </c>
      <c r="J2226" t="s">
        <v>4177</v>
      </c>
      <c r="K2226" t="s">
        <v>39</v>
      </c>
      <c r="L2226" t="s">
        <v>30</v>
      </c>
      <c r="M2226" t="s">
        <v>31</v>
      </c>
      <c r="N2226" t="s">
        <v>991</v>
      </c>
      <c r="Q2226" s="4">
        <v>1</v>
      </c>
    </row>
    <row r="2227" spans="1:20" s="16" customFormat="1" ht="18.5" thickBot="1" x14ac:dyDescent="0.6">
      <c r="A2227" s="16" t="s">
        <v>5348</v>
      </c>
      <c r="C2227" s="16" t="s">
        <v>4176</v>
      </c>
      <c r="D2227" s="16" t="s">
        <v>4177</v>
      </c>
      <c r="E2227" s="16" t="s">
        <v>39</v>
      </c>
      <c r="F2227" s="16" t="s">
        <v>30</v>
      </c>
      <c r="G2227" s="16" t="s">
        <v>31</v>
      </c>
      <c r="H2227" s="16" t="s">
        <v>991</v>
      </c>
      <c r="I2227" s="16" t="s">
        <v>4156</v>
      </c>
      <c r="J2227" s="16" t="s">
        <v>4157</v>
      </c>
      <c r="K2227" s="16" t="s">
        <v>39</v>
      </c>
      <c r="L2227" s="16" t="s">
        <v>30</v>
      </c>
      <c r="M2227" s="16" t="s">
        <v>31</v>
      </c>
      <c r="N2227" s="16" t="s">
        <v>991</v>
      </c>
      <c r="Q2227" s="17">
        <f>S2227/T2227</f>
        <v>0.14000000000000001</v>
      </c>
      <c r="S2227" s="16">
        <f>MID(D2227,FIND("x",D2227)+6,3)*1</f>
        <v>700</v>
      </c>
      <c r="T2227" s="16">
        <v>5000</v>
      </c>
    </row>
    <row r="2228" spans="1:20" x14ac:dyDescent="0.55000000000000004">
      <c r="A2228" t="s">
        <v>5349</v>
      </c>
      <c r="C2228" t="s">
        <v>4178</v>
      </c>
      <c r="D2228" t="s">
        <v>4179</v>
      </c>
      <c r="E2228" t="s">
        <v>39</v>
      </c>
      <c r="F2228" t="s">
        <v>30</v>
      </c>
      <c r="G2228" t="s">
        <v>31</v>
      </c>
      <c r="H2228" t="s">
        <v>991</v>
      </c>
      <c r="I2228" t="s">
        <v>4152</v>
      </c>
      <c r="J2228" t="s">
        <v>4153</v>
      </c>
      <c r="K2228" t="s">
        <v>362</v>
      </c>
      <c r="L2228" t="s">
        <v>30</v>
      </c>
      <c r="M2228" t="s">
        <v>31</v>
      </c>
      <c r="Q2228" s="4">
        <v>1</v>
      </c>
    </row>
    <row r="2229" spans="1:20" x14ac:dyDescent="0.55000000000000004">
      <c r="A2229" t="s">
        <v>5350</v>
      </c>
      <c r="C2229" t="s">
        <v>4178</v>
      </c>
      <c r="D2229" t="s">
        <v>4179</v>
      </c>
      <c r="E2229" t="s">
        <v>39</v>
      </c>
      <c r="F2229" t="s">
        <v>30</v>
      </c>
      <c r="G2229" t="s">
        <v>31</v>
      </c>
      <c r="H2229" t="s">
        <v>991</v>
      </c>
      <c r="I2229" t="s">
        <v>4180</v>
      </c>
      <c r="J2229" t="s">
        <v>4181</v>
      </c>
      <c r="K2229" t="s">
        <v>39</v>
      </c>
      <c r="L2229" t="s">
        <v>30</v>
      </c>
      <c r="M2229" t="s">
        <v>31</v>
      </c>
      <c r="N2229" t="s">
        <v>991</v>
      </c>
      <c r="Q2229" s="4">
        <v>1</v>
      </c>
    </row>
    <row r="2230" spans="1:20" s="16" customFormat="1" ht="18.5" thickBot="1" x14ac:dyDescent="0.6">
      <c r="A2230" s="16" t="s">
        <v>5351</v>
      </c>
      <c r="C2230" s="16" t="s">
        <v>4180</v>
      </c>
      <c r="D2230" s="16" t="s">
        <v>4181</v>
      </c>
      <c r="E2230" s="16" t="s">
        <v>39</v>
      </c>
      <c r="F2230" s="16" t="s">
        <v>30</v>
      </c>
      <c r="G2230" s="16" t="s">
        <v>31</v>
      </c>
      <c r="H2230" s="16" t="s">
        <v>991</v>
      </c>
      <c r="I2230" s="16" t="s">
        <v>4156</v>
      </c>
      <c r="J2230" s="16" t="s">
        <v>4157</v>
      </c>
      <c r="K2230" s="16" t="s">
        <v>39</v>
      </c>
      <c r="L2230" s="16" t="s">
        <v>30</v>
      </c>
      <c r="M2230" s="16" t="s">
        <v>31</v>
      </c>
      <c r="N2230" s="16" t="s">
        <v>991</v>
      </c>
      <c r="Q2230" s="17">
        <f>S2230/T2230</f>
        <v>0.16</v>
      </c>
      <c r="S2230" s="16">
        <f>MID(D2230,FIND("x",D2230)+6,3)*1</f>
        <v>800</v>
      </c>
      <c r="T2230" s="16">
        <v>5000</v>
      </c>
    </row>
    <row r="2231" spans="1:20" x14ac:dyDescent="0.55000000000000004">
      <c r="A2231" t="s">
        <v>5352</v>
      </c>
      <c r="C2231" t="s">
        <v>4182</v>
      </c>
      <c r="D2231" t="s">
        <v>4183</v>
      </c>
      <c r="E2231" t="s">
        <v>39</v>
      </c>
      <c r="F2231" t="s">
        <v>30</v>
      </c>
      <c r="G2231" t="s">
        <v>31</v>
      </c>
      <c r="H2231" t="s">
        <v>991</v>
      </c>
      <c r="I2231" t="s">
        <v>4152</v>
      </c>
      <c r="J2231" t="s">
        <v>4153</v>
      </c>
      <c r="K2231" t="s">
        <v>362</v>
      </c>
      <c r="L2231" t="s">
        <v>30</v>
      </c>
      <c r="M2231" t="s">
        <v>31</v>
      </c>
      <c r="Q2231" s="4">
        <v>1</v>
      </c>
    </row>
    <row r="2232" spans="1:20" x14ac:dyDescent="0.55000000000000004">
      <c r="A2232" t="s">
        <v>5353</v>
      </c>
      <c r="C2232" t="s">
        <v>4182</v>
      </c>
      <c r="D2232" t="s">
        <v>4183</v>
      </c>
      <c r="E2232" t="s">
        <v>39</v>
      </c>
      <c r="F2232" t="s">
        <v>30</v>
      </c>
      <c r="G2232" t="s">
        <v>31</v>
      </c>
      <c r="H2232" t="s">
        <v>991</v>
      </c>
      <c r="I2232" t="s">
        <v>4184</v>
      </c>
      <c r="J2232" t="s">
        <v>4185</v>
      </c>
      <c r="K2232" t="s">
        <v>39</v>
      </c>
      <c r="L2232" t="s">
        <v>30</v>
      </c>
      <c r="M2232" t="s">
        <v>31</v>
      </c>
      <c r="N2232" t="s">
        <v>991</v>
      </c>
      <c r="Q2232" s="4">
        <v>1</v>
      </c>
    </row>
    <row r="2233" spans="1:20" s="16" customFormat="1" ht="18.5" thickBot="1" x14ac:dyDescent="0.6">
      <c r="A2233" s="16" t="s">
        <v>5354</v>
      </c>
      <c r="C2233" s="16" t="s">
        <v>4184</v>
      </c>
      <c r="D2233" s="16" t="s">
        <v>4185</v>
      </c>
      <c r="E2233" s="16" t="s">
        <v>39</v>
      </c>
      <c r="F2233" s="16" t="s">
        <v>30</v>
      </c>
      <c r="G2233" s="16" t="s">
        <v>31</v>
      </c>
      <c r="H2233" s="16" t="s">
        <v>991</v>
      </c>
      <c r="I2233" s="16" t="s">
        <v>4156</v>
      </c>
      <c r="J2233" s="16" t="s">
        <v>4157</v>
      </c>
      <c r="K2233" s="16" t="s">
        <v>39</v>
      </c>
      <c r="L2233" s="16" t="s">
        <v>30</v>
      </c>
      <c r="M2233" s="16" t="s">
        <v>31</v>
      </c>
      <c r="N2233" s="16" t="s">
        <v>991</v>
      </c>
      <c r="Q2233" s="17">
        <f>S2233/T2233</f>
        <v>0.18</v>
      </c>
      <c r="S2233" s="16">
        <f>MID(D2233,FIND("x",D2233)+6,3)*1</f>
        <v>900</v>
      </c>
      <c r="T2233" s="16">
        <v>5000</v>
      </c>
    </row>
    <row r="2234" spans="1:20" x14ac:dyDescent="0.55000000000000004">
      <c r="A2234" t="s">
        <v>5355</v>
      </c>
      <c r="C2234" t="s">
        <v>4186</v>
      </c>
      <c r="D2234" t="s">
        <v>4187</v>
      </c>
      <c r="E2234" t="s">
        <v>39</v>
      </c>
      <c r="F2234" t="s">
        <v>30</v>
      </c>
      <c r="G2234" t="s">
        <v>31</v>
      </c>
      <c r="H2234" t="s">
        <v>991</v>
      </c>
      <c r="I2234" t="s">
        <v>4152</v>
      </c>
      <c r="J2234" t="s">
        <v>4153</v>
      </c>
      <c r="K2234" t="s">
        <v>362</v>
      </c>
      <c r="L2234" t="s">
        <v>30</v>
      </c>
      <c r="M2234" t="s">
        <v>31</v>
      </c>
      <c r="Q2234" s="4">
        <v>1</v>
      </c>
    </row>
    <row r="2235" spans="1:20" x14ac:dyDescent="0.55000000000000004">
      <c r="A2235" t="s">
        <v>5356</v>
      </c>
      <c r="C2235" t="s">
        <v>4186</v>
      </c>
      <c r="D2235" t="s">
        <v>4187</v>
      </c>
      <c r="E2235" t="s">
        <v>39</v>
      </c>
      <c r="F2235" t="s">
        <v>30</v>
      </c>
      <c r="G2235" t="s">
        <v>31</v>
      </c>
      <c r="H2235" t="s">
        <v>991</v>
      </c>
      <c r="I2235" t="s">
        <v>4188</v>
      </c>
      <c r="J2235" t="s">
        <v>4189</v>
      </c>
      <c r="K2235" t="s">
        <v>39</v>
      </c>
      <c r="L2235" t="s">
        <v>30</v>
      </c>
      <c r="M2235" t="s">
        <v>31</v>
      </c>
      <c r="N2235" t="s">
        <v>991</v>
      </c>
      <c r="Q2235" s="4">
        <v>1</v>
      </c>
    </row>
    <row r="2236" spans="1:20" s="16" customFormat="1" ht="18.5" thickBot="1" x14ac:dyDescent="0.6">
      <c r="A2236" s="16" t="s">
        <v>5357</v>
      </c>
      <c r="C2236" s="16" t="s">
        <v>4188</v>
      </c>
      <c r="D2236" s="16" t="s">
        <v>4189</v>
      </c>
      <c r="E2236" s="16" t="s">
        <v>39</v>
      </c>
      <c r="F2236" s="16" t="s">
        <v>30</v>
      </c>
      <c r="G2236" s="16" t="s">
        <v>31</v>
      </c>
      <c r="H2236" s="16" t="s">
        <v>991</v>
      </c>
      <c r="I2236" s="16" t="s">
        <v>4156</v>
      </c>
      <c r="J2236" s="16" t="s">
        <v>4157</v>
      </c>
      <c r="K2236" s="16" t="s">
        <v>39</v>
      </c>
      <c r="L2236" s="16" t="s">
        <v>30</v>
      </c>
      <c r="M2236" s="16" t="s">
        <v>31</v>
      </c>
      <c r="N2236" s="16" t="s">
        <v>991</v>
      </c>
      <c r="Q2236" s="17">
        <f>S2236/T2236</f>
        <v>0.2</v>
      </c>
      <c r="S2236" s="16">
        <f>MID(D2236,FIND("x",D2236)+7,4)*1</f>
        <v>1000</v>
      </c>
      <c r="T2236" s="16">
        <v>5000</v>
      </c>
    </row>
    <row r="2237" spans="1:20" x14ac:dyDescent="0.55000000000000004">
      <c r="A2237" t="s">
        <v>5358</v>
      </c>
      <c r="C2237" t="s">
        <v>4190</v>
      </c>
      <c r="D2237" t="s">
        <v>4191</v>
      </c>
      <c r="E2237" t="s">
        <v>39</v>
      </c>
      <c r="F2237" t="s">
        <v>30</v>
      </c>
      <c r="G2237" t="s">
        <v>31</v>
      </c>
      <c r="H2237" t="s">
        <v>991</v>
      </c>
      <c r="I2237" t="s">
        <v>4152</v>
      </c>
      <c r="J2237" t="s">
        <v>4153</v>
      </c>
      <c r="K2237" t="s">
        <v>362</v>
      </c>
      <c r="L2237" t="s">
        <v>30</v>
      </c>
      <c r="M2237" t="s">
        <v>31</v>
      </c>
      <c r="Q2237" s="4">
        <v>1</v>
      </c>
    </row>
    <row r="2238" spans="1:20" x14ac:dyDescent="0.55000000000000004">
      <c r="A2238" t="s">
        <v>5359</v>
      </c>
      <c r="C2238" t="s">
        <v>4190</v>
      </c>
      <c r="D2238" t="s">
        <v>4191</v>
      </c>
      <c r="E2238" t="s">
        <v>39</v>
      </c>
      <c r="F2238" t="s">
        <v>30</v>
      </c>
      <c r="G2238" t="s">
        <v>31</v>
      </c>
      <c r="H2238" t="s">
        <v>991</v>
      </c>
      <c r="I2238" t="s">
        <v>4192</v>
      </c>
      <c r="J2238" t="s">
        <v>4193</v>
      </c>
      <c r="K2238" t="s">
        <v>39</v>
      </c>
      <c r="L2238" t="s">
        <v>30</v>
      </c>
      <c r="M2238" t="s">
        <v>31</v>
      </c>
      <c r="N2238" t="s">
        <v>991</v>
      </c>
      <c r="Q2238" s="4">
        <v>1</v>
      </c>
    </row>
    <row r="2239" spans="1:20" s="16" customFormat="1" ht="18.5" thickBot="1" x14ac:dyDescent="0.6">
      <c r="A2239" s="16" t="s">
        <v>5360</v>
      </c>
      <c r="C2239" s="16" t="s">
        <v>4192</v>
      </c>
      <c r="D2239" s="16" t="s">
        <v>4193</v>
      </c>
      <c r="E2239" s="16" t="s">
        <v>39</v>
      </c>
      <c r="F2239" s="16" t="s">
        <v>30</v>
      </c>
      <c r="G2239" s="16" t="s">
        <v>31</v>
      </c>
      <c r="H2239" s="16" t="s">
        <v>991</v>
      </c>
      <c r="I2239" s="16" t="s">
        <v>4156</v>
      </c>
      <c r="J2239" s="16" t="s">
        <v>4157</v>
      </c>
      <c r="K2239" s="16" t="s">
        <v>39</v>
      </c>
      <c r="L2239" s="16" t="s">
        <v>30</v>
      </c>
      <c r="M2239" s="16" t="s">
        <v>31</v>
      </c>
      <c r="N2239" s="16" t="s">
        <v>991</v>
      </c>
      <c r="Q2239" s="17">
        <f>S2239/T2239</f>
        <v>0.22</v>
      </c>
      <c r="S2239" s="16">
        <f>MID(D2239,FIND("x",D2239)+7,4)*1</f>
        <v>1100</v>
      </c>
      <c r="T2239" s="16">
        <v>5000</v>
      </c>
    </row>
    <row r="2240" spans="1:20" x14ac:dyDescent="0.55000000000000004">
      <c r="A2240" t="s">
        <v>5361</v>
      </c>
      <c r="C2240" t="s">
        <v>4194</v>
      </c>
      <c r="D2240" t="s">
        <v>4195</v>
      </c>
      <c r="E2240" t="s">
        <v>39</v>
      </c>
      <c r="F2240" t="s">
        <v>30</v>
      </c>
      <c r="G2240" t="s">
        <v>31</v>
      </c>
      <c r="H2240" t="s">
        <v>991</v>
      </c>
      <c r="I2240" t="s">
        <v>4152</v>
      </c>
      <c r="J2240" t="s">
        <v>4153</v>
      </c>
      <c r="K2240" t="s">
        <v>362</v>
      </c>
      <c r="L2240" t="s">
        <v>30</v>
      </c>
      <c r="M2240" t="s">
        <v>31</v>
      </c>
      <c r="Q2240" s="4">
        <v>1</v>
      </c>
    </row>
    <row r="2241" spans="1:20" x14ac:dyDescent="0.55000000000000004">
      <c r="A2241" t="s">
        <v>5362</v>
      </c>
      <c r="C2241" t="s">
        <v>4194</v>
      </c>
      <c r="D2241" t="s">
        <v>4195</v>
      </c>
      <c r="E2241" t="s">
        <v>39</v>
      </c>
      <c r="F2241" t="s">
        <v>30</v>
      </c>
      <c r="G2241" t="s">
        <v>31</v>
      </c>
      <c r="H2241" t="s">
        <v>991</v>
      </c>
      <c r="I2241" t="s">
        <v>4196</v>
      </c>
      <c r="J2241" t="s">
        <v>4197</v>
      </c>
      <c r="K2241" t="s">
        <v>39</v>
      </c>
      <c r="L2241" t="s">
        <v>30</v>
      </c>
      <c r="M2241" t="s">
        <v>31</v>
      </c>
      <c r="N2241" t="s">
        <v>991</v>
      </c>
      <c r="Q2241" s="4">
        <v>1</v>
      </c>
    </row>
    <row r="2242" spans="1:20" s="16" customFormat="1" ht="18.5" thickBot="1" x14ac:dyDescent="0.6">
      <c r="A2242" s="16" t="s">
        <v>5363</v>
      </c>
      <c r="C2242" s="16" t="s">
        <v>4196</v>
      </c>
      <c r="D2242" s="16" t="s">
        <v>4197</v>
      </c>
      <c r="E2242" s="16" t="s">
        <v>39</v>
      </c>
      <c r="F2242" s="16" t="s">
        <v>30</v>
      </c>
      <c r="G2242" s="16" t="s">
        <v>31</v>
      </c>
      <c r="H2242" s="16" t="s">
        <v>991</v>
      </c>
      <c r="I2242" s="16" t="s">
        <v>4156</v>
      </c>
      <c r="J2242" s="16" t="s">
        <v>4157</v>
      </c>
      <c r="K2242" s="16" t="s">
        <v>39</v>
      </c>
      <c r="L2242" s="16" t="s">
        <v>30</v>
      </c>
      <c r="M2242" s="16" t="s">
        <v>31</v>
      </c>
      <c r="N2242" s="16" t="s">
        <v>991</v>
      </c>
      <c r="Q2242" s="17">
        <f>S2242/T2242</f>
        <v>0.24</v>
      </c>
      <c r="S2242" s="16">
        <f>MID(D2242,FIND("x",D2242)+7,4)*1</f>
        <v>1200</v>
      </c>
      <c r="T2242" s="16">
        <v>5000</v>
      </c>
    </row>
    <row r="2243" spans="1:20" x14ac:dyDescent="0.55000000000000004">
      <c r="A2243" t="s">
        <v>5364</v>
      </c>
      <c r="C2243" t="s">
        <v>4198</v>
      </c>
      <c r="D2243" t="s">
        <v>4199</v>
      </c>
      <c r="E2243" t="s">
        <v>39</v>
      </c>
      <c r="F2243" t="s">
        <v>30</v>
      </c>
      <c r="G2243" t="s">
        <v>31</v>
      </c>
      <c r="H2243" t="s">
        <v>991</v>
      </c>
      <c r="I2243" t="s">
        <v>4152</v>
      </c>
      <c r="J2243" t="s">
        <v>4153</v>
      </c>
      <c r="K2243" t="s">
        <v>362</v>
      </c>
      <c r="L2243" t="s">
        <v>30</v>
      </c>
      <c r="M2243" t="s">
        <v>31</v>
      </c>
      <c r="Q2243" s="4">
        <v>1</v>
      </c>
    </row>
    <row r="2244" spans="1:20" x14ac:dyDescent="0.55000000000000004">
      <c r="A2244" t="s">
        <v>5365</v>
      </c>
      <c r="C2244" t="s">
        <v>4198</v>
      </c>
      <c r="D2244" t="s">
        <v>4199</v>
      </c>
      <c r="E2244" t="s">
        <v>39</v>
      </c>
      <c r="F2244" t="s">
        <v>30</v>
      </c>
      <c r="G2244" t="s">
        <v>31</v>
      </c>
      <c r="H2244" t="s">
        <v>991</v>
      </c>
      <c r="I2244" t="s">
        <v>4200</v>
      </c>
      <c r="J2244" t="s">
        <v>4201</v>
      </c>
      <c r="K2244" t="s">
        <v>39</v>
      </c>
      <c r="L2244" t="s">
        <v>30</v>
      </c>
      <c r="M2244" t="s">
        <v>31</v>
      </c>
      <c r="N2244" t="s">
        <v>991</v>
      </c>
      <c r="Q2244" s="4">
        <v>1</v>
      </c>
    </row>
    <row r="2245" spans="1:20" s="16" customFormat="1" ht="18.5" thickBot="1" x14ac:dyDescent="0.6">
      <c r="A2245" s="16" t="s">
        <v>5366</v>
      </c>
      <c r="C2245" s="16" t="s">
        <v>4200</v>
      </c>
      <c r="D2245" s="16" t="s">
        <v>4201</v>
      </c>
      <c r="E2245" s="16" t="s">
        <v>39</v>
      </c>
      <c r="F2245" s="16" t="s">
        <v>30</v>
      </c>
      <c r="G2245" s="16" t="s">
        <v>31</v>
      </c>
      <c r="H2245" s="16" t="s">
        <v>991</v>
      </c>
      <c r="I2245" s="16" t="s">
        <v>4156</v>
      </c>
      <c r="J2245" s="16" t="s">
        <v>4157</v>
      </c>
      <c r="K2245" s="16" t="s">
        <v>39</v>
      </c>
      <c r="L2245" s="16" t="s">
        <v>30</v>
      </c>
      <c r="M2245" s="16" t="s">
        <v>31</v>
      </c>
      <c r="N2245" s="16" t="s">
        <v>991</v>
      </c>
      <c r="Q2245" s="17">
        <f>S2245/T2245</f>
        <v>0.26</v>
      </c>
      <c r="S2245" s="16">
        <f>MID(D2245,FIND("x",D2245)+7,4)*1</f>
        <v>1300</v>
      </c>
      <c r="T2245" s="16">
        <v>5000</v>
      </c>
    </row>
    <row r="2246" spans="1:20" x14ac:dyDescent="0.55000000000000004">
      <c r="A2246" t="s">
        <v>5367</v>
      </c>
      <c r="C2246" t="s">
        <v>4388</v>
      </c>
      <c r="D2246" t="s">
        <v>4389</v>
      </c>
      <c r="E2246" t="s">
        <v>39</v>
      </c>
      <c r="F2246" t="s">
        <v>30</v>
      </c>
      <c r="G2246" t="s">
        <v>31</v>
      </c>
      <c r="H2246" t="s">
        <v>991</v>
      </c>
      <c r="I2246" t="s">
        <v>4152</v>
      </c>
      <c r="J2246" t="s">
        <v>4153</v>
      </c>
      <c r="K2246" t="s">
        <v>362</v>
      </c>
      <c r="L2246" t="s">
        <v>30</v>
      </c>
      <c r="M2246" t="s">
        <v>31</v>
      </c>
      <c r="Q2246" s="4">
        <v>1</v>
      </c>
    </row>
    <row r="2247" spans="1:20" x14ac:dyDescent="0.55000000000000004">
      <c r="A2247" t="s">
        <v>5368</v>
      </c>
      <c r="C2247" t="s">
        <v>4388</v>
      </c>
      <c r="D2247" t="s">
        <v>4389</v>
      </c>
      <c r="E2247" t="s">
        <v>39</v>
      </c>
      <c r="F2247" t="s">
        <v>30</v>
      </c>
      <c r="G2247" t="s">
        <v>31</v>
      </c>
      <c r="H2247" t="s">
        <v>991</v>
      </c>
      <c r="I2247" t="s">
        <v>4390</v>
      </c>
      <c r="J2247" t="s">
        <v>4391</v>
      </c>
      <c r="K2247" t="s">
        <v>39</v>
      </c>
      <c r="L2247" t="s">
        <v>30</v>
      </c>
      <c r="M2247" t="s">
        <v>31</v>
      </c>
      <c r="N2247" t="s">
        <v>991</v>
      </c>
      <c r="Q2247" s="4">
        <v>1</v>
      </c>
    </row>
    <row r="2248" spans="1:20" s="16" customFormat="1" ht="18.5" thickBot="1" x14ac:dyDescent="0.6">
      <c r="A2248" s="16" t="s">
        <v>5369</v>
      </c>
      <c r="C2248" s="16" t="s">
        <v>4390</v>
      </c>
      <c r="D2248" s="16" t="s">
        <v>4391</v>
      </c>
      <c r="E2248" s="16" t="s">
        <v>39</v>
      </c>
      <c r="F2248" s="16" t="s">
        <v>30</v>
      </c>
      <c r="G2248" s="16" t="s">
        <v>31</v>
      </c>
      <c r="H2248" s="16" t="s">
        <v>991</v>
      </c>
      <c r="I2248" s="16" t="s">
        <v>4156</v>
      </c>
      <c r="J2248" s="16" t="s">
        <v>4157</v>
      </c>
      <c r="K2248" s="16" t="s">
        <v>39</v>
      </c>
      <c r="L2248" s="16" t="s">
        <v>30</v>
      </c>
      <c r="M2248" s="16" t="s">
        <v>31</v>
      </c>
      <c r="N2248" s="16" t="s">
        <v>991</v>
      </c>
      <c r="Q2248" s="17">
        <f>S2248/T2248</f>
        <v>0.28000000000000003</v>
      </c>
      <c r="S2248" s="16">
        <f>MID(D2248,FIND("x",D2248)+7,4)*1</f>
        <v>1400</v>
      </c>
      <c r="T2248" s="16">
        <v>5000</v>
      </c>
    </row>
    <row r="2249" spans="1:20" x14ac:dyDescent="0.55000000000000004">
      <c r="A2249" t="s">
        <v>5370</v>
      </c>
      <c r="C2249" t="s">
        <v>4392</v>
      </c>
      <c r="D2249" t="s">
        <v>4393</v>
      </c>
      <c r="E2249" t="s">
        <v>39</v>
      </c>
      <c r="F2249" t="s">
        <v>30</v>
      </c>
      <c r="G2249" t="s">
        <v>31</v>
      </c>
      <c r="H2249" t="s">
        <v>991</v>
      </c>
      <c r="I2249" t="s">
        <v>4152</v>
      </c>
      <c r="J2249" t="s">
        <v>4153</v>
      </c>
      <c r="K2249" t="s">
        <v>362</v>
      </c>
      <c r="L2249" t="s">
        <v>30</v>
      </c>
      <c r="M2249" t="s">
        <v>31</v>
      </c>
      <c r="Q2249" s="4">
        <v>1</v>
      </c>
    </row>
    <row r="2250" spans="1:20" x14ac:dyDescent="0.55000000000000004">
      <c r="A2250" t="s">
        <v>5371</v>
      </c>
      <c r="C2250" t="s">
        <v>4392</v>
      </c>
      <c r="D2250" t="s">
        <v>4393</v>
      </c>
      <c r="E2250" t="s">
        <v>39</v>
      </c>
      <c r="F2250" t="s">
        <v>30</v>
      </c>
      <c r="G2250" t="s">
        <v>31</v>
      </c>
      <c r="H2250" t="s">
        <v>991</v>
      </c>
      <c r="I2250" t="s">
        <v>4394</v>
      </c>
      <c r="J2250" t="s">
        <v>4395</v>
      </c>
      <c r="K2250" t="s">
        <v>39</v>
      </c>
      <c r="L2250" t="s">
        <v>30</v>
      </c>
      <c r="M2250" t="s">
        <v>31</v>
      </c>
      <c r="N2250" t="s">
        <v>991</v>
      </c>
      <c r="Q2250" s="4">
        <v>1</v>
      </c>
    </row>
    <row r="2251" spans="1:20" s="16" customFormat="1" ht="18.5" thickBot="1" x14ac:dyDescent="0.6">
      <c r="A2251" s="16" t="s">
        <v>5372</v>
      </c>
      <c r="C2251" s="16" t="s">
        <v>4394</v>
      </c>
      <c r="D2251" s="16" t="s">
        <v>4395</v>
      </c>
      <c r="E2251" s="16" t="s">
        <v>39</v>
      </c>
      <c r="F2251" s="16" t="s">
        <v>30</v>
      </c>
      <c r="G2251" s="16" t="s">
        <v>31</v>
      </c>
      <c r="H2251" s="16" t="s">
        <v>991</v>
      </c>
      <c r="I2251" s="16" t="s">
        <v>4156</v>
      </c>
      <c r="J2251" s="16" t="s">
        <v>4157</v>
      </c>
      <c r="K2251" s="16" t="s">
        <v>39</v>
      </c>
      <c r="L2251" s="16" t="s">
        <v>30</v>
      </c>
      <c r="M2251" s="16" t="s">
        <v>31</v>
      </c>
      <c r="N2251" s="16" t="s">
        <v>991</v>
      </c>
      <c r="Q2251" s="17">
        <f>S2251/T2251</f>
        <v>0.3</v>
      </c>
      <c r="S2251" s="16">
        <f>MID(D2251,FIND("x",D2251)+7,4)*1</f>
        <v>1500</v>
      </c>
      <c r="T2251" s="16">
        <v>5000</v>
      </c>
    </row>
    <row r="2252" spans="1:20" x14ac:dyDescent="0.55000000000000004">
      <c r="A2252" t="s">
        <v>5373</v>
      </c>
      <c r="C2252" t="s">
        <v>4396</v>
      </c>
      <c r="D2252" t="s">
        <v>4397</v>
      </c>
      <c r="E2252" t="s">
        <v>39</v>
      </c>
      <c r="F2252" t="s">
        <v>30</v>
      </c>
      <c r="G2252" t="s">
        <v>31</v>
      </c>
      <c r="H2252" t="s">
        <v>991</v>
      </c>
      <c r="I2252" t="s">
        <v>4152</v>
      </c>
      <c r="J2252" t="s">
        <v>4153</v>
      </c>
      <c r="K2252" t="s">
        <v>362</v>
      </c>
      <c r="L2252" t="s">
        <v>30</v>
      </c>
      <c r="M2252" t="s">
        <v>31</v>
      </c>
      <c r="Q2252" s="4">
        <v>1</v>
      </c>
    </row>
    <row r="2253" spans="1:20" x14ac:dyDescent="0.55000000000000004">
      <c r="A2253" t="s">
        <v>5374</v>
      </c>
      <c r="C2253" t="s">
        <v>4396</v>
      </c>
      <c r="D2253" t="s">
        <v>4397</v>
      </c>
      <c r="E2253" t="s">
        <v>39</v>
      </c>
      <c r="F2253" t="s">
        <v>30</v>
      </c>
      <c r="G2253" t="s">
        <v>31</v>
      </c>
      <c r="H2253" t="s">
        <v>991</v>
      </c>
      <c r="I2253" t="s">
        <v>4398</v>
      </c>
      <c r="J2253" t="s">
        <v>4399</v>
      </c>
      <c r="K2253" t="s">
        <v>39</v>
      </c>
      <c r="L2253" t="s">
        <v>30</v>
      </c>
      <c r="M2253" t="s">
        <v>31</v>
      </c>
      <c r="N2253" t="s">
        <v>991</v>
      </c>
      <c r="Q2253" s="4">
        <v>1</v>
      </c>
    </row>
    <row r="2254" spans="1:20" s="16" customFormat="1" ht="18.5" thickBot="1" x14ac:dyDescent="0.6">
      <c r="A2254" s="16" t="s">
        <v>5375</v>
      </c>
      <c r="C2254" s="16" t="s">
        <v>4398</v>
      </c>
      <c r="D2254" s="16" t="s">
        <v>4399</v>
      </c>
      <c r="E2254" s="16" t="s">
        <v>39</v>
      </c>
      <c r="F2254" s="16" t="s">
        <v>30</v>
      </c>
      <c r="G2254" s="16" t="s">
        <v>31</v>
      </c>
      <c r="H2254" s="16" t="s">
        <v>991</v>
      </c>
      <c r="I2254" s="16" t="s">
        <v>4156</v>
      </c>
      <c r="J2254" s="16" t="s">
        <v>4157</v>
      </c>
      <c r="K2254" s="16" t="s">
        <v>39</v>
      </c>
      <c r="L2254" s="16" t="s">
        <v>30</v>
      </c>
      <c r="M2254" s="16" t="s">
        <v>31</v>
      </c>
      <c r="N2254" s="16" t="s">
        <v>991</v>
      </c>
      <c r="Q2254" s="17">
        <f>S2254/T2254</f>
        <v>0.32</v>
      </c>
      <c r="S2254" s="16">
        <f>MID(D2254,FIND("x",D2254)+7,4)*1</f>
        <v>1600</v>
      </c>
      <c r="T2254" s="16">
        <v>5000</v>
      </c>
    </row>
    <row r="2255" spans="1:20" x14ac:dyDescent="0.55000000000000004">
      <c r="A2255" t="s">
        <v>5376</v>
      </c>
      <c r="C2255" t="s">
        <v>4400</v>
      </c>
      <c r="D2255" t="s">
        <v>4401</v>
      </c>
      <c r="E2255" t="s">
        <v>39</v>
      </c>
      <c r="F2255" t="s">
        <v>30</v>
      </c>
      <c r="G2255" t="s">
        <v>31</v>
      </c>
      <c r="H2255" t="s">
        <v>991</v>
      </c>
      <c r="I2255" t="s">
        <v>4152</v>
      </c>
      <c r="J2255" t="s">
        <v>4153</v>
      </c>
      <c r="K2255" t="s">
        <v>362</v>
      </c>
      <c r="L2255" t="s">
        <v>30</v>
      </c>
      <c r="M2255" t="s">
        <v>31</v>
      </c>
      <c r="Q2255" s="4">
        <v>1</v>
      </c>
    </row>
    <row r="2256" spans="1:20" x14ac:dyDescent="0.55000000000000004">
      <c r="A2256" t="s">
        <v>5377</v>
      </c>
      <c r="C2256" t="s">
        <v>4400</v>
      </c>
      <c r="D2256" t="s">
        <v>4401</v>
      </c>
      <c r="E2256" t="s">
        <v>39</v>
      </c>
      <c r="F2256" t="s">
        <v>30</v>
      </c>
      <c r="G2256" t="s">
        <v>31</v>
      </c>
      <c r="H2256" t="s">
        <v>991</v>
      </c>
      <c r="I2256" t="s">
        <v>4402</v>
      </c>
      <c r="J2256" t="s">
        <v>4403</v>
      </c>
      <c r="K2256" t="s">
        <v>39</v>
      </c>
      <c r="L2256" t="s">
        <v>30</v>
      </c>
      <c r="M2256" t="s">
        <v>31</v>
      </c>
      <c r="N2256" t="s">
        <v>991</v>
      </c>
      <c r="Q2256" s="4">
        <v>1</v>
      </c>
    </row>
    <row r="2257" spans="1:20" s="16" customFormat="1" ht="18.5" thickBot="1" x14ac:dyDescent="0.6">
      <c r="A2257" s="16" t="s">
        <v>5378</v>
      </c>
      <c r="C2257" s="16" t="s">
        <v>4402</v>
      </c>
      <c r="D2257" s="16" t="s">
        <v>4403</v>
      </c>
      <c r="E2257" s="16" t="s">
        <v>39</v>
      </c>
      <c r="F2257" s="16" t="s">
        <v>30</v>
      </c>
      <c r="G2257" s="16" t="s">
        <v>31</v>
      </c>
      <c r="H2257" s="16" t="s">
        <v>991</v>
      </c>
      <c r="I2257" s="16" t="s">
        <v>4156</v>
      </c>
      <c r="J2257" s="16" t="s">
        <v>4157</v>
      </c>
      <c r="K2257" s="16" t="s">
        <v>39</v>
      </c>
      <c r="L2257" s="16" t="s">
        <v>30</v>
      </c>
      <c r="M2257" s="16" t="s">
        <v>31</v>
      </c>
      <c r="N2257" s="16" t="s">
        <v>991</v>
      </c>
      <c r="Q2257" s="17">
        <f>S2257/T2257</f>
        <v>0.34</v>
      </c>
      <c r="S2257" s="16">
        <f>MID(D2257,FIND("x",D2257)+7,4)*1</f>
        <v>1700</v>
      </c>
      <c r="T2257" s="16">
        <v>5000</v>
      </c>
    </row>
    <row r="2258" spans="1:20" x14ac:dyDescent="0.55000000000000004">
      <c r="A2258" t="s">
        <v>5379</v>
      </c>
      <c r="C2258" t="s">
        <v>4404</v>
      </c>
      <c r="D2258" t="s">
        <v>4405</v>
      </c>
      <c r="E2258" t="s">
        <v>39</v>
      </c>
      <c r="F2258" t="s">
        <v>30</v>
      </c>
      <c r="G2258" t="s">
        <v>31</v>
      </c>
      <c r="H2258" t="s">
        <v>991</v>
      </c>
      <c r="I2258" t="s">
        <v>4152</v>
      </c>
      <c r="J2258" t="s">
        <v>4153</v>
      </c>
      <c r="K2258" t="s">
        <v>362</v>
      </c>
      <c r="L2258" t="s">
        <v>30</v>
      </c>
      <c r="M2258" t="s">
        <v>31</v>
      </c>
      <c r="Q2258" s="4">
        <v>1</v>
      </c>
    </row>
    <row r="2259" spans="1:20" x14ac:dyDescent="0.55000000000000004">
      <c r="A2259" t="s">
        <v>5380</v>
      </c>
      <c r="C2259" t="s">
        <v>4404</v>
      </c>
      <c r="D2259" t="s">
        <v>4405</v>
      </c>
      <c r="E2259" t="s">
        <v>39</v>
      </c>
      <c r="F2259" t="s">
        <v>30</v>
      </c>
      <c r="G2259" t="s">
        <v>31</v>
      </c>
      <c r="H2259" t="s">
        <v>991</v>
      </c>
      <c r="I2259" t="s">
        <v>4406</v>
      </c>
      <c r="J2259" t="s">
        <v>4407</v>
      </c>
      <c r="K2259" t="s">
        <v>39</v>
      </c>
      <c r="L2259" t="s">
        <v>30</v>
      </c>
      <c r="M2259" t="s">
        <v>31</v>
      </c>
      <c r="N2259" t="s">
        <v>991</v>
      </c>
      <c r="Q2259" s="4">
        <v>1</v>
      </c>
    </row>
    <row r="2260" spans="1:20" s="16" customFormat="1" ht="18.5" thickBot="1" x14ac:dyDescent="0.6">
      <c r="A2260" s="16" t="s">
        <v>5381</v>
      </c>
      <c r="C2260" s="16" t="s">
        <v>4406</v>
      </c>
      <c r="D2260" s="16" t="s">
        <v>4407</v>
      </c>
      <c r="E2260" s="16" t="s">
        <v>39</v>
      </c>
      <c r="F2260" s="16" t="s">
        <v>30</v>
      </c>
      <c r="G2260" s="16" t="s">
        <v>31</v>
      </c>
      <c r="H2260" s="16" t="s">
        <v>991</v>
      </c>
      <c r="I2260" s="16" t="s">
        <v>4156</v>
      </c>
      <c r="J2260" s="16" t="s">
        <v>4157</v>
      </c>
      <c r="K2260" s="16" t="s">
        <v>39</v>
      </c>
      <c r="L2260" s="16" t="s">
        <v>30</v>
      </c>
      <c r="M2260" s="16" t="s">
        <v>31</v>
      </c>
      <c r="N2260" s="16" t="s">
        <v>991</v>
      </c>
      <c r="Q2260" s="17">
        <f>S2260/T2260</f>
        <v>0.36</v>
      </c>
      <c r="S2260" s="16">
        <f>MID(D2260,FIND("x",D2260)+7,4)*1</f>
        <v>1800</v>
      </c>
      <c r="T2260" s="16">
        <v>5000</v>
      </c>
    </row>
    <row r="2261" spans="1:20" x14ac:dyDescent="0.55000000000000004">
      <c r="A2261" t="s">
        <v>5382</v>
      </c>
      <c r="C2261" t="s">
        <v>4408</v>
      </c>
      <c r="D2261" t="s">
        <v>4409</v>
      </c>
      <c r="E2261" t="s">
        <v>39</v>
      </c>
      <c r="F2261" t="s">
        <v>30</v>
      </c>
      <c r="G2261" t="s">
        <v>31</v>
      </c>
      <c r="H2261" t="s">
        <v>991</v>
      </c>
      <c r="I2261" t="s">
        <v>4152</v>
      </c>
      <c r="J2261" t="s">
        <v>4153</v>
      </c>
      <c r="K2261" t="s">
        <v>362</v>
      </c>
      <c r="L2261" t="s">
        <v>30</v>
      </c>
      <c r="M2261" t="s">
        <v>31</v>
      </c>
      <c r="Q2261" s="4">
        <v>1</v>
      </c>
    </row>
    <row r="2262" spans="1:20" x14ac:dyDescent="0.55000000000000004">
      <c r="A2262" t="s">
        <v>5383</v>
      </c>
      <c r="C2262" t="s">
        <v>4408</v>
      </c>
      <c r="D2262" t="s">
        <v>4409</v>
      </c>
      <c r="E2262" t="s">
        <v>39</v>
      </c>
      <c r="F2262" t="s">
        <v>30</v>
      </c>
      <c r="G2262" t="s">
        <v>31</v>
      </c>
      <c r="H2262" t="s">
        <v>991</v>
      </c>
      <c r="I2262" t="s">
        <v>4410</v>
      </c>
      <c r="J2262" t="s">
        <v>4411</v>
      </c>
      <c r="K2262" t="s">
        <v>39</v>
      </c>
      <c r="L2262" t="s">
        <v>30</v>
      </c>
      <c r="M2262" t="s">
        <v>31</v>
      </c>
      <c r="N2262" t="s">
        <v>991</v>
      </c>
      <c r="Q2262" s="4">
        <v>1</v>
      </c>
    </row>
    <row r="2263" spans="1:20" s="16" customFormat="1" ht="18.5" thickBot="1" x14ac:dyDescent="0.6">
      <c r="A2263" s="16" t="s">
        <v>5384</v>
      </c>
      <c r="C2263" s="16" t="s">
        <v>4410</v>
      </c>
      <c r="D2263" s="16" t="s">
        <v>4411</v>
      </c>
      <c r="E2263" s="16" t="s">
        <v>39</v>
      </c>
      <c r="F2263" s="16" t="s">
        <v>30</v>
      </c>
      <c r="G2263" s="16" t="s">
        <v>31</v>
      </c>
      <c r="H2263" s="16" t="s">
        <v>991</v>
      </c>
      <c r="I2263" s="16" t="s">
        <v>4156</v>
      </c>
      <c r="J2263" s="16" t="s">
        <v>4157</v>
      </c>
      <c r="K2263" s="16" t="s">
        <v>39</v>
      </c>
      <c r="L2263" s="16" t="s">
        <v>30</v>
      </c>
      <c r="M2263" s="16" t="s">
        <v>31</v>
      </c>
      <c r="N2263" s="16" t="s">
        <v>991</v>
      </c>
      <c r="Q2263" s="17">
        <f>S2263/T2263</f>
        <v>0.38</v>
      </c>
      <c r="S2263" s="16">
        <f>MID(D2263,FIND("x",D2263)+7,4)*1</f>
        <v>1900</v>
      </c>
      <c r="T2263" s="16">
        <v>5000</v>
      </c>
    </row>
    <row r="2264" spans="1:20" x14ac:dyDescent="0.55000000000000004">
      <c r="A2264" t="s">
        <v>5385</v>
      </c>
      <c r="C2264" t="s">
        <v>4412</v>
      </c>
      <c r="D2264" t="s">
        <v>4413</v>
      </c>
      <c r="E2264" t="s">
        <v>39</v>
      </c>
      <c r="F2264" t="s">
        <v>30</v>
      </c>
      <c r="G2264" t="s">
        <v>31</v>
      </c>
      <c r="H2264" t="s">
        <v>991</v>
      </c>
      <c r="I2264" t="s">
        <v>4152</v>
      </c>
      <c r="J2264" t="s">
        <v>4153</v>
      </c>
      <c r="K2264" t="s">
        <v>362</v>
      </c>
      <c r="L2264" t="s">
        <v>30</v>
      </c>
      <c r="M2264" t="s">
        <v>31</v>
      </c>
      <c r="Q2264" s="4">
        <v>1</v>
      </c>
    </row>
    <row r="2265" spans="1:20" x14ac:dyDescent="0.55000000000000004">
      <c r="A2265" t="s">
        <v>5386</v>
      </c>
      <c r="C2265" t="s">
        <v>4412</v>
      </c>
      <c r="D2265" t="s">
        <v>4413</v>
      </c>
      <c r="E2265" t="s">
        <v>39</v>
      </c>
      <c r="F2265" t="s">
        <v>30</v>
      </c>
      <c r="G2265" t="s">
        <v>31</v>
      </c>
      <c r="H2265" t="s">
        <v>991</v>
      </c>
      <c r="I2265" t="s">
        <v>4414</v>
      </c>
      <c r="J2265" t="s">
        <v>4415</v>
      </c>
      <c r="K2265" t="s">
        <v>39</v>
      </c>
      <c r="L2265" t="s">
        <v>30</v>
      </c>
      <c r="M2265" t="s">
        <v>31</v>
      </c>
      <c r="N2265" t="s">
        <v>991</v>
      </c>
      <c r="Q2265" s="4">
        <v>1</v>
      </c>
    </row>
    <row r="2266" spans="1:20" s="16" customFormat="1" ht="18.5" thickBot="1" x14ac:dyDescent="0.6">
      <c r="A2266" s="16" t="s">
        <v>5387</v>
      </c>
      <c r="C2266" s="16" t="s">
        <v>4414</v>
      </c>
      <c r="D2266" s="16" t="s">
        <v>4415</v>
      </c>
      <c r="E2266" s="16" t="s">
        <v>39</v>
      </c>
      <c r="F2266" s="16" t="s">
        <v>30</v>
      </c>
      <c r="G2266" s="16" t="s">
        <v>31</v>
      </c>
      <c r="H2266" s="16" t="s">
        <v>991</v>
      </c>
      <c r="I2266" s="16" t="s">
        <v>4156</v>
      </c>
      <c r="J2266" s="16" t="s">
        <v>4157</v>
      </c>
      <c r="K2266" s="16" t="s">
        <v>39</v>
      </c>
      <c r="L2266" s="16" t="s">
        <v>30</v>
      </c>
      <c r="M2266" s="16" t="s">
        <v>31</v>
      </c>
      <c r="N2266" s="16" t="s">
        <v>991</v>
      </c>
      <c r="Q2266" s="17">
        <f>S2266/T2266</f>
        <v>0.4</v>
      </c>
      <c r="S2266" s="16">
        <f>MID(D2266,FIND("x",D2266)+7,4)*1</f>
        <v>2000</v>
      </c>
      <c r="T2266" s="16">
        <v>5000</v>
      </c>
    </row>
    <row r="2267" spans="1:20" x14ac:dyDescent="0.55000000000000004">
      <c r="A2267" t="s">
        <v>5388</v>
      </c>
      <c r="C2267" t="s">
        <v>4416</v>
      </c>
      <c r="D2267" t="s">
        <v>4417</v>
      </c>
      <c r="E2267" t="s">
        <v>39</v>
      </c>
      <c r="F2267" t="s">
        <v>30</v>
      </c>
      <c r="G2267" t="s">
        <v>31</v>
      </c>
      <c r="H2267" t="s">
        <v>991</v>
      </c>
      <c r="I2267" t="s">
        <v>4152</v>
      </c>
      <c r="J2267" t="s">
        <v>4153</v>
      </c>
      <c r="K2267" t="s">
        <v>362</v>
      </c>
      <c r="L2267" t="s">
        <v>30</v>
      </c>
      <c r="M2267" t="s">
        <v>31</v>
      </c>
      <c r="Q2267" s="4">
        <v>1</v>
      </c>
    </row>
    <row r="2268" spans="1:20" x14ac:dyDescent="0.55000000000000004">
      <c r="A2268" t="s">
        <v>5389</v>
      </c>
      <c r="C2268" t="s">
        <v>4416</v>
      </c>
      <c r="D2268" t="s">
        <v>4417</v>
      </c>
      <c r="E2268" t="s">
        <v>39</v>
      </c>
      <c r="F2268" t="s">
        <v>30</v>
      </c>
      <c r="G2268" t="s">
        <v>31</v>
      </c>
      <c r="H2268" t="s">
        <v>991</v>
      </c>
      <c r="I2268" t="s">
        <v>4418</v>
      </c>
      <c r="J2268" t="s">
        <v>4419</v>
      </c>
      <c r="K2268" t="s">
        <v>39</v>
      </c>
      <c r="L2268" t="s">
        <v>30</v>
      </c>
      <c r="M2268" t="s">
        <v>31</v>
      </c>
      <c r="N2268" t="s">
        <v>991</v>
      </c>
      <c r="Q2268" s="4">
        <v>1</v>
      </c>
    </row>
    <row r="2269" spans="1:20" s="16" customFormat="1" ht="18.5" thickBot="1" x14ac:dyDescent="0.6">
      <c r="A2269" s="16" t="s">
        <v>5390</v>
      </c>
      <c r="C2269" s="16" t="s">
        <v>4418</v>
      </c>
      <c r="D2269" s="16" t="s">
        <v>4419</v>
      </c>
      <c r="E2269" s="16" t="s">
        <v>39</v>
      </c>
      <c r="F2269" s="16" t="s">
        <v>30</v>
      </c>
      <c r="G2269" s="16" t="s">
        <v>31</v>
      </c>
      <c r="H2269" s="16" t="s">
        <v>991</v>
      </c>
      <c r="I2269" s="16" t="s">
        <v>4156</v>
      </c>
      <c r="J2269" s="16" t="s">
        <v>4157</v>
      </c>
      <c r="K2269" s="16" t="s">
        <v>39</v>
      </c>
      <c r="L2269" s="16" t="s">
        <v>30</v>
      </c>
      <c r="M2269" s="16" t="s">
        <v>31</v>
      </c>
      <c r="N2269" s="16" t="s">
        <v>991</v>
      </c>
      <c r="Q2269" s="17">
        <f>S2269/T2269</f>
        <v>0.42</v>
      </c>
      <c r="S2269" s="16">
        <f>MID(D2269,FIND("x",D2269)+7,4)*1</f>
        <v>2100</v>
      </c>
      <c r="T2269" s="16">
        <v>5000</v>
      </c>
    </row>
    <row r="2270" spans="1:20" x14ac:dyDescent="0.55000000000000004">
      <c r="A2270" t="s">
        <v>5391</v>
      </c>
      <c r="C2270" t="s">
        <v>4420</v>
      </c>
      <c r="D2270" t="s">
        <v>4421</v>
      </c>
      <c r="E2270" t="s">
        <v>39</v>
      </c>
      <c r="F2270" t="s">
        <v>30</v>
      </c>
      <c r="G2270" t="s">
        <v>31</v>
      </c>
      <c r="H2270" t="s">
        <v>991</v>
      </c>
      <c r="I2270" t="s">
        <v>4152</v>
      </c>
      <c r="J2270" t="s">
        <v>4153</v>
      </c>
      <c r="K2270" t="s">
        <v>362</v>
      </c>
      <c r="L2270" t="s">
        <v>30</v>
      </c>
      <c r="M2270" t="s">
        <v>31</v>
      </c>
      <c r="Q2270" s="4">
        <v>1</v>
      </c>
    </row>
    <row r="2271" spans="1:20" x14ac:dyDescent="0.55000000000000004">
      <c r="A2271" t="s">
        <v>5392</v>
      </c>
      <c r="C2271" t="s">
        <v>4420</v>
      </c>
      <c r="D2271" t="s">
        <v>4421</v>
      </c>
      <c r="E2271" t="s">
        <v>39</v>
      </c>
      <c r="F2271" t="s">
        <v>30</v>
      </c>
      <c r="G2271" t="s">
        <v>31</v>
      </c>
      <c r="H2271" t="s">
        <v>991</v>
      </c>
      <c r="I2271" t="s">
        <v>4422</v>
      </c>
      <c r="J2271" t="s">
        <v>4423</v>
      </c>
      <c r="K2271" t="s">
        <v>39</v>
      </c>
      <c r="L2271" t="s">
        <v>30</v>
      </c>
      <c r="M2271" t="s">
        <v>31</v>
      </c>
      <c r="N2271" t="s">
        <v>991</v>
      </c>
      <c r="Q2271" s="4">
        <v>1</v>
      </c>
    </row>
    <row r="2272" spans="1:20" s="16" customFormat="1" ht="18.5" thickBot="1" x14ac:dyDescent="0.6">
      <c r="A2272" s="16" t="s">
        <v>5393</v>
      </c>
      <c r="C2272" s="16" t="s">
        <v>4422</v>
      </c>
      <c r="D2272" s="16" t="s">
        <v>4423</v>
      </c>
      <c r="E2272" s="16" t="s">
        <v>39</v>
      </c>
      <c r="F2272" s="16" t="s">
        <v>30</v>
      </c>
      <c r="G2272" s="16" t="s">
        <v>31</v>
      </c>
      <c r="H2272" s="16" t="s">
        <v>991</v>
      </c>
      <c r="I2272" s="16" t="s">
        <v>4156</v>
      </c>
      <c r="J2272" s="16" t="s">
        <v>4157</v>
      </c>
      <c r="K2272" s="16" t="s">
        <v>39</v>
      </c>
      <c r="L2272" s="16" t="s">
        <v>30</v>
      </c>
      <c r="M2272" s="16" t="s">
        <v>31</v>
      </c>
      <c r="N2272" s="16" t="s">
        <v>991</v>
      </c>
      <c r="Q2272" s="17">
        <f>S2272/T2272</f>
        <v>0.44</v>
      </c>
      <c r="S2272" s="16">
        <f>MID(D2272,FIND("x",D2272)+7,4)*1</f>
        <v>2200</v>
      </c>
      <c r="T2272" s="16">
        <v>5000</v>
      </c>
    </row>
    <row r="2273" spans="1:20" x14ac:dyDescent="0.55000000000000004">
      <c r="A2273" t="s">
        <v>5394</v>
      </c>
      <c r="C2273" t="s">
        <v>4424</v>
      </c>
      <c r="D2273" t="s">
        <v>4425</v>
      </c>
      <c r="E2273" t="s">
        <v>39</v>
      </c>
      <c r="F2273" t="s">
        <v>30</v>
      </c>
      <c r="G2273" t="s">
        <v>31</v>
      </c>
      <c r="H2273" t="s">
        <v>991</v>
      </c>
      <c r="I2273" t="s">
        <v>4152</v>
      </c>
      <c r="J2273" t="s">
        <v>4153</v>
      </c>
      <c r="K2273" t="s">
        <v>362</v>
      </c>
      <c r="L2273" t="s">
        <v>30</v>
      </c>
      <c r="M2273" t="s">
        <v>31</v>
      </c>
      <c r="Q2273" s="4">
        <v>1</v>
      </c>
    </row>
    <row r="2274" spans="1:20" x14ac:dyDescent="0.55000000000000004">
      <c r="A2274" t="s">
        <v>5395</v>
      </c>
      <c r="C2274" t="s">
        <v>4424</v>
      </c>
      <c r="D2274" t="s">
        <v>4425</v>
      </c>
      <c r="E2274" t="s">
        <v>39</v>
      </c>
      <c r="F2274" t="s">
        <v>30</v>
      </c>
      <c r="G2274" t="s">
        <v>31</v>
      </c>
      <c r="H2274" t="s">
        <v>991</v>
      </c>
      <c r="I2274" t="s">
        <v>4426</v>
      </c>
      <c r="J2274" t="s">
        <v>4427</v>
      </c>
      <c r="K2274" t="s">
        <v>39</v>
      </c>
      <c r="L2274" t="s">
        <v>30</v>
      </c>
      <c r="M2274" t="s">
        <v>31</v>
      </c>
      <c r="N2274" t="s">
        <v>991</v>
      </c>
      <c r="Q2274" s="4">
        <v>1</v>
      </c>
    </row>
    <row r="2275" spans="1:20" s="16" customFormat="1" ht="18.5" thickBot="1" x14ac:dyDescent="0.6">
      <c r="A2275" s="16" t="s">
        <v>5396</v>
      </c>
      <c r="C2275" s="16" t="s">
        <v>4426</v>
      </c>
      <c r="D2275" s="16" t="s">
        <v>4427</v>
      </c>
      <c r="E2275" s="16" t="s">
        <v>39</v>
      </c>
      <c r="F2275" s="16" t="s">
        <v>30</v>
      </c>
      <c r="G2275" s="16" t="s">
        <v>31</v>
      </c>
      <c r="H2275" s="16" t="s">
        <v>991</v>
      </c>
      <c r="I2275" s="16" t="s">
        <v>4156</v>
      </c>
      <c r="J2275" s="16" t="s">
        <v>4157</v>
      </c>
      <c r="K2275" s="16" t="s">
        <v>39</v>
      </c>
      <c r="L2275" s="16" t="s">
        <v>30</v>
      </c>
      <c r="M2275" s="16" t="s">
        <v>31</v>
      </c>
      <c r="N2275" s="16" t="s">
        <v>991</v>
      </c>
      <c r="Q2275" s="17">
        <f>S2275/T2275</f>
        <v>0.46</v>
      </c>
      <c r="S2275" s="16">
        <f>MID(D2275,FIND("x",D2275)+7,4)*1</f>
        <v>2300</v>
      </c>
      <c r="T2275" s="16">
        <v>5000</v>
      </c>
    </row>
    <row r="2276" spans="1:20" x14ac:dyDescent="0.55000000000000004">
      <c r="A2276" t="s">
        <v>5397</v>
      </c>
      <c r="C2276" t="s">
        <v>4428</v>
      </c>
      <c r="D2276" t="s">
        <v>4429</v>
      </c>
      <c r="E2276" t="s">
        <v>39</v>
      </c>
      <c r="F2276" t="s">
        <v>30</v>
      </c>
      <c r="G2276" t="s">
        <v>31</v>
      </c>
      <c r="H2276" t="s">
        <v>991</v>
      </c>
      <c r="I2276" t="s">
        <v>4152</v>
      </c>
      <c r="J2276" t="s">
        <v>4153</v>
      </c>
      <c r="K2276" t="s">
        <v>362</v>
      </c>
      <c r="L2276" t="s">
        <v>30</v>
      </c>
      <c r="M2276" t="s">
        <v>31</v>
      </c>
      <c r="Q2276" s="4">
        <v>1</v>
      </c>
    </row>
    <row r="2277" spans="1:20" x14ac:dyDescent="0.55000000000000004">
      <c r="A2277" t="s">
        <v>5398</v>
      </c>
      <c r="C2277" t="s">
        <v>4428</v>
      </c>
      <c r="D2277" t="s">
        <v>4429</v>
      </c>
      <c r="E2277" t="s">
        <v>39</v>
      </c>
      <c r="F2277" t="s">
        <v>30</v>
      </c>
      <c r="G2277" t="s">
        <v>31</v>
      </c>
      <c r="H2277" t="s">
        <v>991</v>
      </c>
      <c r="I2277" t="s">
        <v>4430</v>
      </c>
      <c r="J2277" t="s">
        <v>4431</v>
      </c>
      <c r="K2277" t="s">
        <v>39</v>
      </c>
      <c r="L2277" t="s">
        <v>30</v>
      </c>
      <c r="M2277" t="s">
        <v>31</v>
      </c>
      <c r="N2277" t="s">
        <v>991</v>
      </c>
      <c r="Q2277" s="4">
        <v>1</v>
      </c>
    </row>
    <row r="2278" spans="1:20" s="16" customFormat="1" ht="18.5" thickBot="1" x14ac:dyDescent="0.6">
      <c r="A2278" s="16" t="s">
        <v>5399</v>
      </c>
      <c r="C2278" s="16" t="s">
        <v>4430</v>
      </c>
      <c r="D2278" s="16" t="s">
        <v>4431</v>
      </c>
      <c r="E2278" s="16" t="s">
        <v>39</v>
      </c>
      <c r="F2278" s="16" t="s">
        <v>30</v>
      </c>
      <c r="G2278" s="16" t="s">
        <v>31</v>
      </c>
      <c r="H2278" s="16" t="s">
        <v>991</v>
      </c>
      <c r="I2278" s="16" t="s">
        <v>4156</v>
      </c>
      <c r="J2278" s="16" t="s">
        <v>4157</v>
      </c>
      <c r="K2278" s="16" t="s">
        <v>39</v>
      </c>
      <c r="L2278" s="16" t="s">
        <v>30</v>
      </c>
      <c r="M2278" s="16" t="s">
        <v>31</v>
      </c>
      <c r="N2278" s="16" t="s">
        <v>991</v>
      </c>
      <c r="Q2278" s="17">
        <f>S2278/T2278</f>
        <v>0.48</v>
      </c>
      <c r="S2278" s="16">
        <f>MID(D2278,FIND("x",D2278)+7,4)*1</f>
        <v>2400</v>
      </c>
      <c r="T2278" s="16">
        <v>5000</v>
      </c>
    </row>
    <row r="2279" spans="1:20" x14ac:dyDescent="0.55000000000000004">
      <c r="A2279" t="s">
        <v>5400</v>
      </c>
      <c r="C2279" t="s">
        <v>4432</v>
      </c>
      <c r="D2279" t="s">
        <v>4433</v>
      </c>
      <c r="E2279" t="s">
        <v>39</v>
      </c>
      <c r="F2279" t="s">
        <v>30</v>
      </c>
      <c r="G2279" t="s">
        <v>31</v>
      </c>
      <c r="H2279" t="s">
        <v>991</v>
      </c>
      <c r="I2279" t="s">
        <v>4152</v>
      </c>
      <c r="J2279" t="s">
        <v>4153</v>
      </c>
      <c r="K2279" t="s">
        <v>362</v>
      </c>
      <c r="L2279" t="s">
        <v>30</v>
      </c>
      <c r="M2279" t="s">
        <v>31</v>
      </c>
      <c r="Q2279" s="4">
        <v>1</v>
      </c>
    </row>
    <row r="2280" spans="1:20" x14ac:dyDescent="0.55000000000000004">
      <c r="A2280" t="s">
        <v>5401</v>
      </c>
      <c r="C2280" t="s">
        <v>4432</v>
      </c>
      <c r="D2280" t="s">
        <v>4433</v>
      </c>
      <c r="E2280" t="s">
        <v>39</v>
      </c>
      <c r="F2280" t="s">
        <v>30</v>
      </c>
      <c r="G2280" t="s">
        <v>31</v>
      </c>
      <c r="H2280" t="s">
        <v>991</v>
      </c>
      <c r="I2280" t="s">
        <v>4434</v>
      </c>
      <c r="J2280" t="s">
        <v>4435</v>
      </c>
      <c r="K2280" t="s">
        <v>39</v>
      </c>
      <c r="L2280" t="s">
        <v>30</v>
      </c>
      <c r="M2280" t="s">
        <v>31</v>
      </c>
      <c r="N2280" t="s">
        <v>991</v>
      </c>
      <c r="Q2280" s="4">
        <v>1</v>
      </c>
    </row>
    <row r="2281" spans="1:20" s="16" customFormat="1" ht="18.5" thickBot="1" x14ac:dyDescent="0.6">
      <c r="A2281" s="16" t="s">
        <v>5402</v>
      </c>
      <c r="C2281" s="16" t="s">
        <v>4434</v>
      </c>
      <c r="D2281" s="16" t="s">
        <v>4435</v>
      </c>
      <c r="E2281" s="16" t="s">
        <v>39</v>
      </c>
      <c r="F2281" s="16" t="s">
        <v>30</v>
      </c>
      <c r="G2281" s="16" t="s">
        <v>31</v>
      </c>
      <c r="H2281" s="16" t="s">
        <v>991</v>
      </c>
      <c r="I2281" s="16" t="s">
        <v>4156</v>
      </c>
      <c r="J2281" s="16" t="s">
        <v>4157</v>
      </c>
      <c r="K2281" s="16" t="s">
        <v>39</v>
      </c>
      <c r="L2281" s="16" t="s">
        <v>30</v>
      </c>
      <c r="M2281" s="16" t="s">
        <v>31</v>
      </c>
      <c r="N2281" s="16" t="s">
        <v>991</v>
      </c>
      <c r="Q2281" s="17">
        <f>S2281/T2281</f>
        <v>0.5</v>
      </c>
      <c r="S2281" s="16">
        <f>MID(D2281,FIND("x",D2281)+7,4)*1</f>
        <v>2500</v>
      </c>
      <c r="T2281" s="16">
        <v>5000</v>
      </c>
    </row>
    <row r="2282" spans="1:20" x14ac:dyDescent="0.55000000000000004">
      <c r="A2282" t="s">
        <v>5403</v>
      </c>
      <c r="C2282" t="s">
        <v>4436</v>
      </c>
      <c r="D2282" t="s">
        <v>4437</v>
      </c>
      <c r="E2282" t="s">
        <v>39</v>
      </c>
      <c r="F2282" t="s">
        <v>30</v>
      </c>
      <c r="G2282" t="s">
        <v>31</v>
      </c>
      <c r="H2282" t="s">
        <v>991</v>
      </c>
      <c r="I2282" t="s">
        <v>4152</v>
      </c>
      <c r="J2282" t="s">
        <v>4153</v>
      </c>
      <c r="K2282" t="s">
        <v>362</v>
      </c>
      <c r="L2282" t="s">
        <v>30</v>
      </c>
      <c r="M2282" t="s">
        <v>31</v>
      </c>
      <c r="Q2282" s="4">
        <v>1</v>
      </c>
    </row>
    <row r="2283" spans="1:20" x14ac:dyDescent="0.55000000000000004">
      <c r="A2283" t="s">
        <v>5404</v>
      </c>
      <c r="C2283" t="s">
        <v>4436</v>
      </c>
      <c r="D2283" t="s">
        <v>4437</v>
      </c>
      <c r="E2283" t="s">
        <v>39</v>
      </c>
      <c r="F2283" t="s">
        <v>30</v>
      </c>
      <c r="G2283" t="s">
        <v>31</v>
      </c>
      <c r="H2283" t="s">
        <v>991</v>
      </c>
      <c r="I2283" t="s">
        <v>4438</v>
      </c>
      <c r="J2283" t="s">
        <v>4439</v>
      </c>
      <c r="K2283" t="s">
        <v>39</v>
      </c>
      <c r="L2283" t="s">
        <v>30</v>
      </c>
      <c r="M2283" t="s">
        <v>31</v>
      </c>
      <c r="N2283" t="s">
        <v>991</v>
      </c>
      <c r="Q2283" s="4">
        <v>1</v>
      </c>
    </row>
    <row r="2284" spans="1:20" s="16" customFormat="1" ht="18.5" thickBot="1" x14ac:dyDescent="0.6">
      <c r="A2284" s="16" t="s">
        <v>5405</v>
      </c>
      <c r="C2284" s="16" t="s">
        <v>4438</v>
      </c>
      <c r="D2284" s="16" t="s">
        <v>4439</v>
      </c>
      <c r="E2284" s="16" t="s">
        <v>39</v>
      </c>
      <c r="F2284" s="16" t="s">
        <v>30</v>
      </c>
      <c r="G2284" s="16" t="s">
        <v>31</v>
      </c>
      <c r="H2284" s="16" t="s">
        <v>991</v>
      </c>
      <c r="I2284" s="16" t="s">
        <v>4156</v>
      </c>
      <c r="J2284" s="16" t="s">
        <v>4157</v>
      </c>
      <c r="K2284" s="16" t="s">
        <v>39</v>
      </c>
      <c r="L2284" s="16" t="s">
        <v>30</v>
      </c>
      <c r="M2284" s="16" t="s">
        <v>31</v>
      </c>
      <c r="N2284" s="16" t="s">
        <v>991</v>
      </c>
      <c r="Q2284" s="17">
        <f>S2284/T2284</f>
        <v>0.52</v>
      </c>
      <c r="S2284" s="16">
        <f>MID(D2284,FIND("x",D2284)+7,4)*1</f>
        <v>2600</v>
      </c>
      <c r="T2284" s="16">
        <v>5000</v>
      </c>
    </row>
    <row r="2285" spans="1:20" x14ac:dyDescent="0.55000000000000004">
      <c r="A2285" t="s">
        <v>5406</v>
      </c>
      <c r="C2285" t="s">
        <v>4440</v>
      </c>
      <c r="D2285" t="s">
        <v>4441</v>
      </c>
      <c r="E2285" t="s">
        <v>39</v>
      </c>
      <c r="F2285" t="s">
        <v>30</v>
      </c>
      <c r="G2285" t="s">
        <v>31</v>
      </c>
      <c r="H2285" t="s">
        <v>991</v>
      </c>
      <c r="I2285" t="s">
        <v>4152</v>
      </c>
      <c r="J2285" t="s">
        <v>4153</v>
      </c>
      <c r="K2285" t="s">
        <v>362</v>
      </c>
      <c r="L2285" t="s">
        <v>30</v>
      </c>
      <c r="M2285" t="s">
        <v>31</v>
      </c>
      <c r="Q2285" s="4">
        <v>1</v>
      </c>
    </row>
    <row r="2286" spans="1:20" x14ac:dyDescent="0.55000000000000004">
      <c r="A2286" t="s">
        <v>5407</v>
      </c>
      <c r="C2286" t="s">
        <v>4440</v>
      </c>
      <c r="D2286" t="s">
        <v>4441</v>
      </c>
      <c r="E2286" t="s">
        <v>39</v>
      </c>
      <c r="F2286" t="s">
        <v>30</v>
      </c>
      <c r="G2286" t="s">
        <v>31</v>
      </c>
      <c r="H2286" t="s">
        <v>991</v>
      </c>
      <c r="I2286" t="s">
        <v>4442</v>
      </c>
      <c r="J2286" t="s">
        <v>4443</v>
      </c>
      <c r="K2286" t="s">
        <v>39</v>
      </c>
      <c r="L2286" t="s">
        <v>30</v>
      </c>
      <c r="M2286" t="s">
        <v>31</v>
      </c>
      <c r="N2286" t="s">
        <v>991</v>
      </c>
      <c r="Q2286" s="4">
        <v>1</v>
      </c>
    </row>
    <row r="2287" spans="1:20" s="16" customFormat="1" ht="18.5" thickBot="1" x14ac:dyDescent="0.6">
      <c r="A2287" s="16" t="s">
        <v>5408</v>
      </c>
      <c r="C2287" s="16" t="s">
        <v>4442</v>
      </c>
      <c r="D2287" s="16" t="s">
        <v>4443</v>
      </c>
      <c r="E2287" s="16" t="s">
        <v>39</v>
      </c>
      <c r="F2287" s="16" t="s">
        <v>30</v>
      </c>
      <c r="G2287" s="16" t="s">
        <v>31</v>
      </c>
      <c r="H2287" s="16" t="s">
        <v>991</v>
      </c>
      <c r="I2287" s="16" t="s">
        <v>4156</v>
      </c>
      <c r="J2287" s="16" t="s">
        <v>4157</v>
      </c>
      <c r="K2287" s="16" t="s">
        <v>39</v>
      </c>
      <c r="L2287" s="16" t="s">
        <v>30</v>
      </c>
      <c r="M2287" s="16" t="s">
        <v>31</v>
      </c>
      <c r="N2287" s="16" t="s">
        <v>991</v>
      </c>
      <c r="Q2287" s="17">
        <f>S2287/T2287</f>
        <v>0.54</v>
      </c>
      <c r="S2287" s="16">
        <f>MID(D2287,FIND("x",D2287)+7,4)*1</f>
        <v>2700</v>
      </c>
      <c r="T2287" s="16">
        <v>5000</v>
      </c>
    </row>
    <row r="2288" spans="1:20" x14ac:dyDescent="0.55000000000000004">
      <c r="A2288" t="s">
        <v>5409</v>
      </c>
      <c r="C2288" t="s">
        <v>4444</v>
      </c>
      <c r="D2288" t="s">
        <v>4445</v>
      </c>
      <c r="E2288" t="s">
        <v>39</v>
      </c>
      <c r="F2288" t="s">
        <v>30</v>
      </c>
      <c r="G2288" t="s">
        <v>31</v>
      </c>
      <c r="H2288" t="s">
        <v>991</v>
      </c>
      <c r="I2288" t="s">
        <v>4152</v>
      </c>
      <c r="J2288" t="s">
        <v>4153</v>
      </c>
      <c r="K2288" t="s">
        <v>362</v>
      </c>
      <c r="L2288" t="s">
        <v>30</v>
      </c>
      <c r="M2288" t="s">
        <v>31</v>
      </c>
      <c r="Q2288" s="4">
        <v>1</v>
      </c>
    </row>
    <row r="2289" spans="1:20" x14ac:dyDescent="0.55000000000000004">
      <c r="A2289" t="s">
        <v>5410</v>
      </c>
      <c r="C2289" t="s">
        <v>4444</v>
      </c>
      <c r="D2289" t="s">
        <v>4445</v>
      </c>
      <c r="E2289" t="s">
        <v>39</v>
      </c>
      <c r="F2289" t="s">
        <v>30</v>
      </c>
      <c r="G2289" t="s">
        <v>31</v>
      </c>
      <c r="H2289" t="s">
        <v>991</v>
      </c>
      <c r="I2289" t="s">
        <v>4446</v>
      </c>
      <c r="J2289" t="s">
        <v>4447</v>
      </c>
      <c r="K2289" t="s">
        <v>39</v>
      </c>
      <c r="L2289" t="s">
        <v>30</v>
      </c>
      <c r="M2289" t="s">
        <v>31</v>
      </c>
      <c r="N2289" t="s">
        <v>991</v>
      </c>
      <c r="Q2289" s="4">
        <v>1</v>
      </c>
    </row>
    <row r="2290" spans="1:20" s="16" customFormat="1" ht="18.5" thickBot="1" x14ac:dyDescent="0.6">
      <c r="A2290" s="16" t="s">
        <v>5411</v>
      </c>
      <c r="C2290" s="16" t="s">
        <v>4446</v>
      </c>
      <c r="D2290" s="16" t="s">
        <v>4447</v>
      </c>
      <c r="E2290" s="16" t="s">
        <v>39</v>
      </c>
      <c r="F2290" s="16" t="s">
        <v>30</v>
      </c>
      <c r="G2290" s="16" t="s">
        <v>31</v>
      </c>
      <c r="H2290" s="16" t="s">
        <v>991</v>
      </c>
      <c r="I2290" s="16" t="s">
        <v>4156</v>
      </c>
      <c r="J2290" s="16" t="s">
        <v>4157</v>
      </c>
      <c r="K2290" s="16" t="s">
        <v>39</v>
      </c>
      <c r="L2290" s="16" t="s">
        <v>30</v>
      </c>
      <c r="M2290" s="16" t="s">
        <v>31</v>
      </c>
      <c r="N2290" s="16" t="s">
        <v>991</v>
      </c>
      <c r="Q2290" s="17">
        <f>S2290/T2290</f>
        <v>0.56000000000000005</v>
      </c>
      <c r="S2290" s="16">
        <f>MID(D2290,FIND("x",D2290)+7,4)*1</f>
        <v>2800</v>
      </c>
      <c r="T2290" s="16">
        <v>5000</v>
      </c>
    </row>
    <row r="2291" spans="1:20" x14ac:dyDescent="0.55000000000000004">
      <c r="A2291" t="s">
        <v>5412</v>
      </c>
      <c r="C2291" t="s">
        <v>4448</v>
      </c>
      <c r="D2291" t="s">
        <v>4449</v>
      </c>
      <c r="E2291" t="s">
        <v>39</v>
      </c>
      <c r="F2291" t="s">
        <v>30</v>
      </c>
      <c r="G2291" t="s">
        <v>31</v>
      </c>
      <c r="H2291" t="s">
        <v>991</v>
      </c>
      <c r="I2291" t="s">
        <v>4152</v>
      </c>
      <c r="J2291" t="s">
        <v>4153</v>
      </c>
      <c r="K2291" t="s">
        <v>362</v>
      </c>
      <c r="L2291" t="s">
        <v>30</v>
      </c>
      <c r="M2291" t="s">
        <v>31</v>
      </c>
      <c r="Q2291" s="4">
        <v>1</v>
      </c>
    </row>
    <row r="2292" spans="1:20" x14ac:dyDescent="0.55000000000000004">
      <c r="A2292" t="s">
        <v>5413</v>
      </c>
      <c r="C2292" t="s">
        <v>4448</v>
      </c>
      <c r="D2292" t="s">
        <v>4449</v>
      </c>
      <c r="E2292" t="s">
        <v>39</v>
      </c>
      <c r="F2292" t="s">
        <v>30</v>
      </c>
      <c r="G2292" t="s">
        <v>31</v>
      </c>
      <c r="H2292" t="s">
        <v>991</v>
      </c>
      <c r="I2292" t="s">
        <v>4450</v>
      </c>
      <c r="J2292" t="s">
        <v>4451</v>
      </c>
      <c r="K2292" t="s">
        <v>39</v>
      </c>
      <c r="L2292" t="s">
        <v>30</v>
      </c>
      <c r="M2292" t="s">
        <v>31</v>
      </c>
      <c r="N2292" t="s">
        <v>991</v>
      </c>
      <c r="Q2292" s="4">
        <v>1</v>
      </c>
    </row>
    <row r="2293" spans="1:20" s="16" customFormat="1" ht="18.5" thickBot="1" x14ac:dyDescent="0.6">
      <c r="A2293" s="16" t="s">
        <v>5414</v>
      </c>
      <c r="C2293" s="16" t="s">
        <v>4450</v>
      </c>
      <c r="D2293" s="16" t="s">
        <v>4451</v>
      </c>
      <c r="E2293" s="16" t="s">
        <v>39</v>
      </c>
      <c r="F2293" s="16" t="s">
        <v>30</v>
      </c>
      <c r="G2293" s="16" t="s">
        <v>31</v>
      </c>
      <c r="H2293" s="16" t="s">
        <v>991</v>
      </c>
      <c r="I2293" s="16" t="s">
        <v>4156</v>
      </c>
      <c r="J2293" s="16" t="s">
        <v>4157</v>
      </c>
      <c r="K2293" s="16" t="s">
        <v>39</v>
      </c>
      <c r="L2293" s="16" t="s">
        <v>30</v>
      </c>
      <c r="M2293" s="16" t="s">
        <v>31</v>
      </c>
      <c r="N2293" s="16" t="s">
        <v>991</v>
      </c>
      <c r="Q2293" s="17">
        <f>S2293/T2293</f>
        <v>0.57999999999999996</v>
      </c>
      <c r="S2293" s="16">
        <f>MID(D2293,FIND("x",D2293)+7,4)*1</f>
        <v>2900</v>
      </c>
      <c r="T2293" s="16">
        <v>5000</v>
      </c>
    </row>
    <row r="2294" spans="1:20" x14ac:dyDescent="0.55000000000000004">
      <c r="A2294" t="s">
        <v>5415</v>
      </c>
      <c r="C2294" t="s">
        <v>4452</v>
      </c>
      <c r="D2294" t="s">
        <v>4453</v>
      </c>
      <c r="E2294" t="s">
        <v>39</v>
      </c>
      <c r="F2294" t="s">
        <v>30</v>
      </c>
      <c r="G2294" t="s">
        <v>31</v>
      </c>
      <c r="H2294" t="s">
        <v>991</v>
      </c>
      <c r="I2294" t="s">
        <v>4152</v>
      </c>
      <c r="J2294" t="s">
        <v>4153</v>
      </c>
      <c r="K2294" t="s">
        <v>362</v>
      </c>
      <c r="L2294" t="s">
        <v>30</v>
      </c>
      <c r="M2294" t="s">
        <v>31</v>
      </c>
      <c r="Q2294" s="4">
        <v>1</v>
      </c>
    </row>
    <row r="2295" spans="1:20" x14ac:dyDescent="0.55000000000000004">
      <c r="A2295" t="s">
        <v>5416</v>
      </c>
      <c r="C2295" t="s">
        <v>4452</v>
      </c>
      <c r="D2295" t="s">
        <v>4453</v>
      </c>
      <c r="E2295" t="s">
        <v>39</v>
      </c>
      <c r="F2295" t="s">
        <v>30</v>
      </c>
      <c r="G2295" t="s">
        <v>31</v>
      </c>
      <c r="H2295" t="s">
        <v>991</v>
      </c>
      <c r="I2295" t="s">
        <v>4454</v>
      </c>
      <c r="J2295" t="s">
        <v>4455</v>
      </c>
      <c r="K2295" t="s">
        <v>39</v>
      </c>
      <c r="L2295" t="s">
        <v>30</v>
      </c>
      <c r="M2295" t="s">
        <v>31</v>
      </c>
      <c r="N2295" t="s">
        <v>991</v>
      </c>
      <c r="Q2295" s="4">
        <v>1</v>
      </c>
    </row>
    <row r="2296" spans="1:20" s="16" customFormat="1" ht="18.5" thickBot="1" x14ac:dyDescent="0.6">
      <c r="A2296" s="16" t="s">
        <v>5417</v>
      </c>
      <c r="C2296" s="16" t="s">
        <v>4454</v>
      </c>
      <c r="D2296" s="16" t="s">
        <v>4455</v>
      </c>
      <c r="E2296" s="16" t="s">
        <v>39</v>
      </c>
      <c r="F2296" s="16" t="s">
        <v>30</v>
      </c>
      <c r="G2296" s="16" t="s">
        <v>31</v>
      </c>
      <c r="H2296" s="16" t="s">
        <v>991</v>
      </c>
      <c r="I2296" s="16" t="s">
        <v>4156</v>
      </c>
      <c r="J2296" s="16" t="s">
        <v>4157</v>
      </c>
      <c r="K2296" s="16" t="s">
        <v>39</v>
      </c>
      <c r="L2296" s="16" t="s">
        <v>30</v>
      </c>
      <c r="M2296" s="16" t="s">
        <v>31</v>
      </c>
      <c r="N2296" s="16" t="s">
        <v>991</v>
      </c>
      <c r="Q2296" s="17">
        <f>S2296/T2296</f>
        <v>0.6</v>
      </c>
      <c r="S2296" s="16">
        <f>MID(D2296,FIND("x",D2296)+7,4)*1</f>
        <v>3000</v>
      </c>
      <c r="T2296" s="16">
        <v>5000</v>
      </c>
    </row>
    <row r="2297" spans="1:20" x14ac:dyDescent="0.55000000000000004">
      <c r="A2297" t="s">
        <v>5418</v>
      </c>
      <c r="C2297" t="s">
        <v>4456</v>
      </c>
      <c r="D2297" t="s">
        <v>4457</v>
      </c>
      <c r="E2297" t="s">
        <v>39</v>
      </c>
      <c r="F2297" t="s">
        <v>30</v>
      </c>
      <c r="G2297" t="s">
        <v>31</v>
      </c>
      <c r="H2297" t="s">
        <v>991</v>
      </c>
      <c r="I2297" t="s">
        <v>4152</v>
      </c>
      <c r="J2297" t="s">
        <v>4153</v>
      </c>
      <c r="K2297" t="s">
        <v>362</v>
      </c>
      <c r="L2297" t="s">
        <v>30</v>
      </c>
      <c r="M2297" t="s">
        <v>31</v>
      </c>
      <c r="Q2297" s="4">
        <v>1</v>
      </c>
    </row>
    <row r="2298" spans="1:20" x14ac:dyDescent="0.55000000000000004">
      <c r="A2298" t="s">
        <v>5419</v>
      </c>
      <c r="C2298" t="s">
        <v>4456</v>
      </c>
      <c r="D2298" t="s">
        <v>4457</v>
      </c>
      <c r="E2298" t="s">
        <v>39</v>
      </c>
      <c r="F2298" t="s">
        <v>30</v>
      </c>
      <c r="G2298" t="s">
        <v>31</v>
      </c>
      <c r="H2298" t="s">
        <v>991</v>
      </c>
      <c r="I2298" t="s">
        <v>4458</v>
      </c>
      <c r="J2298" t="s">
        <v>4459</v>
      </c>
      <c r="K2298" t="s">
        <v>39</v>
      </c>
      <c r="L2298" t="s">
        <v>30</v>
      </c>
      <c r="M2298" t="s">
        <v>31</v>
      </c>
      <c r="N2298" t="s">
        <v>991</v>
      </c>
      <c r="Q2298" s="4">
        <v>1</v>
      </c>
    </row>
    <row r="2299" spans="1:20" s="16" customFormat="1" ht="18.5" thickBot="1" x14ac:dyDescent="0.6">
      <c r="A2299" s="16" t="s">
        <v>5420</v>
      </c>
      <c r="C2299" s="16" t="s">
        <v>4458</v>
      </c>
      <c r="D2299" s="16" t="s">
        <v>4459</v>
      </c>
      <c r="E2299" s="16" t="s">
        <v>39</v>
      </c>
      <c r="F2299" s="16" t="s">
        <v>30</v>
      </c>
      <c r="G2299" s="16" t="s">
        <v>31</v>
      </c>
      <c r="H2299" s="16" t="s">
        <v>991</v>
      </c>
      <c r="I2299" s="16" t="s">
        <v>4156</v>
      </c>
      <c r="J2299" s="16" t="s">
        <v>4157</v>
      </c>
      <c r="K2299" s="16" t="s">
        <v>39</v>
      </c>
      <c r="L2299" s="16" t="s">
        <v>30</v>
      </c>
      <c r="M2299" s="16" t="s">
        <v>31</v>
      </c>
      <c r="N2299" s="16" t="s">
        <v>991</v>
      </c>
      <c r="Q2299" s="17">
        <f>S2299/T2299</f>
        <v>0.62</v>
      </c>
      <c r="S2299" s="16">
        <f>MID(D2299,FIND("x",D2299)+7,4)*1</f>
        <v>3100</v>
      </c>
      <c r="T2299" s="16">
        <v>5000</v>
      </c>
    </row>
    <row r="2300" spans="1:20" x14ac:dyDescent="0.55000000000000004">
      <c r="A2300" t="s">
        <v>5421</v>
      </c>
      <c r="C2300" t="s">
        <v>4202</v>
      </c>
      <c r="D2300" t="s">
        <v>4203</v>
      </c>
      <c r="E2300" t="s">
        <v>39</v>
      </c>
      <c r="F2300" t="s">
        <v>30</v>
      </c>
      <c r="G2300" t="s">
        <v>31</v>
      </c>
      <c r="H2300" t="s">
        <v>991</v>
      </c>
      <c r="I2300" t="s">
        <v>4204</v>
      </c>
      <c r="J2300" t="s">
        <v>4205</v>
      </c>
      <c r="K2300" t="s">
        <v>362</v>
      </c>
      <c r="L2300" t="s">
        <v>30</v>
      </c>
      <c r="M2300" t="s">
        <v>31</v>
      </c>
      <c r="Q2300" s="4">
        <v>1</v>
      </c>
    </row>
    <row r="2301" spans="1:20" x14ac:dyDescent="0.55000000000000004">
      <c r="A2301" t="s">
        <v>5422</v>
      </c>
      <c r="C2301" t="s">
        <v>4202</v>
      </c>
      <c r="D2301" t="s">
        <v>4203</v>
      </c>
      <c r="E2301" t="s">
        <v>39</v>
      </c>
      <c r="F2301" t="s">
        <v>30</v>
      </c>
      <c r="G2301" t="s">
        <v>31</v>
      </c>
      <c r="H2301" t="s">
        <v>991</v>
      </c>
      <c r="I2301" t="s">
        <v>4206</v>
      </c>
      <c r="J2301" t="s">
        <v>4207</v>
      </c>
      <c r="K2301" t="s">
        <v>39</v>
      </c>
      <c r="L2301" t="s">
        <v>30</v>
      </c>
      <c r="M2301" t="s">
        <v>31</v>
      </c>
      <c r="N2301" t="s">
        <v>991</v>
      </c>
      <c r="Q2301" s="4">
        <v>1</v>
      </c>
    </row>
    <row r="2302" spans="1:20" x14ac:dyDescent="0.55000000000000004">
      <c r="A2302" t="s">
        <v>5423</v>
      </c>
      <c r="C2302" t="s">
        <v>4206</v>
      </c>
      <c r="D2302" t="s">
        <v>4207</v>
      </c>
      <c r="E2302" t="s">
        <v>39</v>
      </c>
      <c r="F2302" t="s">
        <v>30</v>
      </c>
      <c r="G2302" t="s">
        <v>31</v>
      </c>
      <c r="H2302" t="s">
        <v>991</v>
      </c>
      <c r="I2302" t="s">
        <v>4208</v>
      </c>
      <c r="J2302" t="s">
        <v>4209</v>
      </c>
      <c r="K2302" t="s">
        <v>39</v>
      </c>
      <c r="L2302" t="s">
        <v>30</v>
      </c>
      <c r="M2302" t="s">
        <v>31</v>
      </c>
      <c r="N2302" t="s">
        <v>991</v>
      </c>
      <c r="Q2302" s="15">
        <f>S2302/T2302</f>
        <v>0.1</v>
      </c>
      <c r="S2302">
        <f>MID(D2302,FIND("x",D2302)+6,3)*1</f>
        <v>500</v>
      </c>
      <c r="T2302">
        <v>5000</v>
      </c>
    </row>
    <row r="2303" spans="1:20" s="10" customFormat="1" ht="18.5" thickBot="1" x14ac:dyDescent="0.6">
      <c r="A2303" s="10" t="s">
        <v>5424</v>
      </c>
      <c r="C2303" s="10" t="s">
        <v>4208</v>
      </c>
      <c r="D2303" s="10" t="s">
        <v>4209</v>
      </c>
      <c r="E2303" s="10" t="s">
        <v>39</v>
      </c>
      <c r="F2303" s="10" t="s">
        <v>30</v>
      </c>
      <c r="G2303" s="10" t="s">
        <v>31</v>
      </c>
      <c r="H2303" s="10" t="s">
        <v>991</v>
      </c>
      <c r="I2303" s="10" t="s">
        <v>4210</v>
      </c>
      <c r="J2303" s="10" t="s">
        <v>4211</v>
      </c>
      <c r="K2303" s="10" t="s">
        <v>39</v>
      </c>
      <c r="L2303" s="10" t="s">
        <v>30</v>
      </c>
      <c r="M2303" s="10" t="s">
        <v>31</v>
      </c>
      <c r="N2303" s="10" t="s">
        <v>991</v>
      </c>
      <c r="Q2303" s="14">
        <v>1</v>
      </c>
    </row>
    <row r="2304" spans="1:20" x14ac:dyDescent="0.55000000000000004">
      <c r="A2304" t="s">
        <v>5425</v>
      </c>
      <c r="C2304" t="s">
        <v>4212</v>
      </c>
      <c r="D2304" t="s">
        <v>4213</v>
      </c>
      <c r="E2304" t="s">
        <v>39</v>
      </c>
      <c r="F2304" t="s">
        <v>30</v>
      </c>
      <c r="G2304" t="s">
        <v>31</v>
      </c>
      <c r="H2304" t="s">
        <v>991</v>
      </c>
      <c r="I2304" t="s">
        <v>4204</v>
      </c>
      <c r="J2304" t="s">
        <v>4205</v>
      </c>
      <c r="K2304" t="s">
        <v>362</v>
      </c>
      <c r="L2304" t="s">
        <v>30</v>
      </c>
      <c r="M2304" t="s">
        <v>31</v>
      </c>
      <c r="Q2304" s="4">
        <v>1</v>
      </c>
    </row>
    <row r="2305" spans="1:20" x14ac:dyDescent="0.55000000000000004">
      <c r="A2305" t="s">
        <v>5426</v>
      </c>
      <c r="C2305" t="s">
        <v>4212</v>
      </c>
      <c r="D2305" t="s">
        <v>4213</v>
      </c>
      <c r="E2305" t="s">
        <v>39</v>
      </c>
      <c r="F2305" t="s">
        <v>30</v>
      </c>
      <c r="G2305" t="s">
        <v>31</v>
      </c>
      <c r="H2305" t="s">
        <v>991</v>
      </c>
      <c r="I2305" t="s">
        <v>4214</v>
      </c>
      <c r="J2305" t="s">
        <v>4215</v>
      </c>
      <c r="K2305" t="s">
        <v>39</v>
      </c>
      <c r="L2305" t="s">
        <v>30</v>
      </c>
      <c r="M2305" t="s">
        <v>31</v>
      </c>
      <c r="N2305" t="s">
        <v>991</v>
      </c>
      <c r="Q2305" s="4">
        <v>1</v>
      </c>
    </row>
    <row r="2306" spans="1:20" s="16" customFormat="1" ht="18.5" thickBot="1" x14ac:dyDescent="0.6">
      <c r="A2306" s="16" t="s">
        <v>5427</v>
      </c>
      <c r="C2306" s="16" t="s">
        <v>4214</v>
      </c>
      <c r="D2306" s="16" t="s">
        <v>4215</v>
      </c>
      <c r="E2306" s="16" t="s">
        <v>39</v>
      </c>
      <c r="F2306" s="16" t="s">
        <v>30</v>
      </c>
      <c r="G2306" s="16" t="s">
        <v>31</v>
      </c>
      <c r="H2306" s="16" t="s">
        <v>991</v>
      </c>
      <c r="I2306" s="16" t="s">
        <v>4208</v>
      </c>
      <c r="J2306" s="16" t="s">
        <v>4209</v>
      </c>
      <c r="K2306" s="16" t="s">
        <v>39</v>
      </c>
      <c r="L2306" s="16" t="s">
        <v>30</v>
      </c>
      <c r="M2306" s="16" t="s">
        <v>31</v>
      </c>
      <c r="N2306" s="16" t="s">
        <v>991</v>
      </c>
      <c r="Q2306" s="17">
        <f>S2306/T2306</f>
        <v>0.12</v>
      </c>
      <c r="S2306" s="16">
        <f>MID(D2306,FIND("x",D2306)+6,3)*1</f>
        <v>600</v>
      </c>
      <c r="T2306" s="16">
        <v>5000</v>
      </c>
    </row>
    <row r="2307" spans="1:20" x14ac:dyDescent="0.55000000000000004">
      <c r="A2307" t="s">
        <v>5428</v>
      </c>
      <c r="C2307" t="s">
        <v>4216</v>
      </c>
      <c r="D2307" t="s">
        <v>4217</v>
      </c>
      <c r="E2307" t="s">
        <v>39</v>
      </c>
      <c r="F2307" t="s">
        <v>30</v>
      </c>
      <c r="G2307" t="s">
        <v>31</v>
      </c>
      <c r="H2307" t="s">
        <v>991</v>
      </c>
      <c r="I2307" t="s">
        <v>4204</v>
      </c>
      <c r="J2307" t="s">
        <v>4205</v>
      </c>
      <c r="K2307" t="s">
        <v>362</v>
      </c>
      <c r="L2307" t="s">
        <v>30</v>
      </c>
      <c r="M2307" t="s">
        <v>31</v>
      </c>
      <c r="Q2307" s="4">
        <v>1</v>
      </c>
    </row>
    <row r="2308" spans="1:20" x14ac:dyDescent="0.55000000000000004">
      <c r="A2308" t="s">
        <v>5429</v>
      </c>
      <c r="C2308" t="s">
        <v>4216</v>
      </c>
      <c r="D2308" t="s">
        <v>4217</v>
      </c>
      <c r="E2308" t="s">
        <v>39</v>
      </c>
      <c r="F2308" t="s">
        <v>30</v>
      </c>
      <c r="G2308" t="s">
        <v>31</v>
      </c>
      <c r="H2308" t="s">
        <v>991</v>
      </c>
      <c r="I2308" t="s">
        <v>4218</v>
      </c>
      <c r="J2308" t="s">
        <v>4219</v>
      </c>
      <c r="K2308" t="s">
        <v>39</v>
      </c>
      <c r="L2308" t="s">
        <v>30</v>
      </c>
      <c r="M2308" t="s">
        <v>31</v>
      </c>
      <c r="N2308" t="s">
        <v>991</v>
      </c>
      <c r="Q2308" s="4">
        <v>1</v>
      </c>
    </row>
    <row r="2309" spans="1:20" s="16" customFormat="1" ht="18.5" thickBot="1" x14ac:dyDescent="0.6">
      <c r="A2309" s="16" t="s">
        <v>5430</v>
      </c>
      <c r="C2309" s="16" t="s">
        <v>4218</v>
      </c>
      <c r="D2309" s="16" t="s">
        <v>4219</v>
      </c>
      <c r="E2309" s="16" t="s">
        <v>39</v>
      </c>
      <c r="F2309" s="16" t="s">
        <v>30</v>
      </c>
      <c r="G2309" s="16" t="s">
        <v>31</v>
      </c>
      <c r="H2309" s="16" t="s">
        <v>991</v>
      </c>
      <c r="I2309" s="16" t="s">
        <v>4208</v>
      </c>
      <c r="J2309" s="16" t="s">
        <v>4209</v>
      </c>
      <c r="K2309" s="16" t="s">
        <v>39</v>
      </c>
      <c r="L2309" s="16" t="s">
        <v>30</v>
      </c>
      <c r="M2309" s="16" t="s">
        <v>31</v>
      </c>
      <c r="N2309" s="16" t="s">
        <v>991</v>
      </c>
      <c r="Q2309" s="17">
        <f>S2309/T2309</f>
        <v>0.14000000000000001</v>
      </c>
      <c r="S2309" s="16">
        <f>MID(D2309,FIND("x",D2309)+6,3)*1</f>
        <v>700</v>
      </c>
      <c r="T2309" s="16">
        <v>5000</v>
      </c>
    </row>
    <row r="2310" spans="1:20" x14ac:dyDescent="0.55000000000000004">
      <c r="A2310" t="s">
        <v>5431</v>
      </c>
      <c r="C2310" t="s">
        <v>4220</v>
      </c>
      <c r="D2310" t="s">
        <v>4221</v>
      </c>
      <c r="E2310" t="s">
        <v>39</v>
      </c>
      <c r="F2310" t="s">
        <v>30</v>
      </c>
      <c r="G2310" t="s">
        <v>31</v>
      </c>
      <c r="H2310" t="s">
        <v>991</v>
      </c>
      <c r="I2310" t="s">
        <v>4204</v>
      </c>
      <c r="J2310" t="s">
        <v>4205</v>
      </c>
      <c r="K2310" t="s">
        <v>362</v>
      </c>
      <c r="L2310" t="s">
        <v>30</v>
      </c>
      <c r="M2310" t="s">
        <v>31</v>
      </c>
      <c r="Q2310" s="4">
        <v>1</v>
      </c>
    </row>
    <row r="2311" spans="1:20" x14ac:dyDescent="0.55000000000000004">
      <c r="A2311" t="s">
        <v>5432</v>
      </c>
      <c r="C2311" t="s">
        <v>4220</v>
      </c>
      <c r="D2311" t="s">
        <v>4221</v>
      </c>
      <c r="E2311" t="s">
        <v>39</v>
      </c>
      <c r="F2311" t="s">
        <v>30</v>
      </c>
      <c r="G2311" t="s">
        <v>31</v>
      </c>
      <c r="H2311" t="s">
        <v>991</v>
      </c>
      <c r="I2311" t="s">
        <v>4222</v>
      </c>
      <c r="J2311" t="s">
        <v>4223</v>
      </c>
      <c r="K2311" t="s">
        <v>39</v>
      </c>
      <c r="L2311" t="s">
        <v>30</v>
      </c>
      <c r="M2311" t="s">
        <v>31</v>
      </c>
      <c r="N2311" t="s">
        <v>991</v>
      </c>
      <c r="Q2311" s="4">
        <v>1</v>
      </c>
    </row>
    <row r="2312" spans="1:20" s="16" customFormat="1" ht="18.5" thickBot="1" x14ac:dyDescent="0.6">
      <c r="A2312" s="16" t="s">
        <v>5433</v>
      </c>
      <c r="C2312" s="16" t="s">
        <v>4222</v>
      </c>
      <c r="D2312" s="16" t="s">
        <v>4223</v>
      </c>
      <c r="E2312" s="16" t="s">
        <v>39</v>
      </c>
      <c r="F2312" s="16" t="s">
        <v>30</v>
      </c>
      <c r="G2312" s="16" t="s">
        <v>31</v>
      </c>
      <c r="H2312" s="16" t="s">
        <v>991</v>
      </c>
      <c r="I2312" s="16" t="s">
        <v>4208</v>
      </c>
      <c r="J2312" s="16" t="s">
        <v>4209</v>
      </c>
      <c r="K2312" s="16" t="s">
        <v>39</v>
      </c>
      <c r="L2312" s="16" t="s">
        <v>30</v>
      </c>
      <c r="M2312" s="16" t="s">
        <v>31</v>
      </c>
      <c r="N2312" s="16" t="s">
        <v>991</v>
      </c>
      <c r="Q2312" s="17">
        <f>S2312/T2312</f>
        <v>0.16</v>
      </c>
      <c r="S2312" s="16">
        <f>MID(D2312,FIND("x",D2312)+6,3)*1</f>
        <v>800</v>
      </c>
      <c r="T2312" s="16">
        <v>5000</v>
      </c>
    </row>
    <row r="2313" spans="1:20" x14ac:dyDescent="0.55000000000000004">
      <c r="A2313" t="s">
        <v>5434</v>
      </c>
      <c r="C2313" t="s">
        <v>4224</v>
      </c>
      <c r="D2313" t="s">
        <v>4225</v>
      </c>
      <c r="E2313" t="s">
        <v>39</v>
      </c>
      <c r="F2313" t="s">
        <v>30</v>
      </c>
      <c r="G2313" t="s">
        <v>31</v>
      </c>
      <c r="H2313" t="s">
        <v>991</v>
      </c>
      <c r="I2313" t="s">
        <v>4204</v>
      </c>
      <c r="J2313" t="s">
        <v>4205</v>
      </c>
      <c r="K2313" t="s">
        <v>362</v>
      </c>
      <c r="L2313" t="s">
        <v>30</v>
      </c>
      <c r="M2313" t="s">
        <v>31</v>
      </c>
      <c r="Q2313" s="4">
        <v>1</v>
      </c>
    </row>
    <row r="2314" spans="1:20" x14ac:dyDescent="0.55000000000000004">
      <c r="A2314" t="s">
        <v>5435</v>
      </c>
      <c r="C2314" t="s">
        <v>4224</v>
      </c>
      <c r="D2314" t="s">
        <v>4225</v>
      </c>
      <c r="E2314" t="s">
        <v>39</v>
      </c>
      <c r="F2314" t="s">
        <v>30</v>
      </c>
      <c r="G2314" t="s">
        <v>31</v>
      </c>
      <c r="H2314" t="s">
        <v>991</v>
      </c>
      <c r="I2314" t="s">
        <v>4226</v>
      </c>
      <c r="J2314" t="s">
        <v>4227</v>
      </c>
      <c r="K2314" t="s">
        <v>39</v>
      </c>
      <c r="L2314" t="s">
        <v>30</v>
      </c>
      <c r="M2314" t="s">
        <v>31</v>
      </c>
      <c r="N2314" t="s">
        <v>991</v>
      </c>
      <c r="Q2314" s="4">
        <v>1</v>
      </c>
    </row>
    <row r="2315" spans="1:20" s="16" customFormat="1" ht="18.5" thickBot="1" x14ac:dyDescent="0.6">
      <c r="A2315" s="16" t="s">
        <v>5436</v>
      </c>
      <c r="C2315" s="16" t="s">
        <v>4226</v>
      </c>
      <c r="D2315" s="16" t="s">
        <v>4227</v>
      </c>
      <c r="E2315" s="16" t="s">
        <v>39</v>
      </c>
      <c r="F2315" s="16" t="s">
        <v>30</v>
      </c>
      <c r="G2315" s="16" t="s">
        <v>31</v>
      </c>
      <c r="H2315" s="16" t="s">
        <v>991</v>
      </c>
      <c r="I2315" s="16" t="s">
        <v>4208</v>
      </c>
      <c r="J2315" s="16" t="s">
        <v>4209</v>
      </c>
      <c r="K2315" s="16" t="s">
        <v>39</v>
      </c>
      <c r="L2315" s="16" t="s">
        <v>30</v>
      </c>
      <c r="M2315" s="16" t="s">
        <v>31</v>
      </c>
      <c r="N2315" s="16" t="s">
        <v>991</v>
      </c>
      <c r="Q2315" s="17">
        <f>S2315/T2315</f>
        <v>0.18</v>
      </c>
      <c r="S2315" s="16">
        <f>MID(D2315,FIND("x",D2315)+6,3)*1</f>
        <v>900</v>
      </c>
      <c r="T2315" s="16">
        <v>5000</v>
      </c>
    </row>
    <row r="2316" spans="1:20" x14ac:dyDescent="0.55000000000000004">
      <c r="A2316" t="s">
        <v>5437</v>
      </c>
      <c r="C2316" t="s">
        <v>4228</v>
      </c>
      <c r="D2316" t="s">
        <v>4229</v>
      </c>
      <c r="E2316" t="s">
        <v>39</v>
      </c>
      <c r="F2316" t="s">
        <v>30</v>
      </c>
      <c r="G2316" t="s">
        <v>31</v>
      </c>
      <c r="H2316" t="s">
        <v>991</v>
      </c>
      <c r="I2316" t="s">
        <v>4204</v>
      </c>
      <c r="J2316" t="s">
        <v>4205</v>
      </c>
      <c r="K2316" t="s">
        <v>362</v>
      </c>
      <c r="L2316" t="s">
        <v>30</v>
      </c>
      <c r="M2316" t="s">
        <v>31</v>
      </c>
      <c r="Q2316" s="4">
        <v>1</v>
      </c>
    </row>
    <row r="2317" spans="1:20" x14ac:dyDescent="0.55000000000000004">
      <c r="A2317" t="s">
        <v>5438</v>
      </c>
      <c r="C2317" t="s">
        <v>4228</v>
      </c>
      <c r="D2317" t="s">
        <v>4229</v>
      </c>
      <c r="E2317" t="s">
        <v>39</v>
      </c>
      <c r="F2317" t="s">
        <v>30</v>
      </c>
      <c r="G2317" t="s">
        <v>31</v>
      </c>
      <c r="H2317" t="s">
        <v>991</v>
      </c>
      <c r="I2317" t="s">
        <v>4230</v>
      </c>
      <c r="J2317" t="s">
        <v>4231</v>
      </c>
      <c r="K2317" t="s">
        <v>39</v>
      </c>
      <c r="L2317" t="s">
        <v>30</v>
      </c>
      <c r="M2317" t="s">
        <v>31</v>
      </c>
      <c r="N2317" t="s">
        <v>991</v>
      </c>
      <c r="Q2317" s="4">
        <v>1</v>
      </c>
    </row>
    <row r="2318" spans="1:20" s="16" customFormat="1" ht="18.5" thickBot="1" x14ac:dyDescent="0.6">
      <c r="A2318" s="16" t="s">
        <v>5439</v>
      </c>
      <c r="C2318" s="16" t="s">
        <v>4230</v>
      </c>
      <c r="D2318" s="16" t="s">
        <v>4231</v>
      </c>
      <c r="E2318" s="16" t="s">
        <v>39</v>
      </c>
      <c r="F2318" s="16" t="s">
        <v>30</v>
      </c>
      <c r="G2318" s="16" t="s">
        <v>31</v>
      </c>
      <c r="H2318" s="16" t="s">
        <v>991</v>
      </c>
      <c r="I2318" s="16" t="s">
        <v>4208</v>
      </c>
      <c r="J2318" s="16" t="s">
        <v>4209</v>
      </c>
      <c r="K2318" s="16" t="s">
        <v>39</v>
      </c>
      <c r="L2318" s="16" t="s">
        <v>30</v>
      </c>
      <c r="M2318" s="16" t="s">
        <v>31</v>
      </c>
      <c r="N2318" s="16" t="s">
        <v>991</v>
      </c>
      <c r="Q2318" s="17">
        <f>S2318/T2318</f>
        <v>0.2</v>
      </c>
      <c r="S2318" s="16">
        <f>MID(D2318,FIND("x",D2318)+7,4)*1</f>
        <v>1000</v>
      </c>
      <c r="T2318" s="16">
        <v>5000</v>
      </c>
    </row>
    <row r="2319" spans="1:20" x14ac:dyDescent="0.55000000000000004">
      <c r="A2319" t="s">
        <v>5440</v>
      </c>
      <c r="C2319" t="s">
        <v>4232</v>
      </c>
      <c r="D2319" t="s">
        <v>4233</v>
      </c>
      <c r="E2319" t="s">
        <v>39</v>
      </c>
      <c r="F2319" t="s">
        <v>30</v>
      </c>
      <c r="G2319" t="s">
        <v>31</v>
      </c>
      <c r="H2319" t="s">
        <v>991</v>
      </c>
      <c r="I2319" t="s">
        <v>4204</v>
      </c>
      <c r="J2319" t="s">
        <v>4205</v>
      </c>
      <c r="K2319" t="s">
        <v>362</v>
      </c>
      <c r="L2319" t="s">
        <v>30</v>
      </c>
      <c r="M2319" t="s">
        <v>31</v>
      </c>
      <c r="Q2319" s="4">
        <v>1</v>
      </c>
    </row>
    <row r="2320" spans="1:20" x14ac:dyDescent="0.55000000000000004">
      <c r="A2320" t="s">
        <v>5441</v>
      </c>
      <c r="C2320" t="s">
        <v>4232</v>
      </c>
      <c r="D2320" t="s">
        <v>4233</v>
      </c>
      <c r="E2320" t="s">
        <v>39</v>
      </c>
      <c r="F2320" t="s">
        <v>30</v>
      </c>
      <c r="G2320" t="s">
        <v>31</v>
      </c>
      <c r="H2320" t="s">
        <v>991</v>
      </c>
      <c r="I2320" t="s">
        <v>4234</v>
      </c>
      <c r="J2320" t="s">
        <v>4235</v>
      </c>
      <c r="K2320" t="s">
        <v>39</v>
      </c>
      <c r="L2320" t="s">
        <v>30</v>
      </c>
      <c r="M2320" t="s">
        <v>31</v>
      </c>
      <c r="N2320" t="s">
        <v>991</v>
      </c>
      <c r="Q2320" s="4">
        <v>1</v>
      </c>
    </row>
    <row r="2321" spans="1:20" s="16" customFormat="1" ht="18.5" thickBot="1" x14ac:dyDescent="0.6">
      <c r="A2321" s="16" t="s">
        <v>5442</v>
      </c>
      <c r="C2321" s="16" t="s">
        <v>4234</v>
      </c>
      <c r="D2321" s="16" t="s">
        <v>4235</v>
      </c>
      <c r="E2321" s="16" t="s">
        <v>39</v>
      </c>
      <c r="F2321" s="16" t="s">
        <v>30</v>
      </c>
      <c r="G2321" s="16" t="s">
        <v>31</v>
      </c>
      <c r="H2321" s="16" t="s">
        <v>991</v>
      </c>
      <c r="I2321" s="16" t="s">
        <v>4208</v>
      </c>
      <c r="J2321" s="16" t="s">
        <v>4209</v>
      </c>
      <c r="K2321" s="16" t="s">
        <v>39</v>
      </c>
      <c r="L2321" s="16" t="s">
        <v>30</v>
      </c>
      <c r="M2321" s="16" t="s">
        <v>31</v>
      </c>
      <c r="N2321" s="16" t="s">
        <v>991</v>
      </c>
      <c r="Q2321" s="17">
        <f>S2321/T2321</f>
        <v>0.22</v>
      </c>
      <c r="S2321" s="16">
        <f>MID(D2321,FIND("x",D2321)+7,4)*1</f>
        <v>1100</v>
      </c>
      <c r="T2321" s="16">
        <v>5000</v>
      </c>
    </row>
    <row r="2322" spans="1:20" x14ac:dyDescent="0.55000000000000004">
      <c r="A2322" t="s">
        <v>5443</v>
      </c>
      <c r="C2322" t="s">
        <v>4236</v>
      </c>
      <c r="D2322" t="s">
        <v>4237</v>
      </c>
      <c r="E2322" t="s">
        <v>39</v>
      </c>
      <c r="F2322" t="s">
        <v>30</v>
      </c>
      <c r="G2322" t="s">
        <v>31</v>
      </c>
      <c r="H2322" t="s">
        <v>991</v>
      </c>
      <c r="I2322" t="s">
        <v>4204</v>
      </c>
      <c r="J2322" t="s">
        <v>4205</v>
      </c>
      <c r="K2322" t="s">
        <v>362</v>
      </c>
      <c r="L2322" t="s">
        <v>30</v>
      </c>
      <c r="M2322" t="s">
        <v>31</v>
      </c>
      <c r="Q2322" s="4">
        <v>1</v>
      </c>
    </row>
    <row r="2323" spans="1:20" x14ac:dyDescent="0.55000000000000004">
      <c r="A2323" t="s">
        <v>5444</v>
      </c>
      <c r="C2323" t="s">
        <v>4236</v>
      </c>
      <c r="D2323" t="s">
        <v>4237</v>
      </c>
      <c r="E2323" t="s">
        <v>39</v>
      </c>
      <c r="F2323" t="s">
        <v>30</v>
      </c>
      <c r="G2323" t="s">
        <v>31</v>
      </c>
      <c r="H2323" t="s">
        <v>991</v>
      </c>
      <c r="I2323" t="s">
        <v>4238</v>
      </c>
      <c r="J2323" t="s">
        <v>4239</v>
      </c>
      <c r="K2323" t="s">
        <v>39</v>
      </c>
      <c r="L2323" t="s">
        <v>30</v>
      </c>
      <c r="M2323" t="s">
        <v>31</v>
      </c>
      <c r="N2323" t="s">
        <v>991</v>
      </c>
      <c r="Q2323" s="4">
        <v>1</v>
      </c>
    </row>
    <row r="2324" spans="1:20" s="16" customFormat="1" ht="18.5" thickBot="1" x14ac:dyDescent="0.6">
      <c r="A2324" s="16" t="s">
        <v>5445</v>
      </c>
      <c r="C2324" s="16" t="s">
        <v>4238</v>
      </c>
      <c r="D2324" s="16" t="s">
        <v>4239</v>
      </c>
      <c r="E2324" s="16" t="s">
        <v>39</v>
      </c>
      <c r="F2324" s="16" t="s">
        <v>30</v>
      </c>
      <c r="G2324" s="16" t="s">
        <v>31</v>
      </c>
      <c r="H2324" s="16" t="s">
        <v>991</v>
      </c>
      <c r="I2324" s="16" t="s">
        <v>4208</v>
      </c>
      <c r="J2324" s="16" t="s">
        <v>4209</v>
      </c>
      <c r="K2324" s="16" t="s">
        <v>39</v>
      </c>
      <c r="L2324" s="16" t="s">
        <v>30</v>
      </c>
      <c r="M2324" s="16" t="s">
        <v>31</v>
      </c>
      <c r="N2324" s="16" t="s">
        <v>991</v>
      </c>
      <c r="Q2324" s="17">
        <f>S2324/T2324</f>
        <v>0.24</v>
      </c>
      <c r="S2324" s="16">
        <f>MID(D2324,FIND("x",D2324)+7,4)*1</f>
        <v>1200</v>
      </c>
      <c r="T2324" s="16">
        <v>5000</v>
      </c>
    </row>
    <row r="2325" spans="1:20" x14ac:dyDescent="0.55000000000000004">
      <c r="A2325" t="s">
        <v>5446</v>
      </c>
      <c r="C2325" t="s">
        <v>4240</v>
      </c>
      <c r="D2325" t="s">
        <v>4241</v>
      </c>
      <c r="E2325" t="s">
        <v>39</v>
      </c>
      <c r="F2325" t="s">
        <v>30</v>
      </c>
      <c r="G2325" t="s">
        <v>31</v>
      </c>
      <c r="H2325" t="s">
        <v>991</v>
      </c>
      <c r="I2325" t="s">
        <v>4204</v>
      </c>
      <c r="J2325" t="s">
        <v>4205</v>
      </c>
      <c r="K2325" t="s">
        <v>362</v>
      </c>
      <c r="L2325" t="s">
        <v>30</v>
      </c>
      <c r="M2325" t="s">
        <v>31</v>
      </c>
      <c r="Q2325" s="4">
        <v>1</v>
      </c>
    </row>
    <row r="2326" spans="1:20" x14ac:dyDescent="0.55000000000000004">
      <c r="A2326" t="s">
        <v>5447</v>
      </c>
      <c r="C2326" t="s">
        <v>4240</v>
      </c>
      <c r="D2326" t="s">
        <v>4241</v>
      </c>
      <c r="E2326" t="s">
        <v>39</v>
      </c>
      <c r="F2326" t="s">
        <v>30</v>
      </c>
      <c r="G2326" t="s">
        <v>31</v>
      </c>
      <c r="H2326" t="s">
        <v>991</v>
      </c>
      <c r="I2326" t="s">
        <v>4242</v>
      </c>
      <c r="J2326" t="s">
        <v>4243</v>
      </c>
      <c r="K2326" t="s">
        <v>39</v>
      </c>
      <c r="L2326" t="s">
        <v>30</v>
      </c>
      <c r="M2326" t="s">
        <v>31</v>
      </c>
      <c r="N2326" t="s">
        <v>991</v>
      </c>
      <c r="Q2326" s="4">
        <v>1</v>
      </c>
    </row>
    <row r="2327" spans="1:20" s="16" customFormat="1" ht="18.5" thickBot="1" x14ac:dyDescent="0.6">
      <c r="A2327" s="16" t="s">
        <v>5448</v>
      </c>
      <c r="C2327" s="16" t="s">
        <v>4242</v>
      </c>
      <c r="D2327" s="16" t="s">
        <v>4243</v>
      </c>
      <c r="E2327" s="16" t="s">
        <v>39</v>
      </c>
      <c r="F2327" s="16" t="s">
        <v>30</v>
      </c>
      <c r="G2327" s="16" t="s">
        <v>31</v>
      </c>
      <c r="H2327" s="16" t="s">
        <v>991</v>
      </c>
      <c r="I2327" s="16" t="s">
        <v>4208</v>
      </c>
      <c r="J2327" s="16" t="s">
        <v>4209</v>
      </c>
      <c r="K2327" s="16" t="s">
        <v>39</v>
      </c>
      <c r="L2327" s="16" t="s">
        <v>30</v>
      </c>
      <c r="M2327" s="16" t="s">
        <v>31</v>
      </c>
      <c r="N2327" s="16" t="s">
        <v>991</v>
      </c>
      <c r="Q2327" s="17">
        <f>S2327/T2327</f>
        <v>0.26</v>
      </c>
      <c r="S2327" s="16">
        <f>MID(D2327,FIND("x",D2327)+7,4)*1</f>
        <v>1300</v>
      </c>
      <c r="T2327" s="16">
        <v>5000</v>
      </c>
    </row>
    <row r="2328" spans="1:20" x14ac:dyDescent="0.55000000000000004">
      <c r="A2328" t="s">
        <v>5449</v>
      </c>
      <c r="C2328" t="s">
        <v>4244</v>
      </c>
      <c r="D2328" t="s">
        <v>4245</v>
      </c>
      <c r="E2328" t="s">
        <v>39</v>
      </c>
      <c r="F2328" t="s">
        <v>30</v>
      </c>
      <c r="G2328" t="s">
        <v>31</v>
      </c>
      <c r="H2328" t="s">
        <v>991</v>
      </c>
      <c r="I2328" t="s">
        <v>4204</v>
      </c>
      <c r="J2328" t="s">
        <v>4205</v>
      </c>
      <c r="K2328" t="s">
        <v>362</v>
      </c>
      <c r="L2328" t="s">
        <v>30</v>
      </c>
      <c r="M2328" t="s">
        <v>31</v>
      </c>
      <c r="Q2328" s="4">
        <v>1</v>
      </c>
    </row>
    <row r="2329" spans="1:20" x14ac:dyDescent="0.55000000000000004">
      <c r="A2329" t="s">
        <v>5450</v>
      </c>
      <c r="C2329" t="s">
        <v>4244</v>
      </c>
      <c r="D2329" t="s">
        <v>4245</v>
      </c>
      <c r="E2329" t="s">
        <v>39</v>
      </c>
      <c r="F2329" t="s">
        <v>30</v>
      </c>
      <c r="G2329" t="s">
        <v>31</v>
      </c>
      <c r="H2329" t="s">
        <v>991</v>
      </c>
      <c r="I2329" t="s">
        <v>4246</v>
      </c>
      <c r="J2329" t="s">
        <v>4247</v>
      </c>
      <c r="K2329" t="s">
        <v>39</v>
      </c>
      <c r="L2329" t="s">
        <v>30</v>
      </c>
      <c r="M2329" t="s">
        <v>31</v>
      </c>
      <c r="N2329" t="s">
        <v>991</v>
      </c>
      <c r="Q2329" s="4">
        <v>1</v>
      </c>
    </row>
    <row r="2330" spans="1:20" s="16" customFormat="1" ht="18.5" thickBot="1" x14ac:dyDescent="0.6">
      <c r="A2330" s="16" t="s">
        <v>5451</v>
      </c>
      <c r="C2330" s="16" t="s">
        <v>4246</v>
      </c>
      <c r="D2330" s="16" t="s">
        <v>4247</v>
      </c>
      <c r="E2330" s="16" t="s">
        <v>39</v>
      </c>
      <c r="F2330" s="16" t="s">
        <v>30</v>
      </c>
      <c r="G2330" s="16" t="s">
        <v>31</v>
      </c>
      <c r="H2330" s="16" t="s">
        <v>991</v>
      </c>
      <c r="I2330" s="16" t="s">
        <v>4208</v>
      </c>
      <c r="J2330" s="16" t="s">
        <v>4209</v>
      </c>
      <c r="K2330" s="16" t="s">
        <v>39</v>
      </c>
      <c r="L2330" s="16" t="s">
        <v>30</v>
      </c>
      <c r="M2330" s="16" t="s">
        <v>31</v>
      </c>
      <c r="N2330" s="16" t="s">
        <v>991</v>
      </c>
      <c r="Q2330" s="17">
        <f>S2330/T2330</f>
        <v>0.28000000000000003</v>
      </c>
      <c r="S2330" s="16">
        <f>MID(D2330,FIND("x",D2330)+7,4)*1</f>
        <v>1400</v>
      </c>
      <c r="T2330" s="16">
        <v>5000</v>
      </c>
    </row>
    <row r="2331" spans="1:20" x14ac:dyDescent="0.55000000000000004">
      <c r="A2331" t="s">
        <v>5452</v>
      </c>
      <c r="C2331" t="s">
        <v>4248</v>
      </c>
      <c r="D2331" t="s">
        <v>4249</v>
      </c>
      <c r="E2331" t="s">
        <v>39</v>
      </c>
      <c r="F2331" t="s">
        <v>30</v>
      </c>
      <c r="G2331" t="s">
        <v>31</v>
      </c>
      <c r="H2331" t="s">
        <v>991</v>
      </c>
      <c r="I2331" t="s">
        <v>4204</v>
      </c>
      <c r="J2331" t="s">
        <v>4205</v>
      </c>
      <c r="K2331" t="s">
        <v>362</v>
      </c>
      <c r="L2331" t="s">
        <v>30</v>
      </c>
      <c r="M2331" t="s">
        <v>31</v>
      </c>
      <c r="Q2331" s="4">
        <v>1</v>
      </c>
    </row>
    <row r="2332" spans="1:20" x14ac:dyDescent="0.55000000000000004">
      <c r="A2332" t="s">
        <v>5453</v>
      </c>
      <c r="C2332" t="s">
        <v>4248</v>
      </c>
      <c r="D2332" t="s">
        <v>4249</v>
      </c>
      <c r="E2332" t="s">
        <v>39</v>
      </c>
      <c r="F2332" t="s">
        <v>30</v>
      </c>
      <c r="G2332" t="s">
        <v>31</v>
      </c>
      <c r="H2332" t="s">
        <v>991</v>
      </c>
      <c r="I2332" t="s">
        <v>4250</v>
      </c>
      <c r="J2332" t="s">
        <v>4251</v>
      </c>
      <c r="K2332" t="s">
        <v>39</v>
      </c>
      <c r="L2332" t="s">
        <v>30</v>
      </c>
      <c r="M2332" t="s">
        <v>31</v>
      </c>
      <c r="N2332" t="s">
        <v>991</v>
      </c>
      <c r="Q2332" s="4">
        <v>1</v>
      </c>
    </row>
    <row r="2333" spans="1:20" s="16" customFormat="1" ht="18.5" thickBot="1" x14ac:dyDescent="0.6">
      <c r="A2333" s="16" t="s">
        <v>5454</v>
      </c>
      <c r="C2333" s="16" t="s">
        <v>4250</v>
      </c>
      <c r="D2333" s="16" t="s">
        <v>4251</v>
      </c>
      <c r="E2333" s="16" t="s">
        <v>39</v>
      </c>
      <c r="F2333" s="16" t="s">
        <v>30</v>
      </c>
      <c r="G2333" s="16" t="s">
        <v>31</v>
      </c>
      <c r="H2333" s="16" t="s">
        <v>991</v>
      </c>
      <c r="I2333" s="16" t="s">
        <v>4208</v>
      </c>
      <c r="J2333" s="16" t="s">
        <v>4209</v>
      </c>
      <c r="K2333" s="16" t="s">
        <v>39</v>
      </c>
      <c r="L2333" s="16" t="s">
        <v>30</v>
      </c>
      <c r="M2333" s="16" t="s">
        <v>31</v>
      </c>
      <c r="N2333" s="16" t="s">
        <v>991</v>
      </c>
      <c r="Q2333" s="17">
        <f>S2333/T2333</f>
        <v>0.3</v>
      </c>
      <c r="S2333" s="16">
        <f>MID(D2333,FIND("x",D2333)+7,4)*1</f>
        <v>1500</v>
      </c>
      <c r="T2333" s="16">
        <v>5000</v>
      </c>
    </row>
    <row r="2334" spans="1:20" x14ac:dyDescent="0.55000000000000004">
      <c r="A2334" t="s">
        <v>5455</v>
      </c>
      <c r="C2334" t="s">
        <v>4252</v>
      </c>
      <c r="D2334" t="s">
        <v>4253</v>
      </c>
      <c r="E2334" t="s">
        <v>39</v>
      </c>
      <c r="F2334" t="s">
        <v>30</v>
      </c>
      <c r="G2334" t="s">
        <v>31</v>
      </c>
      <c r="H2334" t="s">
        <v>991</v>
      </c>
      <c r="I2334" t="s">
        <v>4204</v>
      </c>
      <c r="J2334" t="s">
        <v>4205</v>
      </c>
      <c r="K2334" t="s">
        <v>362</v>
      </c>
      <c r="L2334" t="s">
        <v>30</v>
      </c>
      <c r="M2334" t="s">
        <v>31</v>
      </c>
      <c r="Q2334" s="4">
        <v>1</v>
      </c>
    </row>
    <row r="2335" spans="1:20" x14ac:dyDescent="0.55000000000000004">
      <c r="A2335" t="s">
        <v>5456</v>
      </c>
      <c r="C2335" t="s">
        <v>4252</v>
      </c>
      <c r="D2335" t="s">
        <v>4253</v>
      </c>
      <c r="E2335" t="s">
        <v>39</v>
      </c>
      <c r="F2335" t="s">
        <v>30</v>
      </c>
      <c r="G2335" t="s">
        <v>31</v>
      </c>
      <c r="H2335" t="s">
        <v>991</v>
      </c>
      <c r="I2335" t="s">
        <v>4254</v>
      </c>
      <c r="J2335" t="s">
        <v>4255</v>
      </c>
      <c r="K2335" t="s">
        <v>39</v>
      </c>
      <c r="L2335" t="s">
        <v>30</v>
      </c>
      <c r="M2335" t="s">
        <v>31</v>
      </c>
      <c r="N2335" t="s">
        <v>991</v>
      </c>
      <c r="Q2335" s="4">
        <v>1</v>
      </c>
    </row>
    <row r="2336" spans="1:20" s="16" customFormat="1" ht="18.5" thickBot="1" x14ac:dyDescent="0.6">
      <c r="A2336" s="16" t="s">
        <v>5457</v>
      </c>
      <c r="C2336" s="16" t="s">
        <v>4254</v>
      </c>
      <c r="D2336" s="16" t="s">
        <v>4255</v>
      </c>
      <c r="E2336" s="16" t="s">
        <v>39</v>
      </c>
      <c r="F2336" s="16" t="s">
        <v>30</v>
      </c>
      <c r="G2336" s="16" t="s">
        <v>31</v>
      </c>
      <c r="H2336" s="16" t="s">
        <v>991</v>
      </c>
      <c r="I2336" s="16" t="s">
        <v>4208</v>
      </c>
      <c r="J2336" s="16" t="s">
        <v>4209</v>
      </c>
      <c r="K2336" s="16" t="s">
        <v>39</v>
      </c>
      <c r="L2336" s="16" t="s">
        <v>30</v>
      </c>
      <c r="M2336" s="16" t="s">
        <v>31</v>
      </c>
      <c r="N2336" s="16" t="s">
        <v>991</v>
      </c>
      <c r="Q2336" s="17">
        <f>S2336/T2336</f>
        <v>0.32</v>
      </c>
      <c r="S2336" s="16">
        <f>MID(D2336,FIND("x",D2336)+7,4)*1</f>
        <v>1600</v>
      </c>
      <c r="T2336" s="16">
        <v>5000</v>
      </c>
    </row>
    <row r="2337" spans="1:20" x14ac:dyDescent="0.55000000000000004">
      <c r="A2337" t="s">
        <v>5458</v>
      </c>
      <c r="C2337" t="s">
        <v>4256</v>
      </c>
      <c r="D2337" t="s">
        <v>4257</v>
      </c>
      <c r="E2337" t="s">
        <v>39</v>
      </c>
      <c r="F2337" t="s">
        <v>30</v>
      </c>
      <c r="G2337" t="s">
        <v>31</v>
      </c>
      <c r="H2337" t="s">
        <v>991</v>
      </c>
      <c r="I2337" t="s">
        <v>4204</v>
      </c>
      <c r="J2337" t="s">
        <v>4205</v>
      </c>
      <c r="K2337" t="s">
        <v>362</v>
      </c>
      <c r="L2337" t="s">
        <v>30</v>
      </c>
      <c r="M2337" t="s">
        <v>31</v>
      </c>
      <c r="Q2337" s="4">
        <v>1</v>
      </c>
    </row>
    <row r="2338" spans="1:20" x14ac:dyDescent="0.55000000000000004">
      <c r="A2338" t="s">
        <v>5459</v>
      </c>
      <c r="C2338" t="s">
        <v>4256</v>
      </c>
      <c r="D2338" t="s">
        <v>4257</v>
      </c>
      <c r="E2338" t="s">
        <v>39</v>
      </c>
      <c r="F2338" t="s">
        <v>30</v>
      </c>
      <c r="G2338" t="s">
        <v>31</v>
      </c>
      <c r="H2338" t="s">
        <v>991</v>
      </c>
      <c r="I2338" t="s">
        <v>4258</v>
      </c>
      <c r="J2338" t="s">
        <v>4259</v>
      </c>
      <c r="K2338" t="s">
        <v>39</v>
      </c>
      <c r="L2338" t="s">
        <v>30</v>
      </c>
      <c r="M2338" t="s">
        <v>31</v>
      </c>
      <c r="N2338" t="s">
        <v>991</v>
      </c>
      <c r="Q2338" s="4">
        <v>1</v>
      </c>
    </row>
    <row r="2339" spans="1:20" s="16" customFormat="1" ht="18.5" thickBot="1" x14ac:dyDescent="0.6">
      <c r="A2339" s="16" t="s">
        <v>5460</v>
      </c>
      <c r="C2339" s="16" t="s">
        <v>4258</v>
      </c>
      <c r="D2339" s="16" t="s">
        <v>4259</v>
      </c>
      <c r="E2339" s="16" t="s">
        <v>39</v>
      </c>
      <c r="F2339" s="16" t="s">
        <v>30</v>
      </c>
      <c r="G2339" s="16" t="s">
        <v>31</v>
      </c>
      <c r="H2339" s="16" t="s">
        <v>991</v>
      </c>
      <c r="I2339" s="16" t="s">
        <v>4208</v>
      </c>
      <c r="J2339" s="16" t="s">
        <v>4209</v>
      </c>
      <c r="K2339" s="16" t="s">
        <v>39</v>
      </c>
      <c r="L2339" s="16" t="s">
        <v>30</v>
      </c>
      <c r="M2339" s="16" t="s">
        <v>31</v>
      </c>
      <c r="N2339" s="16" t="s">
        <v>991</v>
      </c>
      <c r="Q2339" s="17">
        <f>S2339/T2339</f>
        <v>0.34</v>
      </c>
      <c r="S2339" s="16">
        <f>MID(D2339,FIND("x",D2339)+7,4)*1</f>
        <v>1700</v>
      </c>
      <c r="T2339" s="16">
        <v>5000</v>
      </c>
    </row>
    <row r="2340" spans="1:20" x14ac:dyDescent="0.55000000000000004">
      <c r="A2340" t="s">
        <v>5461</v>
      </c>
      <c r="C2340" t="s">
        <v>4260</v>
      </c>
      <c r="D2340" t="s">
        <v>4261</v>
      </c>
      <c r="E2340" t="s">
        <v>39</v>
      </c>
      <c r="F2340" t="s">
        <v>30</v>
      </c>
      <c r="G2340" t="s">
        <v>31</v>
      </c>
      <c r="H2340" t="s">
        <v>991</v>
      </c>
      <c r="I2340" t="s">
        <v>4204</v>
      </c>
      <c r="J2340" t="s">
        <v>4205</v>
      </c>
      <c r="K2340" t="s">
        <v>362</v>
      </c>
      <c r="L2340" t="s">
        <v>30</v>
      </c>
      <c r="M2340" t="s">
        <v>31</v>
      </c>
      <c r="Q2340" s="4">
        <v>1</v>
      </c>
    </row>
    <row r="2341" spans="1:20" x14ac:dyDescent="0.55000000000000004">
      <c r="A2341" t="s">
        <v>5462</v>
      </c>
      <c r="C2341" t="s">
        <v>4260</v>
      </c>
      <c r="D2341" t="s">
        <v>4261</v>
      </c>
      <c r="E2341" t="s">
        <v>39</v>
      </c>
      <c r="F2341" t="s">
        <v>30</v>
      </c>
      <c r="G2341" t="s">
        <v>31</v>
      </c>
      <c r="H2341" t="s">
        <v>991</v>
      </c>
      <c r="I2341" t="s">
        <v>4262</v>
      </c>
      <c r="J2341" t="s">
        <v>4263</v>
      </c>
      <c r="K2341" t="s">
        <v>39</v>
      </c>
      <c r="L2341" t="s">
        <v>30</v>
      </c>
      <c r="M2341" t="s">
        <v>31</v>
      </c>
      <c r="N2341" t="s">
        <v>991</v>
      </c>
      <c r="Q2341" s="4">
        <v>1</v>
      </c>
    </row>
    <row r="2342" spans="1:20" s="16" customFormat="1" ht="18.5" thickBot="1" x14ac:dyDescent="0.6">
      <c r="A2342" s="16" t="s">
        <v>5463</v>
      </c>
      <c r="C2342" s="16" t="s">
        <v>4262</v>
      </c>
      <c r="D2342" s="16" t="s">
        <v>4263</v>
      </c>
      <c r="E2342" s="16" t="s">
        <v>39</v>
      </c>
      <c r="F2342" s="16" t="s">
        <v>30</v>
      </c>
      <c r="G2342" s="16" t="s">
        <v>31</v>
      </c>
      <c r="H2342" s="16" t="s">
        <v>991</v>
      </c>
      <c r="I2342" s="16" t="s">
        <v>4208</v>
      </c>
      <c r="J2342" s="16" t="s">
        <v>4209</v>
      </c>
      <c r="K2342" s="16" t="s">
        <v>39</v>
      </c>
      <c r="L2342" s="16" t="s">
        <v>30</v>
      </c>
      <c r="M2342" s="16" t="s">
        <v>31</v>
      </c>
      <c r="N2342" s="16" t="s">
        <v>991</v>
      </c>
      <c r="Q2342" s="17">
        <f>S2342/T2342</f>
        <v>0.36</v>
      </c>
      <c r="S2342" s="16">
        <f>MID(D2342,FIND("x",D2342)+7,4)*1</f>
        <v>1800</v>
      </c>
      <c r="T2342" s="16">
        <v>5000</v>
      </c>
    </row>
    <row r="2343" spans="1:20" x14ac:dyDescent="0.55000000000000004">
      <c r="A2343" t="s">
        <v>5464</v>
      </c>
      <c r="C2343" t="s">
        <v>4264</v>
      </c>
      <c r="D2343" t="s">
        <v>4265</v>
      </c>
      <c r="E2343" t="s">
        <v>39</v>
      </c>
      <c r="F2343" t="s">
        <v>30</v>
      </c>
      <c r="G2343" t="s">
        <v>31</v>
      </c>
      <c r="H2343" t="s">
        <v>991</v>
      </c>
      <c r="I2343" t="s">
        <v>4204</v>
      </c>
      <c r="J2343" t="s">
        <v>4205</v>
      </c>
      <c r="K2343" t="s">
        <v>362</v>
      </c>
      <c r="L2343" t="s">
        <v>30</v>
      </c>
      <c r="M2343" t="s">
        <v>31</v>
      </c>
      <c r="Q2343" s="4">
        <v>1</v>
      </c>
    </row>
    <row r="2344" spans="1:20" x14ac:dyDescent="0.55000000000000004">
      <c r="A2344" t="s">
        <v>5465</v>
      </c>
      <c r="C2344" t="s">
        <v>4264</v>
      </c>
      <c r="D2344" t="s">
        <v>4265</v>
      </c>
      <c r="E2344" t="s">
        <v>39</v>
      </c>
      <c r="F2344" t="s">
        <v>30</v>
      </c>
      <c r="G2344" t="s">
        <v>31</v>
      </c>
      <c r="H2344" t="s">
        <v>991</v>
      </c>
      <c r="I2344" t="s">
        <v>4266</v>
      </c>
      <c r="J2344" t="s">
        <v>4267</v>
      </c>
      <c r="K2344" t="s">
        <v>39</v>
      </c>
      <c r="L2344" t="s">
        <v>30</v>
      </c>
      <c r="M2344" t="s">
        <v>31</v>
      </c>
      <c r="N2344" t="s">
        <v>991</v>
      </c>
      <c r="Q2344" s="4">
        <v>1</v>
      </c>
    </row>
    <row r="2345" spans="1:20" s="16" customFormat="1" ht="18.5" thickBot="1" x14ac:dyDescent="0.6">
      <c r="A2345" s="16" t="s">
        <v>5466</v>
      </c>
      <c r="C2345" s="16" t="s">
        <v>4266</v>
      </c>
      <c r="D2345" s="16" t="s">
        <v>4267</v>
      </c>
      <c r="E2345" s="16" t="s">
        <v>39</v>
      </c>
      <c r="F2345" s="16" t="s">
        <v>30</v>
      </c>
      <c r="G2345" s="16" t="s">
        <v>31</v>
      </c>
      <c r="H2345" s="16" t="s">
        <v>991</v>
      </c>
      <c r="I2345" s="16" t="s">
        <v>4208</v>
      </c>
      <c r="J2345" s="16" t="s">
        <v>4209</v>
      </c>
      <c r="K2345" s="16" t="s">
        <v>39</v>
      </c>
      <c r="L2345" s="16" t="s">
        <v>30</v>
      </c>
      <c r="M2345" s="16" t="s">
        <v>31</v>
      </c>
      <c r="N2345" s="16" t="s">
        <v>991</v>
      </c>
      <c r="Q2345" s="17">
        <f>S2345/T2345</f>
        <v>0.38</v>
      </c>
      <c r="S2345" s="16">
        <f>MID(D2345,FIND("x",D2345)+7,4)*1</f>
        <v>1900</v>
      </c>
      <c r="T2345" s="16">
        <v>5000</v>
      </c>
    </row>
    <row r="2346" spans="1:20" x14ac:dyDescent="0.55000000000000004">
      <c r="A2346" t="s">
        <v>5467</v>
      </c>
      <c r="C2346" t="s">
        <v>4268</v>
      </c>
      <c r="D2346" t="s">
        <v>4269</v>
      </c>
      <c r="E2346" t="s">
        <v>39</v>
      </c>
      <c r="F2346" t="s">
        <v>30</v>
      </c>
      <c r="G2346" t="s">
        <v>31</v>
      </c>
      <c r="H2346" t="s">
        <v>991</v>
      </c>
      <c r="I2346" t="s">
        <v>4204</v>
      </c>
      <c r="J2346" t="s">
        <v>4205</v>
      </c>
      <c r="K2346" t="s">
        <v>362</v>
      </c>
      <c r="L2346" t="s">
        <v>30</v>
      </c>
      <c r="M2346" t="s">
        <v>31</v>
      </c>
      <c r="Q2346" s="4">
        <v>1</v>
      </c>
    </row>
    <row r="2347" spans="1:20" x14ac:dyDescent="0.55000000000000004">
      <c r="A2347" t="s">
        <v>5468</v>
      </c>
      <c r="C2347" t="s">
        <v>4268</v>
      </c>
      <c r="D2347" t="s">
        <v>4269</v>
      </c>
      <c r="E2347" t="s">
        <v>39</v>
      </c>
      <c r="F2347" t="s">
        <v>30</v>
      </c>
      <c r="G2347" t="s">
        <v>31</v>
      </c>
      <c r="H2347" t="s">
        <v>991</v>
      </c>
      <c r="I2347" t="s">
        <v>4270</v>
      </c>
      <c r="J2347" t="s">
        <v>4271</v>
      </c>
      <c r="K2347" t="s">
        <v>39</v>
      </c>
      <c r="L2347" t="s">
        <v>30</v>
      </c>
      <c r="M2347" t="s">
        <v>31</v>
      </c>
      <c r="N2347" t="s">
        <v>991</v>
      </c>
      <c r="Q2347" s="4">
        <v>1</v>
      </c>
    </row>
    <row r="2348" spans="1:20" s="16" customFormat="1" ht="18.5" thickBot="1" x14ac:dyDescent="0.6">
      <c r="A2348" s="16" t="s">
        <v>5469</v>
      </c>
      <c r="C2348" s="16" t="s">
        <v>4270</v>
      </c>
      <c r="D2348" s="16" t="s">
        <v>4271</v>
      </c>
      <c r="E2348" s="16" t="s">
        <v>39</v>
      </c>
      <c r="F2348" s="16" t="s">
        <v>30</v>
      </c>
      <c r="G2348" s="16" t="s">
        <v>31</v>
      </c>
      <c r="H2348" s="16" t="s">
        <v>991</v>
      </c>
      <c r="I2348" s="16" t="s">
        <v>4208</v>
      </c>
      <c r="J2348" s="16" t="s">
        <v>4209</v>
      </c>
      <c r="K2348" s="16" t="s">
        <v>39</v>
      </c>
      <c r="L2348" s="16" t="s">
        <v>30</v>
      </c>
      <c r="M2348" s="16" t="s">
        <v>31</v>
      </c>
      <c r="N2348" s="16" t="s">
        <v>991</v>
      </c>
      <c r="Q2348" s="17">
        <f>S2348/T2348</f>
        <v>0.4</v>
      </c>
      <c r="S2348" s="16">
        <f>MID(D2348,FIND("x",D2348)+7,4)*1</f>
        <v>2000</v>
      </c>
      <c r="T2348" s="16">
        <v>5000</v>
      </c>
    </row>
    <row r="2349" spans="1:20" x14ac:dyDescent="0.55000000000000004">
      <c r="A2349" t="s">
        <v>5470</v>
      </c>
      <c r="C2349" t="s">
        <v>4272</v>
      </c>
      <c r="D2349" t="s">
        <v>4273</v>
      </c>
      <c r="E2349" t="s">
        <v>39</v>
      </c>
      <c r="F2349" t="s">
        <v>30</v>
      </c>
      <c r="G2349" t="s">
        <v>31</v>
      </c>
      <c r="H2349" t="s">
        <v>991</v>
      </c>
      <c r="I2349" t="s">
        <v>4204</v>
      </c>
      <c r="J2349" t="s">
        <v>4205</v>
      </c>
      <c r="K2349" t="s">
        <v>362</v>
      </c>
      <c r="L2349" t="s">
        <v>30</v>
      </c>
      <c r="M2349" t="s">
        <v>31</v>
      </c>
      <c r="Q2349" s="4">
        <v>1</v>
      </c>
    </row>
    <row r="2350" spans="1:20" x14ac:dyDescent="0.55000000000000004">
      <c r="A2350" t="s">
        <v>5471</v>
      </c>
      <c r="C2350" t="s">
        <v>4272</v>
      </c>
      <c r="D2350" t="s">
        <v>4273</v>
      </c>
      <c r="E2350" t="s">
        <v>39</v>
      </c>
      <c r="F2350" t="s">
        <v>30</v>
      </c>
      <c r="G2350" t="s">
        <v>31</v>
      </c>
      <c r="H2350" t="s">
        <v>991</v>
      </c>
      <c r="I2350" t="s">
        <v>4274</v>
      </c>
      <c r="J2350" t="s">
        <v>4275</v>
      </c>
      <c r="K2350" t="s">
        <v>39</v>
      </c>
      <c r="L2350" t="s">
        <v>30</v>
      </c>
      <c r="M2350" t="s">
        <v>31</v>
      </c>
      <c r="N2350" t="s">
        <v>991</v>
      </c>
      <c r="Q2350" s="4">
        <v>1</v>
      </c>
    </row>
    <row r="2351" spans="1:20" s="16" customFormat="1" ht="18.5" thickBot="1" x14ac:dyDescent="0.6">
      <c r="A2351" s="16" t="s">
        <v>5472</v>
      </c>
      <c r="C2351" s="16" t="s">
        <v>4274</v>
      </c>
      <c r="D2351" s="16" t="s">
        <v>4275</v>
      </c>
      <c r="E2351" s="16" t="s">
        <v>39</v>
      </c>
      <c r="F2351" s="16" t="s">
        <v>30</v>
      </c>
      <c r="G2351" s="16" t="s">
        <v>31</v>
      </c>
      <c r="H2351" s="16" t="s">
        <v>991</v>
      </c>
      <c r="I2351" s="16" t="s">
        <v>4208</v>
      </c>
      <c r="J2351" s="16" t="s">
        <v>4209</v>
      </c>
      <c r="K2351" s="16" t="s">
        <v>39</v>
      </c>
      <c r="L2351" s="16" t="s">
        <v>30</v>
      </c>
      <c r="M2351" s="16" t="s">
        <v>31</v>
      </c>
      <c r="N2351" s="16" t="s">
        <v>991</v>
      </c>
      <c r="Q2351" s="17">
        <f>S2351/T2351</f>
        <v>0.42</v>
      </c>
      <c r="S2351" s="16">
        <f>MID(D2351,FIND("x",D2351)+7,4)*1</f>
        <v>2100</v>
      </c>
      <c r="T2351" s="16">
        <v>5000</v>
      </c>
    </row>
    <row r="2352" spans="1:20" x14ac:dyDescent="0.55000000000000004">
      <c r="A2352" t="s">
        <v>5473</v>
      </c>
      <c r="C2352" t="s">
        <v>4276</v>
      </c>
      <c r="D2352" t="s">
        <v>4277</v>
      </c>
      <c r="E2352" t="s">
        <v>39</v>
      </c>
      <c r="F2352" t="s">
        <v>30</v>
      </c>
      <c r="G2352" t="s">
        <v>31</v>
      </c>
      <c r="H2352" t="s">
        <v>991</v>
      </c>
      <c r="I2352" t="s">
        <v>4204</v>
      </c>
      <c r="J2352" t="s">
        <v>4205</v>
      </c>
      <c r="K2352" t="s">
        <v>362</v>
      </c>
      <c r="L2352" t="s">
        <v>30</v>
      </c>
      <c r="M2352" t="s">
        <v>31</v>
      </c>
      <c r="Q2352" s="4">
        <v>1</v>
      </c>
    </row>
    <row r="2353" spans="1:20" x14ac:dyDescent="0.55000000000000004">
      <c r="A2353" t="s">
        <v>5474</v>
      </c>
      <c r="C2353" t="s">
        <v>4276</v>
      </c>
      <c r="D2353" t="s">
        <v>4277</v>
      </c>
      <c r="E2353" t="s">
        <v>39</v>
      </c>
      <c r="F2353" t="s">
        <v>30</v>
      </c>
      <c r="G2353" t="s">
        <v>31</v>
      </c>
      <c r="H2353" t="s">
        <v>991</v>
      </c>
      <c r="I2353" t="s">
        <v>4278</v>
      </c>
      <c r="J2353" t="s">
        <v>4279</v>
      </c>
      <c r="K2353" t="s">
        <v>39</v>
      </c>
      <c r="L2353" t="s">
        <v>30</v>
      </c>
      <c r="M2353" t="s">
        <v>31</v>
      </c>
      <c r="N2353" t="s">
        <v>991</v>
      </c>
      <c r="Q2353" s="4">
        <v>1</v>
      </c>
    </row>
    <row r="2354" spans="1:20" s="16" customFormat="1" ht="18.5" thickBot="1" x14ac:dyDescent="0.6">
      <c r="A2354" s="16" t="s">
        <v>5475</v>
      </c>
      <c r="C2354" s="16" t="s">
        <v>4278</v>
      </c>
      <c r="D2354" s="16" t="s">
        <v>4279</v>
      </c>
      <c r="E2354" s="16" t="s">
        <v>39</v>
      </c>
      <c r="F2354" s="16" t="s">
        <v>30</v>
      </c>
      <c r="G2354" s="16" t="s">
        <v>31</v>
      </c>
      <c r="H2354" s="16" t="s">
        <v>991</v>
      </c>
      <c r="I2354" s="16" t="s">
        <v>4208</v>
      </c>
      <c r="J2354" s="16" t="s">
        <v>4209</v>
      </c>
      <c r="K2354" s="16" t="s">
        <v>39</v>
      </c>
      <c r="L2354" s="16" t="s">
        <v>30</v>
      </c>
      <c r="M2354" s="16" t="s">
        <v>31</v>
      </c>
      <c r="N2354" s="16" t="s">
        <v>991</v>
      </c>
      <c r="Q2354" s="17">
        <f>S2354/T2354</f>
        <v>0.44</v>
      </c>
      <c r="S2354" s="16">
        <f>MID(D2354,FIND("x",D2354)+7,4)*1</f>
        <v>2200</v>
      </c>
      <c r="T2354" s="16">
        <v>5000</v>
      </c>
    </row>
    <row r="2355" spans="1:20" x14ac:dyDescent="0.55000000000000004">
      <c r="A2355" t="s">
        <v>5476</v>
      </c>
      <c r="C2355" t="s">
        <v>4280</v>
      </c>
      <c r="D2355" t="s">
        <v>4281</v>
      </c>
      <c r="E2355" t="s">
        <v>39</v>
      </c>
      <c r="F2355" t="s">
        <v>30</v>
      </c>
      <c r="G2355" t="s">
        <v>31</v>
      </c>
      <c r="H2355" t="s">
        <v>991</v>
      </c>
      <c r="I2355" t="s">
        <v>4204</v>
      </c>
      <c r="J2355" t="s">
        <v>4205</v>
      </c>
      <c r="K2355" t="s">
        <v>362</v>
      </c>
      <c r="L2355" t="s">
        <v>30</v>
      </c>
      <c r="M2355" t="s">
        <v>31</v>
      </c>
      <c r="Q2355" s="4">
        <v>1</v>
      </c>
    </row>
    <row r="2356" spans="1:20" x14ac:dyDescent="0.55000000000000004">
      <c r="A2356" t="s">
        <v>5477</v>
      </c>
      <c r="C2356" t="s">
        <v>4280</v>
      </c>
      <c r="D2356" t="s">
        <v>4281</v>
      </c>
      <c r="E2356" t="s">
        <v>39</v>
      </c>
      <c r="F2356" t="s">
        <v>30</v>
      </c>
      <c r="G2356" t="s">
        <v>31</v>
      </c>
      <c r="H2356" t="s">
        <v>991</v>
      </c>
      <c r="I2356" t="s">
        <v>4282</v>
      </c>
      <c r="J2356" t="s">
        <v>4283</v>
      </c>
      <c r="K2356" t="s">
        <v>39</v>
      </c>
      <c r="L2356" t="s">
        <v>30</v>
      </c>
      <c r="M2356" t="s">
        <v>31</v>
      </c>
      <c r="N2356" t="s">
        <v>991</v>
      </c>
      <c r="Q2356" s="4">
        <v>1</v>
      </c>
    </row>
    <row r="2357" spans="1:20" s="16" customFormat="1" ht="18.5" thickBot="1" x14ac:dyDescent="0.6">
      <c r="A2357" s="16" t="s">
        <v>5478</v>
      </c>
      <c r="C2357" s="16" t="s">
        <v>4282</v>
      </c>
      <c r="D2357" s="16" t="s">
        <v>4283</v>
      </c>
      <c r="E2357" s="16" t="s">
        <v>39</v>
      </c>
      <c r="F2357" s="16" t="s">
        <v>30</v>
      </c>
      <c r="G2357" s="16" t="s">
        <v>31</v>
      </c>
      <c r="H2357" s="16" t="s">
        <v>991</v>
      </c>
      <c r="I2357" s="16" t="s">
        <v>4208</v>
      </c>
      <c r="J2357" s="16" t="s">
        <v>4209</v>
      </c>
      <c r="K2357" s="16" t="s">
        <v>39</v>
      </c>
      <c r="L2357" s="16" t="s">
        <v>30</v>
      </c>
      <c r="M2357" s="16" t="s">
        <v>31</v>
      </c>
      <c r="N2357" s="16" t="s">
        <v>991</v>
      </c>
      <c r="Q2357" s="17">
        <f>S2357/T2357</f>
        <v>0.46</v>
      </c>
      <c r="S2357" s="16">
        <f>MID(D2357,FIND("x",D2357)+7,4)*1</f>
        <v>2300</v>
      </c>
      <c r="T2357" s="16">
        <v>5000</v>
      </c>
    </row>
    <row r="2358" spans="1:20" x14ac:dyDescent="0.55000000000000004">
      <c r="A2358" t="s">
        <v>5479</v>
      </c>
      <c r="C2358" t="s">
        <v>4284</v>
      </c>
      <c r="D2358" t="s">
        <v>4285</v>
      </c>
      <c r="E2358" t="s">
        <v>39</v>
      </c>
      <c r="F2358" t="s">
        <v>30</v>
      </c>
      <c r="G2358" t="s">
        <v>31</v>
      </c>
      <c r="H2358" t="s">
        <v>991</v>
      </c>
      <c r="I2358" t="s">
        <v>4204</v>
      </c>
      <c r="J2358" t="s">
        <v>4205</v>
      </c>
      <c r="K2358" t="s">
        <v>362</v>
      </c>
      <c r="L2358" t="s">
        <v>30</v>
      </c>
      <c r="M2358" t="s">
        <v>31</v>
      </c>
      <c r="Q2358" s="4">
        <v>1</v>
      </c>
    </row>
    <row r="2359" spans="1:20" x14ac:dyDescent="0.55000000000000004">
      <c r="A2359" t="s">
        <v>5480</v>
      </c>
      <c r="C2359" t="s">
        <v>4284</v>
      </c>
      <c r="D2359" t="s">
        <v>4285</v>
      </c>
      <c r="E2359" t="s">
        <v>39</v>
      </c>
      <c r="F2359" t="s">
        <v>30</v>
      </c>
      <c r="G2359" t="s">
        <v>31</v>
      </c>
      <c r="H2359" t="s">
        <v>991</v>
      </c>
      <c r="I2359" t="s">
        <v>4286</v>
      </c>
      <c r="J2359" t="s">
        <v>4287</v>
      </c>
      <c r="K2359" t="s">
        <v>39</v>
      </c>
      <c r="L2359" t="s">
        <v>30</v>
      </c>
      <c r="M2359" t="s">
        <v>31</v>
      </c>
      <c r="N2359" t="s">
        <v>991</v>
      </c>
      <c r="Q2359" s="4">
        <v>1</v>
      </c>
    </row>
    <row r="2360" spans="1:20" s="16" customFormat="1" ht="18.5" thickBot="1" x14ac:dyDescent="0.6">
      <c r="A2360" s="16" t="s">
        <v>5481</v>
      </c>
      <c r="C2360" s="16" t="s">
        <v>4286</v>
      </c>
      <c r="D2360" s="16" t="s">
        <v>4287</v>
      </c>
      <c r="E2360" s="16" t="s">
        <v>39</v>
      </c>
      <c r="F2360" s="16" t="s">
        <v>30</v>
      </c>
      <c r="G2360" s="16" t="s">
        <v>31</v>
      </c>
      <c r="H2360" s="16" t="s">
        <v>991</v>
      </c>
      <c r="I2360" s="16" t="s">
        <v>4208</v>
      </c>
      <c r="J2360" s="16" t="s">
        <v>4209</v>
      </c>
      <c r="K2360" s="16" t="s">
        <v>39</v>
      </c>
      <c r="L2360" s="16" t="s">
        <v>30</v>
      </c>
      <c r="M2360" s="16" t="s">
        <v>31</v>
      </c>
      <c r="N2360" s="16" t="s">
        <v>991</v>
      </c>
      <c r="Q2360" s="17">
        <f>S2360/T2360</f>
        <v>0.48</v>
      </c>
      <c r="S2360" s="16">
        <f>MID(D2360,FIND("x",D2360)+7,4)*1</f>
        <v>2400</v>
      </c>
      <c r="T2360" s="16">
        <v>5000</v>
      </c>
    </row>
    <row r="2361" spans="1:20" x14ac:dyDescent="0.55000000000000004">
      <c r="A2361" t="s">
        <v>5482</v>
      </c>
      <c r="C2361" t="s">
        <v>4288</v>
      </c>
      <c r="D2361" t="s">
        <v>4289</v>
      </c>
      <c r="E2361" t="s">
        <v>39</v>
      </c>
      <c r="F2361" t="s">
        <v>30</v>
      </c>
      <c r="G2361" t="s">
        <v>31</v>
      </c>
      <c r="H2361" t="s">
        <v>991</v>
      </c>
      <c r="I2361" t="s">
        <v>4204</v>
      </c>
      <c r="J2361" t="s">
        <v>4205</v>
      </c>
      <c r="K2361" t="s">
        <v>362</v>
      </c>
      <c r="L2361" t="s">
        <v>30</v>
      </c>
      <c r="M2361" t="s">
        <v>31</v>
      </c>
      <c r="Q2361" s="4">
        <v>1</v>
      </c>
    </row>
    <row r="2362" spans="1:20" x14ac:dyDescent="0.55000000000000004">
      <c r="A2362" t="s">
        <v>5483</v>
      </c>
      <c r="C2362" t="s">
        <v>4288</v>
      </c>
      <c r="D2362" t="s">
        <v>4289</v>
      </c>
      <c r="E2362" t="s">
        <v>39</v>
      </c>
      <c r="F2362" t="s">
        <v>30</v>
      </c>
      <c r="G2362" t="s">
        <v>31</v>
      </c>
      <c r="H2362" t="s">
        <v>991</v>
      </c>
      <c r="I2362" t="s">
        <v>4290</v>
      </c>
      <c r="J2362" t="s">
        <v>4291</v>
      </c>
      <c r="K2362" t="s">
        <v>39</v>
      </c>
      <c r="L2362" t="s">
        <v>30</v>
      </c>
      <c r="M2362" t="s">
        <v>31</v>
      </c>
      <c r="N2362" t="s">
        <v>991</v>
      </c>
      <c r="Q2362" s="4">
        <v>1</v>
      </c>
    </row>
    <row r="2363" spans="1:20" s="16" customFormat="1" ht="18.5" thickBot="1" x14ac:dyDescent="0.6">
      <c r="A2363" s="16" t="s">
        <v>5484</v>
      </c>
      <c r="C2363" s="16" t="s">
        <v>4290</v>
      </c>
      <c r="D2363" s="16" t="s">
        <v>4291</v>
      </c>
      <c r="E2363" s="16" t="s">
        <v>39</v>
      </c>
      <c r="F2363" s="16" t="s">
        <v>30</v>
      </c>
      <c r="G2363" s="16" t="s">
        <v>31</v>
      </c>
      <c r="H2363" s="16" t="s">
        <v>991</v>
      </c>
      <c r="I2363" s="16" t="s">
        <v>4208</v>
      </c>
      <c r="J2363" s="16" t="s">
        <v>4209</v>
      </c>
      <c r="K2363" s="16" t="s">
        <v>39</v>
      </c>
      <c r="L2363" s="16" t="s">
        <v>30</v>
      </c>
      <c r="M2363" s="16" t="s">
        <v>31</v>
      </c>
      <c r="N2363" s="16" t="s">
        <v>991</v>
      </c>
      <c r="Q2363" s="17">
        <f>S2363/T2363</f>
        <v>0.5</v>
      </c>
      <c r="S2363" s="16">
        <f>MID(D2363,FIND("x",D2363)+7,4)*1</f>
        <v>2500</v>
      </c>
      <c r="T2363" s="16">
        <v>5000</v>
      </c>
    </row>
    <row r="2364" spans="1:20" x14ac:dyDescent="0.55000000000000004">
      <c r="A2364" t="s">
        <v>5485</v>
      </c>
      <c r="C2364" t="s">
        <v>4292</v>
      </c>
      <c r="D2364" t="s">
        <v>4293</v>
      </c>
      <c r="E2364" t="s">
        <v>39</v>
      </c>
      <c r="F2364" t="s">
        <v>30</v>
      </c>
      <c r="G2364" t="s">
        <v>31</v>
      </c>
      <c r="H2364" t="s">
        <v>991</v>
      </c>
      <c r="I2364" t="s">
        <v>4204</v>
      </c>
      <c r="J2364" t="s">
        <v>4205</v>
      </c>
      <c r="K2364" t="s">
        <v>362</v>
      </c>
      <c r="L2364" t="s">
        <v>30</v>
      </c>
      <c r="M2364" t="s">
        <v>31</v>
      </c>
      <c r="Q2364" s="4">
        <v>1</v>
      </c>
    </row>
    <row r="2365" spans="1:20" x14ac:dyDescent="0.55000000000000004">
      <c r="A2365" t="s">
        <v>5486</v>
      </c>
      <c r="C2365" t="s">
        <v>4292</v>
      </c>
      <c r="D2365" t="s">
        <v>4293</v>
      </c>
      <c r="E2365" t="s">
        <v>39</v>
      </c>
      <c r="F2365" t="s">
        <v>30</v>
      </c>
      <c r="G2365" t="s">
        <v>31</v>
      </c>
      <c r="H2365" t="s">
        <v>991</v>
      </c>
      <c r="I2365" t="s">
        <v>4294</v>
      </c>
      <c r="J2365" t="s">
        <v>4295</v>
      </c>
      <c r="K2365" t="s">
        <v>39</v>
      </c>
      <c r="L2365" t="s">
        <v>30</v>
      </c>
      <c r="M2365" t="s">
        <v>31</v>
      </c>
      <c r="N2365" t="s">
        <v>991</v>
      </c>
      <c r="Q2365" s="4">
        <v>1</v>
      </c>
    </row>
    <row r="2366" spans="1:20" s="16" customFormat="1" ht="18.5" thickBot="1" x14ac:dyDescent="0.6">
      <c r="A2366" s="16" t="s">
        <v>5487</v>
      </c>
      <c r="C2366" s="16" t="s">
        <v>4294</v>
      </c>
      <c r="D2366" s="16" t="s">
        <v>4295</v>
      </c>
      <c r="E2366" s="16" t="s">
        <v>39</v>
      </c>
      <c r="F2366" s="16" t="s">
        <v>30</v>
      </c>
      <c r="G2366" s="16" t="s">
        <v>31</v>
      </c>
      <c r="H2366" s="16" t="s">
        <v>991</v>
      </c>
      <c r="I2366" s="16" t="s">
        <v>4208</v>
      </c>
      <c r="J2366" s="16" t="s">
        <v>4209</v>
      </c>
      <c r="K2366" s="16" t="s">
        <v>39</v>
      </c>
      <c r="L2366" s="16" t="s">
        <v>30</v>
      </c>
      <c r="M2366" s="16" t="s">
        <v>31</v>
      </c>
      <c r="N2366" s="16" t="s">
        <v>991</v>
      </c>
      <c r="Q2366" s="17">
        <f>S2366/T2366</f>
        <v>0.52</v>
      </c>
      <c r="S2366" s="16">
        <f>MID(D2366,FIND("x",D2366)+7,4)*1</f>
        <v>2600</v>
      </c>
      <c r="T2366" s="16">
        <v>5000</v>
      </c>
    </row>
    <row r="2367" spans="1:20" x14ac:dyDescent="0.55000000000000004">
      <c r="A2367" t="s">
        <v>5488</v>
      </c>
      <c r="C2367" t="s">
        <v>4296</v>
      </c>
      <c r="D2367" t="s">
        <v>4297</v>
      </c>
      <c r="E2367" t="s">
        <v>39</v>
      </c>
      <c r="F2367" t="s">
        <v>30</v>
      </c>
      <c r="G2367" t="s">
        <v>31</v>
      </c>
      <c r="H2367" t="s">
        <v>991</v>
      </c>
      <c r="I2367" t="s">
        <v>4204</v>
      </c>
      <c r="J2367" t="s">
        <v>4205</v>
      </c>
      <c r="K2367" t="s">
        <v>362</v>
      </c>
      <c r="L2367" t="s">
        <v>30</v>
      </c>
      <c r="M2367" t="s">
        <v>31</v>
      </c>
      <c r="Q2367" s="4">
        <v>1</v>
      </c>
    </row>
    <row r="2368" spans="1:20" x14ac:dyDescent="0.55000000000000004">
      <c r="A2368" t="s">
        <v>5489</v>
      </c>
      <c r="C2368" t="s">
        <v>4296</v>
      </c>
      <c r="D2368" t="s">
        <v>4297</v>
      </c>
      <c r="E2368" t="s">
        <v>39</v>
      </c>
      <c r="F2368" t="s">
        <v>30</v>
      </c>
      <c r="G2368" t="s">
        <v>31</v>
      </c>
      <c r="H2368" t="s">
        <v>991</v>
      </c>
      <c r="I2368" t="s">
        <v>4298</v>
      </c>
      <c r="J2368" t="s">
        <v>4299</v>
      </c>
      <c r="K2368" t="s">
        <v>39</v>
      </c>
      <c r="L2368" t="s">
        <v>30</v>
      </c>
      <c r="M2368" t="s">
        <v>31</v>
      </c>
      <c r="N2368" t="s">
        <v>991</v>
      </c>
      <c r="Q2368" s="4">
        <v>1</v>
      </c>
    </row>
    <row r="2369" spans="1:20" s="16" customFormat="1" ht="18.5" thickBot="1" x14ac:dyDescent="0.6">
      <c r="A2369" s="16" t="s">
        <v>5490</v>
      </c>
      <c r="C2369" s="16" t="s">
        <v>4298</v>
      </c>
      <c r="D2369" s="16" t="s">
        <v>4299</v>
      </c>
      <c r="E2369" s="16" t="s">
        <v>39</v>
      </c>
      <c r="F2369" s="16" t="s">
        <v>30</v>
      </c>
      <c r="G2369" s="16" t="s">
        <v>31</v>
      </c>
      <c r="H2369" s="16" t="s">
        <v>991</v>
      </c>
      <c r="I2369" s="16" t="s">
        <v>4208</v>
      </c>
      <c r="J2369" s="16" t="s">
        <v>4209</v>
      </c>
      <c r="K2369" s="16" t="s">
        <v>39</v>
      </c>
      <c r="L2369" s="16" t="s">
        <v>30</v>
      </c>
      <c r="M2369" s="16" t="s">
        <v>31</v>
      </c>
      <c r="N2369" s="16" t="s">
        <v>991</v>
      </c>
      <c r="Q2369" s="17">
        <f>S2369/T2369</f>
        <v>0.54</v>
      </c>
      <c r="S2369" s="16">
        <f>MID(D2369,FIND("x",D2369)+7,4)*1</f>
        <v>2700</v>
      </c>
      <c r="T2369" s="16">
        <v>5000</v>
      </c>
    </row>
    <row r="2370" spans="1:20" x14ac:dyDescent="0.55000000000000004">
      <c r="A2370" t="s">
        <v>5491</v>
      </c>
      <c r="C2370" t="s">
        <v>4300</v>
      </c>
      <c r="D2370" t="s">
        <v>4301</v>
      </c>
      <c r="E2370" t="s">
        <v>39</v>
      </c>
      <c r="F2370" t="s">
        <v>30</v>
      </c>
      <c r="G2370" t="s">
        <v>31</v>
      </c>
      <c r="H2370" t="s">
        <v>991</v>
      </c>
      <c r="I2370" t="s">
        <v>4204</v>
      </c>
      <c r="J2370" t="s">
        <v>4205</v>
      </c>
      <c r="K2370" t="s">
        <v>362</v>
      </c>
      <c r="L2370" t="s">
        <v>30</v>
      </c>
      <c r="M2370" t="s">
        <v>31</v>
      </c>
      <c r="Q2370" s="4">
        <v>1</v>
      </c>
    </row>
    <row r="2371" spans="1:20" x14ac:dyDescent="0.55000000000000004">
      <c r="A2371" t="s">
        <v>5492</v>
      </c>
      <c r="C2371" t="s">
        <v>4300</v>
      </c>
      <c r="D2371" t="s">
        <v>4301</v>
      </c>
      <c r="E2371" t="s">
        <v>39</v>
      </c>
      <c r="F2371" t="s">
        <v>30</v>
      </c>
      <c r="G2371" t="s">
        <v>31</v>
      </c>
      <c r="H2371" t="s">
        <v>991</v>
      </c>
      <c r="I2371" t="s">
        <v>4302</v>
      </c>
      <c r="J2371" t="s">
        <v>4303</v>
      </c>
      <c r="K2371" t="s">
        <v>39</v>
      </c>
      <c r="L2371" t="s">
        <v>30</v>
      </c>
      <c r="M2371" t="s">
        <v>31</v>
      </c>
      <c r="N2371" t="s">
        <v>991</v>
      </c>
      <c r="Q2371" s="4">
        <v>1</v>
      </c>
    </row>
    <row r="2372" spans="1:20" s="16" customFormat="1" ht="18.5" thickBot="1" x14ac:dyDescent="0.6">
      <c r="A2372" s="16" t="s">
        <v>5493</v>
      </c>
      <c r="C2372" s="16" t="s">
        <v>4302</v>
      </c>
      <c r="D2372" s="16" t="s">
        <v>4303</v>
      </c>
      <c r="E2372" s="16" t="s">
        <v>39</v>
      </c>
      <c r="F2372" s="16" t="s">
        <v>30</v>
      </c>
      <c r="G2372" s="16" t="s">
        <v>31</v>
      </c>
      <c r="H2372" s="16" t="s">
        <v>991</v>
      </c>
      <c r="I2372" s="16" t="s">
        <v>4208</v>
      </c>
      <c r="J2372" s="16" t="s">
        <v>4209</v>
      </c>
      <c r="K2372" s="16" t="s">
        <v>39</v>
      </c>
      <c r="L2372" s="16" t="s">
        <v>30</v>
      </c>
      <c r="M2372" s="16" t="s">
        <v>31</v>
      </c>
      <c r="N2372" s="16" t="s">
        <v>991</v>
      </c>
      <c r="Q2372" s="17">
        <f>S2372/T2372</f>
        <v>0.56000000000000005</v>
      </c>
      <c r="S2372" s="16">
        <f>MID(D2372,FIND("x",D2372)+7,4)*1</f>
        <v>2800</v>
      </c>
      <c r="T2372" s="16">
        <v>5000</v>
      </c>
    </row>
    <row r="2373" spans="1:20" x14ac:dyDescent="0.55000000000000004">
      <c r="A2373" t="s">
        <v>5494</v>
      </c>
      <c r="C2373" t="s">
        <v>4304</v>
      </c>
      <c r="D2373" t="s">
        <v>4305</v>
      </c>
      <c r="E2373" t="s">
        <v>39</v>
      </c>
      <c r="F2373" t="s">
        <v>30</v>
      </c>
      <c r="G2373" t="s">
        <v>31</v>
      </c>
      <c r="H2373" t="s">
        <v>991</v>
      </c>
      <c r="I2373" t="s">
        <v>4204</v>
      </c>
      <c r="J2373" t="s">
        <v>4205</v>
      </c>
      <c r="K2373" t="s">
        <v>362</v>
      </c>
      <c r="L2373" t="s">
        <v>30</v>
      </c>
      <c r="M2373" t="s">
        <v>31</v>
      </c>
      <c r="Q2373" s="4">
        <v>1</v>
      </c>
    </row>
    <row r="2374" spans="1:20" x14ac:dyDescent="0.55000000000000004">
      <c r="A2374" t="s">
        <v>5495</v>
      </c>
      <c r="C2374" t="s">
        <v>4304</v>
      </c>
      <c r="D2374" t="s">
        <v>4305</v>
      </c>
      <c r="E2374" t="s">
        <v>39</v>
      </c>
      <c r="F2374" t="s">
        <v>30</v>
      </c>
      <c r="G2374" t="s">
        <v>31</v>
      </c>
      <c r="H2374" t="s">
        <v>991</v>
      </c>
      <c r="I2374" t="s">
        <v>4306</v>
      </c>
      <c r="J2374" t="s">
        <v>4307</v>
      </c>
      <c r="K2374" t="s">
        <v>39</v>
      </c>
      <c r="L2374" t="s">
        <v>30</v>
      </c>
      <c r="M2374" t="s">
        <v>31</v>
      </c>
      <c r="N2374" t="s">
        <v>991</v>
      </c>
      <c r="Q2374" s="4">
        <v>1</v>
      </c>
    </row>
    <row r="2375" spans="1:20" s="16" customFormat="1" ht="18.5" thickBot="1" x14ac:dyDescent="0.6">
      <c r="A2375" s="16" t="s">
        <v>5496</v>
      </c>
      <c r="C2375" s="16" t="s">
        <v>4306</v>
      </c>
      <c r="D2375" s="16" t="s">
        <v>4307</v>
      </c>
      <c r="E2375" s="16" t="s">
        <v>39</v>
      </c>
      <c r="F2375" s="16" t="s">
        <v>30</v>
      </c>
      <c r="G2375" s="16" t="s">
        <v>31</v>
      </c>
      <c r="H2375" s="16" t="s">
        <v>991</v>
      </c>
      <c r="I2375" s="16" t="s">
        <v>4208</v>
      </c>
      <c r="J2375" s="16" t="s">
        <v>4209</v>
      </c>
      <c r="K2375" s="16" t="s">
        <v>39</v>
      </c>
      <c r="L2375" s="16" t="s">
        <v>30</v>
      </c>
      <c r="M2375" s="16" t="s">
        <v>31</v>
      </c>
      <c r="N2375" s="16" t="s">
        <v>991</v>
      </c>
      <c r="Q2375" s="17">
        <f>S2375/T2375</f>
        <v>0.57999999999999996</v>
      </c>
      <c r="S2375" s="16">
        <f>MID(D2375,FIND("x",D2375)+7,4)*1</f>
        <v>2900</v>
      </c>
      <c r="T2375" s="16">
        <v>5000</v>
      </c>
    </row>
    <row r="2376" spans="1:20" x14ac:dyDescent="0.55000000000000004">
      <c r="A2376" t="s">
        <v>5497</v>
      </c>
      <c r="C2376" t="s">
        <v>4308</v>
      </c>
      <c r="D2376" t="s">
        <v>4309</v>
      </c>
      <c r="E2376" t="s">
        <v>39</v>
      </c>
      <c r="F2376" t="s">
        <v>30</v>
      </c>
      <c r="G2376" t="s">
        <v>31</v>
      </c>
      <c r="H2376" t="s">
        <v>991</v>
      </c>
      <c r="I2376" t="s">
        <v>4204</v>
      </c>
      <c r="J2376" t="s">
        <v>4205</v>
      </c>
      <c r="K2376" t="s">
        <v>362</v>
      </c>
      <c r="L2376" t="s">
        <v>30</v>
      </c>
      <c r="M2376" t="s">
        <v>31</v>
      </c>
      <c r="Q2376" s="4">
        <v>1</v>
      </c>
    </row>
    <row r="2377" spans="1:20" x14ac:dyDescent="0.55000000000000004">
      <c r="A2377" t="s">
        <v>5498</v>
      </c>
      <c r="C2377" t="s">
        <v>4308</v>
      </c>
      <c r="D2377" t="s">
        <v>4309</v>
      </c>
      <c r="E2377" t="s">
        <v>39</v>
      </c>
      <c r="F2377" t="s">
        <v>30</v>
      </c>
      <c r="G2377" t="s">
        <v>31</v>
      </c>
      <c r="H2377" t="s">
        <v>991</v>
      </c>
      <c r="I2377" t="s">
        <v>4310</v>
      </c>
      <c r="J2377" t="s">
        <v>4311</v>
      </c>
      <c r="K2377" t="s">
        <v>39</v>
      </c>
      <c r="L2377" t="s">
        <v>30</v>
      </c>
      <c r="M2377" t="s">
        <v>31</v>
      </c>
      <c r="N2377" t="s">
        <v>991</v>
      </c>
      <c r="Q2377" s="4">
        <v>1</v>
      </c>
    </row>
    <row r="2378" spans="1:20" s="16" customFormat="1" ht="18.5" thickBot="1" x14ac:dyDescent="0.6">
      <c r="A2378" s="16" t="s">
        <v>5499</v>
      </c>
      <c r="C2378" s="16" t="s">
        <v>4310</v>
      </c>
      <c r="D2378" s="16" t="s">
        <v>4311</v>
      </c>
      <c r="E2378" s="16" t="s">
        <v>39</v>
      </c>
      <c r="F2378" s="16" t="s">
        <v>30</v>
      </c>
      <c r="G2378" s="16" t="s">
        <v>31</v>
      </c>
      <c r="H2378" s="16" t="s">
        <v>991</v>
      </c>
      <c r="I2378" s="16" t="s">
        <v>4208</v>
      </c>
      <c r="J2378" s="16" t="s">
        <v>4209</v>
      </c>
      <c r="K2378" s="16" t="s">
        <v>39</v>
      </c>
      <c r="L2378" s="16" t="s">
        <v>30</v>
      </c>
      <c r="M2378" s="16" t="s">
        <v>31</v>
      </c>
      <c r="N2378" s="16" t="s">
        <v>991</v>
      </c>
      <c r="Q2378" s="17">
        <f>S2378/T2378</f>
        <v>0.6</v>
      </c>
      <c r="S2378" s="16">
        <f>MID(D2378,FIND("x",D2378)+7,4)*1</f>
        <v>3000</v>
      </c>
      <c r="T2378" s="16">
        <v>5000</v>
      </c>
    </row>
    <row r="2379" spans="1:20" x14ac:dyDescent="0.55000000000000004">
      <c r="A2379" t="s">
        <v>5500</v>
      </c>
      <c r="C2379" t="s">
        <v>4312</v>
      </c>
      <c r="D2379" t="s">
        <v>4313</v>
      </c>
      <c r="E2379" t="s">
        <v>39</v>
      </c>
      <c r="F2379" t="s">
        <v>30</v>
      </c>
      <c r="G2379" t="s">
        <v>31</v>
      </c>
      <c r="H2379" t="s">
        <v>991</v>
      </c>
      <c r="I2379" t="s">
        <v>4204</v>
      </c>
      <c r="J2379" t="s">
        <v>4205</v>
      </c>
      <c r="K2379" t="s">
        <v>362</v>
      </c>
      <c r="L2379" t="s">
        <v>30</v>
      </c>
      <c r="M2379" t="s">
        <v>31</v>
      </c>
      <c r="Q2379" s="4">
        <v>1</v>
      </c>
    </row>
    <row r="2380" spans="1:20" x14ac:dyDescent="0.55000000000000004">
      <c r="A2380" t="s">
        <v>5501</v>
      </c>
      <c r="C2380" t="s">
        <v>4312</v>
      </c>
      <c r="D2380" t="s">
        <v>4313</v>
      </c>
      <c r="E2380" t="s">
        <v>39</v>
      </c>
      <c r="F2380" t="s">
        <v>30</v>
      </c>
      <c r="G2380" t="s">
        <v>31</v>
      </c>
      <c r="H2380" t="s">
        <v>991</v>
      </c>
      <c r="I2380" t="s">
        <v>4314</v>
      </c>
      <c r="J2380" t="s">
        <v>4315</v>
      </c>
      <c r="K2380" t="s">
        <v>39</v>
      </c>
      <c r="L2380" t="s">
        <v>30</v>
      </c>
      <c r="M2380" t="s">
        <v>31</v>
      </c>
      <c r="N2380" t="s">
        <v>991</v>
      </c>
      <c r="Q2380" s="4">
        <v>1</v>
      </c>
    </row>
    <row r="2381" spans="1:20" s="16" customFormat="1" ht="18.5" thickBot="1" x14ac:dyDescent="0.6">
      <c r="A2381" s="16" t="s">
        <v>5502</v>
      </c>
      <c r="C2381" s="16" t="s">
        <v>4314</v>
      </c>
      <c r="D2381" s="16" t="s">
        <v>4315</v>
      </c>
      <c r="E2381" s="16" t="s">
        <v>39</v>
      </c>
      <c r="F2381" s="16" t="s">
        <v>30</v>
      </c>
      <c r="G2381" s="16" t="s">
        <v>31</v>
      </c>
      <c r="H2381" s="16" t="s">
        <v>991</v>
      </c>
      <c r="I2381" s="16" t="s">
        <v>4208</v>
      </c>
      <c r="J2381" s="16" t="s">
        <v>4209</v>
      </c>
      <c r="K2381" s="16" t="s">
        <v>39</v>
      </c>
      <c r="L2381" s="16" t="s">
        <v>30</v>
      </c>
      <c r="M2381" s="16" t="s">
        <v>31</v>
      </c>
      <c r="N2381" s="16" t="s">
        <v>991</v>
      </c>
      <c r="Q2381" s="17">
        <f>S2381/T2381</f>
        <v>0.62</v>
      </c>
      <c r="S2381" s="16">
        <f>MID(D2381,FIND("x",D2381)+7,4)*1</f>
        <v>3100</v>
      </c>
      <c r="T2381" s="16">
        <v>5000</v>
      </c>
    </row>
    <row r="2382" spans="1:20" x14ac:dyDescent="0.55000000000000004">
      <c r="A2382" t="s">
        <v>5503</v>
      </c>
      <c r="C2382" t="s">
        <v>4316</v>
      </c>
      <c r="D2382" t="s">
        <v>4317</v>
      </c>
      <c r="E2382" t="s">
        <v>39</v>
      </c>
      <c r="F2382" t="s">
        <v>30</v>
      </c>
      <c r="G2382" t="s">
        <v>31</v>
      </c>
      <c r="H2382" t="s">
        <v>991</v>
      </c>
      <c r="I2382" t="s">
        <v>4204</v>
      </c>
      <c r="J2382" t="s">
        <v>4205</v>
      </c>
      <c r="K2382" t="s">
        <v>362</v>
      </c>
      <c r="L2382" t="s">
        <v>30</v>
      </c>
      <c r="M2382" t="s">
        <v>31</v>
      </c>
      <c r="Q2382" s="4">
        <v>1</v>
      </c>
    </row>
    <row r="2383" spans="1:20" x14ac:dyDescent="0.55000000000000004">
      <c r="A2383" t="s">
        <v>5504</v>
      </c>
      <c r="C2383" t="s">
        <v>4316</v>
      </c>
      <c r="D2383" t="s">
        <v>4317</v>
      </c>
      <c r="E2383" t="s">
        <v>39</v>
      </c>
      <c r="F2383" t="s">
        <v>30</v>
      </c>
      <c r="G2383" t="s">
        <v>31</v>
      </c>
      <c r="H2383" t="s">
        <v>991</v>
      </c>
      <c r="I2383" t="s">
        <v>4318</v>
      </c>
      <c r="J2383" t="s">
        <v>4319</v>
      </c>
      <c r="K2383" t="s">
        <v>39</v>
      </c>
      <c r="L2383" t="s">
        <v>30</v>
      </c>
      <c r="M2383" t="s">
        <v>31</v>
      </c>
      <c r="N2383" t="s">
        <v>991</v>
      </c>
      <c r="Q2383" s="4">
        <v>1</v>
      </c>
    </row>
    <row r="2384" spans="1:20" s="16" customFormat="1" ht="18.5" thickBot="1" x14ac:dyDescent="0.6">
      <c r="A2384" s="16" t="s">
        <v>5505</v>
      </c>
      <c r="C2384" s="16" t="s">
        <v>4318</v>
      </c>
      <c r="D2384" s="16" t="s">
        <v>4319</v>
      </c>
      <c r="E2384" s="16" t="s">
        <v>39</v>
      </c>
      <c r="F2384" s="16" t="s">
        <v>30</v>
      </c>
      <c r="G2384" s="16" t="s">
        <v>31</v>
      </c>
      <c r="H2384" s="16" t="s">
        <v>991</v>
      </c>
      <c r="I2384" s="16" t="s">
        <v>4208</v>
      </c>
      <c r="J2384" s="16" t="s">
        <v>4209</v>
      </c>
      <c r="K2384" s="16" t="s">
        <v>39</v>
      </c>
      <c r="L2384" s="16" t="s">
        <v>30</v>
      </c>
      <c r="M2384" s="16" t="s">
        <v>31</v>
      </c>
      <c r="N2384" s="16" t="s">
        <v>991</v>
      </c>
      <c r="Q2384" s="17">
        <f>S2384/T2384</f>
        <v>0.64</v>
      </c>
      <c r="S2384" s="16">
        <f>MID(D2384,FIND("x",D2384)+7,4)*1</f>
        <v>3200</v>
      </c>
      <c r="T2384" s="16">
        <v>5000</v>
      </c>
    </row>
    <row r="2385" spans="1:20" x14ac:dyDescent="0.55000000000000004">
      <c r="A2385" t="s">
        <v>5506</v>
      </c>
      <c r="C2385" t="s">
        <v>4320</v>
      </c>
      <c r="D2385" t="s">
        <v>4321</v>
      </c>
      <c r="E2385" t="s">
        <v>39</v>
      </c>
      <c r="F2385" t="s">
        <v>30</v>
      </c>
      <c r="G2385" t="s">
        <v>31</v>
      </c>
      <c r="H2385" t="s">
        <v>991</v>
      </c>
      <c r="I2385" t="s">
        <v>4204</v>
      </c>
      <c r="J2385" t="s">
        <v>4205</v>
      </c>
      <c r="K2385" t="s">
        <v>362</v>
      </c>
      <c r="L2385" t="s">
        <v>30</v>
      </c>
      <c r="M2385" t="s">
        <v>31</v>
      </c>
      <c r="Q2385" s="4">
        <v>1</v>
      </c>
    </row>
    <row r="2386" spans="1:20" x14ac:dyDescent="0.55000000000000004">
      <c r="A2386" t="s">
        <v>5507</v>
      </c>
      <c r="C2386" t="s">
        <v>4320</v>
      </c>
      <c r="D2386" t="s">
        <v>4321</v>
      </c>
      <c r="E2386" t="s">
        <v>39</v>
      </c>
      <c r="F2386" t="s">
        <v>30</v>
      </c>
      <c r="G2386" t="s">
        <v>31</v>
      </c>
      <c r="H2386" t="s">
        <v>991</v>
      </c>
      <c r="I2386" t="s">
        <v>4322</v>
      </c>
      <c r="J2386" t="s">
        <v>4323</v>
      </c>
      <c r="K2386" t="s">
        <v>39</v>
      </c>
      <c r="L2386" t="s">
        <v>30</v>
      </c>
      <c r="M2386" t="s">
        <v>31</v>
      </c>
      <c r="N2386" t="s">
        <v>991</v>
      </c>
      <c r="Q2386" s="4">
        <v>1</v>
      </c>
    </row>
    <row r="2387" spans="1:20" s="16" customFormat="1" ht="18.5" thickBot="1" x14ac:dyDescent="0.6">
      <c r="A2387" s="16" t="s">
        <v>5508</v>
      </c>
      <c r="C2387" s="16" t="s">
        <v>4322</v>
      </c>
      <c r="D2387" s="16" t="s">
        <v>4323</v>
      </c>
      <c r="E2387" s="16" t="s">
        <v>39</v>
      </c>
      <c r="F2387" s="16" t="s">
        <v>30</v>
      </c>
      <c r="G2387" s="16" t="s">
        <v>31</v>
      </c>
      <c r="H2387" s="16" t="s">
        <v>991</v>
      </c>
      <c r="I2387" s="16" t="s">
        <v>4208</v>
      </c>
      <c r="J2387" s="16" t="s">
        <v>4209</v>
      </c>
      <c r="K2387" s="16" t="s">
        <v>39</v>
      </c>
      <c r="L2387" s="16" t="s">
        <v>30</v>
      </c>
      <c r="M2387" s="16" t="s">
        <v>31</v>
      </c>
      <c r="N2387" s="16" t="s">
        <v>991</v>
      </c>
      <c r="Q2387" s="17">
        <f>S2387/T2387</f>
        <v>0.66</v>
      </c>
      <c r="S2387" s="16">
        <f>MID(D2387,FIND("x",D2387)+7,4)*1</f>
        <v>3300</v>
      </c>
      <c r="T2387" s="16">
        <v>5000</v>
      </c>
    </row>
    <row r="2388" spans="1:20" x14ac:dyDescent="0.55000000000000004">
      <c r="A2388" t="s">
        <v>5509</v>
      </c>
      <c r="C2388" t="s">
        <v>4324</v>
      </c>
      <c r="D2388" t="s">
        <v>4325</v>
      </c>
      <c r="E2388" t="s">
        <v>39</v>
      </c>
      <c r="F2388" t="s">
        <v>30</v>
      </c>
      <c r="G2388" t="s">
        <v>31</v>
      </c>
      <c r="H2388" t="s">
        <v>991</v>
      </c>
      <c r="I2388" t="s">
        <v>4204</v>
      </c>
      <c r="J2388" t="s">
        <v>4205</v>
      </c>
      <c r="K2388" t="s">
        <v>362</v>
      </c>
      <c r="L2388" t="s">
        <v>30</v>
      </c>
      <c r="M2388" t="s">
        <v>31</v>
      </c>
      <c r="Q2388" s="4">
        <v>1</v>
      </c>
    </row>
    <row r="2389" spans="1:20" x14ac:dyDescent="0.55000000000000004">
      <c r="A2389" t="s">
        <v>5510</v>
      </c>
      <c r="C2389" t="s">
        <v>4324</v>
      </c>
      <c r="D2389" t="s">
        <v>4325</v>
      </c>
      <c r="E2389" t="s">
        <v>39</v>
      </c>
      <c r="F2389" t="s">
        <v>30</v>
      </c>
      <c r="G2389" t="s">
        <v>31</v>
      </c>
      <c r="H2389" t="s">
        <v>991</v>
      </c>
      <c r="I2389" t="s">
        <v>4326</v>
      </c>
      <c r="J2389" t="s">
        <v>4327</v>
      </c>
      <c r="K2389" t="s">
        <v>39</v>
      </c>
      <c r="L2389" t="s">
        <v>30</v>
      </c>
      <c r="M2389" t="s">
        <v>31</v>
      </c>
      <c r="N2389" t="s">
        <v>991</v>
      </c>
      <c r="Q2389" s="4">
        <v>1</v>
      </c>
    </row>
    <row r="2390" spans="1:20" s="16" customFormat="1" ht="18.5" thickBot="1" x14ac:dyDescent="0.6">
      <c r="A2390" s="16" t="s">
        <v>5511</v>
      </c>
      <c r="C2390" s="16" t="s">
        <v>4326</v>
      </c>
      <c r="D2390" s="16" t="s">
        <v>4327</v>
      </c>
      <c r="E2390" s="16" t="s">
        <v>39</v>
      </c>
      <c r="F2390" s="16" t="s">
        <v>30</v>
      </c>
      <c r="G2390" s="16" t="s">
        <v>31</v>
      </c>
      <c r="H2390" s="16" t="s">
        <v>991</v>
      </c>
      <c r="I2390" s="16" t="s">
        <v>4208</v>
      </c>
      <c r="J2390" s="16" t="s">
        <v>4209</v>
      </c>
      <c r="K2390" s="16" t="s">
        <v>39</v>
      </c>
      <c r="L2390" s="16" t="s">
        <v>30</v>
      </c>
      <c r="M2390" s="16" t="s">
        <v>31</v>
      </c>
      <c r="N2390" s="16" t="s">
        <v>991</v>
      </c>
      <c r="Q2390" s="17">
        <f>S2390/T2390</f>
        <v>0.68</v>
      </c>
      <c r="S2390" s="16">
        <f>MID(D2390,FIND("x",D2390)+7,4)*1</f>
        <v>3400</v>
      </c>
      <c r="T2390" s="16">
        <v>5000</v>
      </c>
    </row>
    <row r="2391" spans="1:20" x14ac:dyDescent="0.55000000000000004">
      <c r="A2391" t="s">
        <v>5512</v>
      </c>
      <c r="C2391" t="s">
        <v>4328</v>
      </c>
      <c r="D2391" t="s">
        <v>4329</v>
      </c>
      <c r="E2391" t="s">
        <v>39</v>
      </c>
      <c r="F2391" t="s">
        <v>30</v>
      </c>
      <c r="G2391" t="s">
        <v>31</v>
      </c>
      <c r="H2391" t="s">
        <v>991</v>
      </c>
      <c r="I2391" t="s">
        <v>4204</v>
      </c>
      <c r="J2391" t="s">
        <v>4205</v>
      </c>
      <c r="K2391" t="s">
        <v>362</v>
      </c>
      <c r="L2391" t="s">
        <v>30</v>
      </c>
      <c r="M2391" t="s">
        <v>31</v>
      </c>
      <c r="Q2391" s="4">
        <v>1</v>
      </c>
    </row>
    <row r="2392" spans="1:20" x14ac:dyDescent="0.55000000000000004">
      <c r="A2392" t="s">
        <v>5513</v>
      </c>
      <c r="C2392" t="s">
        <v>4328</v>
      </c>
      <c r="D2392" t="s">
        <v>4329</v>
      </c>
      <c r="E2392" t="s">
        <v>39</v>
      </c>
      <c r="F2392" t="s">
        <v>30</v>
      </c>
      <c r="G2392" t="s">
        <v>31</v>
      </c>
      <c r="H2392" t="s">
        <v>991</v>
      </c>
      <c r="I2392" t="s">
        <v>4330</v>
      </c>
      <c r="J2392" t="s">
        <v>4331</v>
      </c>
      <c r="K2392" t="s">
        <v>39</v>
      </c>
      <c r="L2392" t="s">
        <v>30</v>
      </c>
      <c r="M2392" t="s">
        <v>31</v>
      </c>
      <c r="N2392" t="s">
        <v>991</v>
      </c>
      <c r="Q2392" s="4">
        <v>1</v>
      </c>
    </row>
    <row r="2393" spans="1:20" s="16" customFormat="1" ht="18.5" thickBot="1" x14ac:dyDescent="0.6">
      <c r="A2393" s="16" t="s">
        <v>5514</v>
      </c>
      <c r="C2393" s="16" t="s">
        <v>4330</v>
      </c>
      <c r="D2393" s="16" t="s">
        <v>4331</v>
      </c>
      <c r="E2393" s="16" t="s">
        <v>39</v>
      </c>
      <c r="F2393" s="16" t="s">
        <v>30</v>
      </c>
      <c r="G2393" s="16" t="s">
        <v>31</v>
      </c>
      <c r="H2393" s="16" t="s">
        <v>991</v>
      </c>
      <c r="I2393" s="16" t="s">
        <v>4208</v>
      </c>
      <c r="J2393" s="16" t="s">
        <v>4209</v>
      </c>
      <c r="K2393" s="16" t="s">
        <v>39</v>
      </c>
      <c r="L2393" s="16" t="s">
        <v>30</v>
      </c>
      <c r="M2393" s="16" t="s">
        <v>31</v>
      </c>
      <c r="N2393" s="16" t="s">
        <v>991</v>
      </c>
      <c r="Q2393" s="17">
        <f>S2393/T2393</f>
        <v>0.7</v>
      </c>
      <c r="S2393" s="16">
        <f>MID(D2393,FIND("x",D2393)+7,4)*1</f>
        <v>3500</v>
      </c>
      <c r="T2393" s="16">
        <v>5000</v>
      </c>
    </row>
    <row r="2394" spans="1:20" x14ac:dyDescent="0.55000000000000004">
      <c r="A2394" t="s">
        <v>5515</v>
      </c>
      <c r="C2394" t="s">
        <v>4332</v>
      </c>
      <c r="D2394" t="s">
        <v>4333</v>
      </c>
      <c r="E2394" t="s">
        <v>39</v>
      </c>
      <c r="F2394" t="s">
        <v>30</v>
      </c>
      <c r="G2394" t="s">
        <v>31</v>
      </c>
      <c r="H2394" t="s">
        <v>991</v>
      </c>
      <c r="I2394" t="s">
        <v>4204</v>
      </c>
      <c r="J2394" t="s">
        <v>4205</v>
      </c>
      <c r="K2394" t="s">
        <v>362</v>
      </c>
      <c r="L2394" t="s">
        <v>30</v>
      </c>
      <c r="M2394" t="s">
        <v>31</v>
      </c>
      <c r="Q2394" s="4">
        <v>1</v>
      </c>
    </row>
    <row r="2395" spans="1:20" x14ac:dyDescent="0.55000000000000004">
      <c r="A2395" t="s">
        <v>5516</v>
      </c>
      <c r="C2395" t="s">
        <v>4332</v>
      </c>
      <c r="D2395" t="s">
        <v>4333</v>
      </c>
      <c r="E2395" t="s">
        <v>39</v>
      </c>
      <c r="F2395" t="s">
        <v>30</v>
      </c>
      <c r="G2395" t="s">
        <v>31</v>
      </c>
      <c r="H2395" t="s">
        <v>991</v>
      </c>
      <c r="I2395" t="s">
        <v>4334</v>
      </c>
      <c r="J2395" t="s">
        <v>4335</v>
      </c>
      <c r="K2395" t="s">
        <v>39</v>
      </c>
      <c r="L2395" t="s">
        <v>30</v>
      </c>
      <c r="M2395" t="s">
        <v>31</v>
      </c>
      <c r="N2395" t="s">
        <v>991</v>
      </c>
      <c r="Q2395" s="4">
        <v>1</v>
      </c>
    </row>
    <row r="2396" spans="1:20" s="16" customFormat="1" ht="18.5" thickBot="1" x14ac:dyDescent="0.6">
      <c r="A2396" s="16" t="s">
        <v>5517</v>
      </c>
      <c r="C2396" s="16" t="s">
        <v>4334</v>
      </c>
      <c r="D2396" s="16" t="s">
        <v>4335</v>
      </c>
      <c r="E2396" s="16" t="s">
        <v>39</v>
      </c>
      <c r="F2396" s="16" t="s">
        <v>30</v>
      </c>
      <c r="G2396" s="16" t="s">
        <v>31</v>
      </c>
      <c r="H2396" s="16" t="s">
        <v>991</v>
      </c>
      <c r="I2396" s="16" t="s">
        <v>4208</v>
      </c>
      <c r="J2396" s="16" t="s">
        <v>4209</v>
      </c>
      <c r="K2396" s="16" t="s">
        <v>39</v>
      </c>
      <c r="L2396" s="16" t="s">
        <v>30</v>
      </c>
      <c r="M2396" s="16" t="s">
        <v>31</v>
      </c>
      <c r="N2396" s="16" t="s">
        <v>991</v>
      </c>
      <c r="Q2396" s="17">
        <f>S2396/T2396</f>
        <v>0.72</v>
      </c>
      <c r="S2396" s="16">
        <f>MID(D2396,FIND("x",D2396)+7,4)*1</f>
        <v>3600</v>
      </c>
      <c r="T2396" s="16">
        <v>5000</v>
      </c>
    </row>
    <row r="2397" spans="1:20" x14ac:dyDescent="0.55000000000000004">
      <c r="A2397" t="s">
        <v>5518</v>
      </c>
      <c r="C2397" t="s">
        <v>4336</v>
      </c>
      <c r="D2397" t="s">
        <v>4337</v>
      </c>
      <c r="E2397" t="s">
        <v>39</v>
      </c>
      <c r="F2397" t="s">
        <v>30</v>
      </c>
      <c r="G2397" t="s">
        <v>31</v>
      </c>
      <c r="H2397" t="s">
        <v>991</v>
      </c>
      <c r="I2397" t="s">
        <v>4204</v>
      </c>
      <c r="J2397" t="s">
        <v>4205</v>
      </c>
      <c r="K2397" t="s">
        <v>362</v>
      </c>
      <c r="L2397" t="s">
        <v>30</v>
      </c>
      <c r="M2397" t="s">
        <v>31</v>
      </c>
      <c r="Q2397" s="4">
        <v>1</v>
      </c>
    </row>
    <row r="2398" spans="1:20" x14ac:dyDescent="0.55000000000000004">
      <c r="A2398" t="s">
        <v>5519</v>
      </c>
      <c r="C2398" t="s">
        <v>4336</v>
      </c>
      <c r="D2398" t="s">
        <v>4337</v>
      </c>
      <c r="E2398" t="s">
        <v>39</v>
      </c>
      <c r="F2398" t="s">
        <v>30</v>
      </c>
      <c r="G2398" t="s">
        <v>31</v>
      </c>
      <c r="H2398" t="s">
        <v>991</v>
      </c>
      <c r="I2398" t="s">
        <v>4338</v>
      </c>
      <c r="J2398" t="s">
        <v>4339</v>
      </c>
      <c r="K2398" t="s">
        <v>39</v>
      </c>
      <c r="L2398" t="s">
        <v>30</v>
      </c>
      <c r="M2398" t="s">
        <v>31</v>
      </c>
      <c r="N2398" t="s">
        <v>991</v>
      </c>
      <c r="Q2398" s="4">
        <v>1</v>
      </c>
    </row>
    <row r="2399" spans="1:20" s="16" customFormat="1" ht="18.5" thickBot="1" x14ac:dyDescent="0.6">
      <c r="A2399" s="16" t="s">
        <v>5520</v>
      </c>
      <c r="C2399" s="16" t="s">
        <v>4338</v>
      </c>
      <c r="D2399" s="16" t="s">
        <v>4339</v>
      </c>
      <c r="E2399" s="16" t="s">
        <v>39</v>
      </c>
      <c r="F2399" s="16" t="s">
        <v>30</v>
      </c>
      <c r="G2399" s="16" t="s">
        <v>31</v>
      </c>
      <c r="H2399" s="16" t="s">
        <v>991</v>
      </c>
      <c r="I2399" s="16" t="s">
        <v>4208</v>
      </c>
      <c r="J2399" s="16" t="s">
        <v>4209</v>
      </c>
      <c r="K2399" s="16" t="s">
        <v>39</v>
      </c>
      <c r="L2399" s="16" t="s">
        <v>30</v>
      </c>
      <c r="M2399" s="16" t="s">
        <v>31</v>
      </c>
      <c r="N2399" s="16" t="s">
        <v>991</v>
      </c>
      <c r="Q2399" s="17">
        <f>S2399/T2399</f>
        <v>0.74</v>
      </c>
      <c r="S2399" s="16">
        <f>MID(D2399,FIND("x",D2399)+7,4)*1</f>
        <v>3700</v>
      </c>
      <c r="T2399" s="16">
        <v>5000</v>
      </c>
    </row>
    <row r="2400" spans="1:20" x14ac:dyDescent="0.55000000000000004">
      <c r="A2400" t="s">
        <v>5521</v>
      </c>
      <c r="C2400" t="s">
        <v>4340</v>
      </c>
      <c r="D2400" t="s">
        <v>4341</v>
      </c>
      <c r="E2400" t="s">
        <v>39</v>
      </c>
      <c r="F2400" t="s">
        <v>30</v>
      </c>
      <c r="G2400" t="s">
        <v>31</v>
      </c>
      <c r="H2400" t="s">
        <v>991</v>
      </c>
      <c r="I2400" t="s">
        <v>4204</v>
      </c>
      <c r="J2400" t="s">
        <v>4205</v>
      </c>
      <c r="K2400" t="s">
        <v>362</v>
      </c>
      <c r="L2400" t="s">
        <v>30</v>
      </c>
      <c r="M2400" t="s">
        <v>31</v>
      </c>
      <c r="Q2400" s="4">
        <v>1</v>
      </c>
    </row>
    <row r="2401" spans="1:20" x14ac:dyDescent="0.55000000000000004">
      <c r="A2401" t="s">
        <v>5522</v>
      </c>
      <c r="C2401" t="s">
        <v>4340</v>
      </c>
      <c r="D2401" t="s">
        <v>4341</v>
      </c>
      <c r="E2401" t="s">
        <v>39</v>
      </c>
      <c r="F2401" t="s">
        <v>30</v>
      </c>
      <c r="G2401" t="s">
        <v>31</v>
      </c>
      <c r="H2401" t="s">
        <v>991</v>
      </c>
      <c r="I2401" t="s">
        <v>4342</v>
      </c>
      <c r="J2401" t="s">
        <v>4343</v>
      </c>
      <c r="K2401" t="s">
        <v>39</v>
      </c>
      <c r="L2401" t="s">
        <v>30</v>
      </c>
      <c r="M2401" t="s">
        <v>31</v>
      </c>
      <c r="N2401" t="s">
        <v>991</v>
      </c>
      <c r="Q2401" s="4">
        <v>1</v>
      </c>
    </row>
    <row r="2402" spans="1:20" s="16" customFormat="1" ht="18.5" thickBot="1" x14ac:dyDescent="0.6">
      <c r="A2402" s="16" t="s">
        <v>5523</v>
      </c>
      <c r="C2402" s="16" t="s">
        <v>4342</v>
      </c>
      <c r="D2402" s="16" t="s">
        <v>4343</v>
      </c>
      <c r="E2402" s="16" t="s">
        <v>39</v>
      </c>
      <c r="F2402" s="16" t="s">
        <v>30</v>
      </c>
      <c r="G2402" s="16" t="s">
        <v>31</v>
      </c>
      <c r="H2402" s="16" t="s">
        <v>991</v>
      </c>
      <c r="I2402" s="16" t="s">
        <v>4208</v>
      </c>
      <c r="J2402" s="16" t="s">
        <v>4209</v>
      </c>
      <c r="K2402" s="16" t="s">
        <v>39</v>
      </c>
      <c r="L2402" s="16" t="s">
        <v>30</v>
      </c>
      <c r="M2402" s="16" t="s">
        <v>31</v>
      </c>
      <c r="N2402" s="16" t="s">
        <v>991</v>
      </c>
      <c r="Q2402" s="17">
        <f>S2402/T2402</f>
        <v>0.76</v>
      </c>
      <c r="S2402" s="16">
        <f>MID(D2402,FIND("x",D2402)+7,4)*1</f>
        <v>3800</v>
      </c>
      <c r="T2402" s="16">
        <v>5000</v>
      </c>
    </row>
    <row r="2403" spans="1:20" x14ac:dyDescent="0.55000000000000004">
      <c r="A2403" t="s">
        <v>5524</v>
      </c>
      <c r="C2403" t="s">
        <v>4344</v>
      </c>
      <c r="D2403" t="s">
        <v>4345</v>
      </c>
      <c r="E2403" t="s">
        <v>39</v>
      </c>
      <c r="F2403" t="s">
        <v>30</v>
      </c>
      <c r="G2403" t="s">
        <v>31</v>
      </c>
      <c r="H2403" t="s">
        <v>991</v>
      </c>
      <c r="I2403" t="s">
        <v>4204</v>
      </c>
      <c r="J2403" t="s">
        <v>4205</v>
      </c>
      <c r="K2403" t="s">
        <v>362</v>
      </c>
      <c r="L2403" t="s">
        <v>30</v>
      </c>
      <c r="M2403" t="s">
        <v>31</v>
      </c>
      <c r="Q2403" s="4">
        <v>1</v>
      </c>
    </row>
    <row r="2404" spans="1:20" x14ac:dyDescent="0.55000000000000004">
      <c r="A2404" t="s">
        <v>5525</v>
      </c>
      <c r="C2404" t="s">
        <v>4344</v>
      </c>
      <c r="D2404" t="s">
        <v>4345</v>
      </c>
      <c r="E2404" t="s">
        <v>39</v>
      </c>
      <c r="F2404" t="s">
        <v>30</v>
      </c>
      <c r="G2404" t="s">
        <v>31</v>
      </c>
      <c r="H2404" t="s">
        <v>991</v>
      </c>
      <c r="I2404" t="s">
        <v>4346</v>
      </c>
      <c r="J2404" t="s">
        <v>4347</v>
      </c>
      <c r="K2404" t="s">
        <v>39</v>
      </c>
      <c r="L2404" t="s">
        <v>30</v>
      </c>
      <c r="M2404" t="s">
        <v>31</v>
      </c>
      <c r="N2404" t="s">
        <v>991</v>
      </c>
      <c r="Q2404" s="4">
        <v>1</v>
      </c>
    </row>
    <row r="2405" spans="1:20" s="16" customFormat="1" ht="18.5" thickBot="1" x14ac:dyDescent="0.6">
      <c r="A2405" s="16" t="s">
        <v>5526</v>
      </c>
      <c r="C2405" s="16" t="s">
        <v>4346</v>
      </c>
      <c r="D2405" s="16" t="s">
        <v>4347</v>
      </c>
      <c r="E2405" s="16" t="s">
        <v>39</v>
      </c>
      <c r="F2405" s="16" t="s">
        <v>30</v>
      </c>
      <c r="G2405" s="16" t="s">
        <v>31</v>
      </c>
      <c r="H2405" s="16" t="s">
        <v>991</v>
      </c>
      <c r="I2405" s="16" t="s">
        <v>4208</v>
      </c>
      <c r="J2405" s="16" t="s">
        <v>4209</v>
      </c>
      <c r="K2405" s="16" t="s">
        <v>39</v>
      </c>
      <c r="L2405" s="16" t="s">
        <v>30</v>
      </c>
      <c r="M2405" s="16" t="s">
        <v>31</v>
      </c>
      <c r="N2405" s="16" t="s">
        <v>991</v>
      </c>
      <c r="Q2405" s="17">
        <f>S2405/T2405</f>
        <v>0.78</v>
      </c>
      <c r="S2405" s="16">
        <f>MID(D2405,FIND("x",D2405)+7,4)*1</f>
        <v>3900</v>
      </c>
      <c r="T2405" s="16">
        <v>5000</v>
      </c>
    </row>
    <row r="2406" spans="1:20" x14ac:dyDescent="0.55000000000000004">
      <c r="A2406" t="s">
        <v>5527</v>
      </c>
      <c r="C2406" t="s">
        <v>4348</v>
      </c>
      <c r="D2406" t="s">
        <v>4349</v>
      </c>
      <c r="E2406" t="s">
        <v>39</v>
      </c>
      <c r="F2406" t="s">
        <v>30</v>
      </c>
      <c r="G2406" t="s">
        <v>31</v>
      </c>
      <c r="H2406" t="s">
        <v>991</v>
      </c>
      <c r="I2406" t="s">
        <v>4204</v>
      </c>
      <c r="J2406" t="s">
        <v>4205</v>
      </c>
      <c r="K2406" t="s">
        <v>362</v>
      </c>
      <c r="L2406" t="s">
        <v>30</v>
      </c>
      <c r="M2406" t="s">
        <v>31</v>
      </c>
      <c r="Q2406" s="4">
        <v>1</v>
      </c>
    </row>
    <row r="2407" spans="1:20" x14ac:dyDescent="0.55000000000000004">
      <c r="A2407" t="s">
        <v>5528</v>
      </c>
      <c r="C2407" t="s">
        <v>4348</v>
      </c>
      <c r="D2407" t="s">
        <v>4349</v>
      </c>
      <c r="E2407" t="s">
        <v>39</v>
      </c>
      <c r="F2407" t="s">
        <v>30</v>
      </c>
      <c r="G2407" t="s">
        <v>31</v>
      </c>
      <c r="H2407" t="s">
        <v>991</v>
      </c>
      <c r="I2407" t="s">
        <v>4350</v>
      </c>
      <c r="J2407" t="s">
        <v>4351</v>
      </c>
      <c r="K2407" t="s">
        <v>39</v>
      </c>
      <c r="L2407" t="s">
        <v>30</v>
      </c>
      <c r="M2407" t="s">
        <v>31</v>
      </c>
      <c r="N2407" t="s">
        <v>991</v>
      </c>
      <c r="Q2407" s="4">
        <v>1</v>
      </c>
    </row>
    <row r="2408" spans="1:20" s="16" customFormat="1" ht="18.5" thickBot="1" x14ac:dyDescent="0.6">
      <c r="A2408" s="16" t="s">
        <v>5529</v>
      </c>
      <c r="C2408" s="16" t="s">
        <v>4350</v>
      </c>
      <c r="D2408" s="16" t="s">
        <v>4351</v>
      </c>
      <c r="E2408" s="16" t="s">
        <v>39</v>
      </c>
      <c r="F2408" s="16" t="s">
        <v>30</v>
      </c>
      <c r="G2408" s="16" t="s">
        <v>31</v>
      </c>
      <c r="H2408" s="16" t="s">
        <v>991</v>
      </c>
      <c r="I2408" s="16" t="s">
        <v>4208</v>
      </c>
      <c r="J2408" s="16" t="s">
        <v>4209</v>
      </c>
      <c r="K2408" s="16" t="s">
        <v>39</v>
      </c>
      <c r="L2408" s="16" t="s">
        <v>30</v>
      </c>
      <c r="M2408" s="16" t="s">
        <v>31</v>
      </c>
      <c r="N2408" s="16" t="s">
        <v>991</v>
      </c>
      <c r="Q2408" s="17">
        <f>S2408/T2408</f>
        <v>0.8</v>
      </c>
      <c r="S2408" s="16">
        <f>MID(D2408,FIND("x",D2408)+7,4)*1</f>
        <v>4000</v>
      </c>
      <c r="T2408" s="16">
        <v>5000</v>
      </c>
    </row>
    <row r="2409" spans="1:20" x14ac:dyDescent="0.55000000000000004">
      <c r="A2409" t="s">
        <v>5530</v>
      </c>
      <c r="C2409" t="s">
        <v>4352</v>
      </c>
      <c r="D2409" t="s">
        <v>4353</v>
      </c>
      <c r="E2409" t="s">
        <v>39</v>
      </c>
      <c r="F2409" t="s">
        <v>30</v>
      </c>
      <c r="G2409" t="s">
        <v>31</v>
      </c>
      <c r="H2409" t="s">
        <v>991</v>
      </c>
      <c r="I2409" t="s">
        <v>4204</v>
      </c>
      <c r="J2409" t="s">
        <v>4205</v>
      </c>
      <c r="K2409" t="s">
        <v>362</v>
      </c>
      <c r="L2409" t="s">
        <v>30</v>
      </c>
      <c r="M2409" t="s">
        <v>31</v>
      </c>
      <c r="Q2409" s="4">
        <v>1</v>
      </c>
    </row>
    <row r="2410" spans="1:20" x14ac:dyDescent="0.55000000000000004">
      <c r="A2410" t="s">
        <v>5531</v>
      </c>
      <c r="C2410" t="s">
        <v>4352</v>
      </c>
      <c r="D2410" t="s">
        <v>4353</v>
      </c>
      <c r="E2410" t="s">
        <v>39</v>
      </c>
      <c r="F2410" t="s">
        <v>30</v>
      </c>
      <c r="G2410" t="s">
        <v>31</v>
      </c>
      <c r="H2410" t="s">
        <v>991</v>
      </c>
      <c r="I2410" t="s">
        <v>4354</v>
      </c>
      <c r="J2410" t="s">
        <v>4355</v>
      </c>
      <c r="K2410" t="s">
        <v>39</v>
      </c>
      <c r="L2410" t="s">
        <v>30</v>
      </c>
      <c r="M2410" t="s">
        <v>31</v>
      </c>
      <c r="N2410" t="s">
        <v>991</v>
      </c>
      <c r="Q2410" s="4">
        <v>1</v>
      </c>
    </row>
    <row r="2411" spans="1:20" s="16" customFormat="1" ht="18.5" thickBot="1" x14ac:dyDescent="0.6">
      <c r="A2411" s="16" t="s">
        <v>5532</v>
      </c>
      <c r="C2411" s="16" t="s">
        <v>4354</v>
      </c>
      <c r="D2411" s="16" t="s">
        <v>4355</v>
      </c>
      <c r="E2411" s="16" t="s">
        <v>39</v>
      </c>
      <c r="F2411" s="16" t="s">
        <v>30</v>
      </c>
      <c r="G2411" s="16" t="s">
        <v>31</v>
      </c>
      <c r="H2411" s="16" t="s">
        <v>991</v>
      </c>
      <c r="I2411" s="16" t="s">
        <v>4208</v>
      </c>
      <c r="J2411" s="16" t="s">
        <v>4209</v>
      </c>
      <c r="K2411" s="16" t="s">
        <v>39</v>
      </c>
      <c r="L2411" s="16" t="s">
        <v>30</v>
      </c>
      <c r="M2411" s="16" t="s">
        <v>31</v>
      </c>
      <c r="N2411" s="16" t="s">
        <v>991</v>
      </c>
      <c r="Q2411" s="17">
        <f>S2411/T2411</f>
        <v>0.82</v>
      </c>
      <c r="S2411" s="16">
        <f>MID(D2411,FIND("x",D2411)+7,4)*1</f>
        <v>4100</v>
      </c>
      <c r="T2411" s="16">
        <v>5000</v>
      </c>
    </row>
    <row r="2412" spans="1:20" x14ac:dyDescent="0.55000000000000004">
      <c r="A2412" t="s">
        <v>5533</v>
      </c>
      <c r="C2412" t="s">
        <v>4356</v>
      </c>
      <c r="D2412" t="s">
        <v>4357</v>
      </c>
      <c r="E2412" t="s">
        <v>39</v>
      </c>
      <c r="F2412" t="s">
        <v>30</v>
      </c>
      <c r="G2412" t="s">
        <v>31</v>
      </c>
      <c r="H2412" t="s">
        <v>991</v>
      </c>
      <c r="I2412" t="s">
        <v>4204</v>
      </c>
      <c r="J2412" t="s">
        <v>4205</v>
      </c>
      <c r="K2412" t="s">
        <v>362</v>
      </c>
      <c r="L2412" t="s">
        <v>30</v>
      </c>
      <c r="M2412" t="s">
        <v>31</v>
      </c>
      <c r="Q2412" s="4">
        <v>1</v>
      </c>
    </row>
    <row r="2413" spans="1:20" x14ac:dyDescent="0.55000000000000004">
      <c r="A2413" t="s">
        <v>5534</v>
      </c>
      <c r="C2413" t="s">
        <v>4356</v>
      </c>
      <c r="D2413" t="s">
        <v>4357</v>
      </c>
      <c r="E2413" t="s">
        <v>39</v>
      </c>
      <c r="F2413" t="s">
        <v>30</v>
      </c>
      <c r="G2413" t="s">
        <v>31</v>
      </c>
      <c r="H2413" t="s">
        <v>991</v>
      </c>
      <c r="I2413" t="s">
        <v>4358</v>
      </c>
      <c r="J2413" t="s">
        <v>4359</v>
      </c>
      <c r="K2413" t="s">
        <v>39</v>
      </c>
      <c r="L2413" t="s">
        <v>30</v>
      </c>
      <c r="M2413" t="s">
        <v>31</v>
      </c>
      <c r="N2413" t="s">
        <v>991</v>
      </c>
      <c r="Q2413" s="4">
        <v>1</v>
      </c>
    </row>
    <row r="2414" spans="1:20" s="16" customFormat="1" ht="18.5" thickBot="1" x14ac:dyDescent="0.6">
      <c r="A2414" s="16" t="s">
        <v>5535</v>
      </c>
      <c r="C2414" s="16" t="s">
        <v>4358</v>
      </c>
      <c r="D2414" s="16" t="s">
        <v>4359</v>
      </c>
      <c r="E2414" s="16" t="s">
        <v>39</v>
      </c>
      <c r="F2414" s="16" t="s">
        <v>30</v>
      </c>
      <c r="G2414" s="16" t="s">
        <v>31</v>
      </c>
      <c r="H2414" s="16" t="s">
        <v>991</v>
      </c>
      <c r="I2414" s="16" t="s">
        <v>4208</v>
      </c>
      <c r="J2414" s="16" t="s">
        <v>4209</v>
      </c>
      <c r="K2414" s="16" t="s">
        <v>39</v>
      </c>
      <c r="L2414" s="16" t="s">
        <v>30</v>
      </c>
      <c r="M2414" s="16" t="s">
        <v>31</v>
      </c>
      <c r="N2414" s="16" t="s">
        <v>991</v>
      </c>
      <c r="Q2414" s="17">
        <f>S2414/T2414</f>
        <v>0.84</v>
      </c>
      <c r="S2414" s="16">
        <f>MID(D2414,FIND("x",D2414)+7,4)*1</f>
        <v>4200</v>
      </c>
      <c r="T2414" s="16">
        <v>5000</v>
      </c>
    </row>
    <row r="2415" spans="1:20" x14ac:dyDescent="0.55000000000000004">
      <c r="A2415" t="s">
        <v>5536</v>
      </c>
      <c r="C2415" t="s">
        <v>4360</v>
      </c>
      <c r="D2415" t="s">
        <v>4361</v>
      </c>
      <c r="E2415" t="s">
        <v>39</v>
      </c>
      <c r="F2415" t="s">
        <v>30</v>
      </c>
      <c r="G2415" t="s">
        <v>31</v>
      </c>
      <c r="H2415" t="s">
        <v>991</v>
      </c>
      <c r="I2415" t="s">
        <v>4204</v>
      </c>
      <c r="J2415" t="s">
        <v>4205</v>
      </c>
      <c r="K2415" t="s">
        <v>362</v>
      </c>
      <c r="L2415" t="s">
        <v>30</v>
      </c>
      <c r="M2415" t="s">
        <v>31</v>
      </c>
      <c r="Q2415" s="4">
        <v>1</v>
      </c>
    </row>
    <row r="2416" spans="1:20" x14ac:dyDescent="0.55000000000000004">
      <c r="A2416" t="s">
        <v>5537</v>
      </c>
      <c r="C2416" t="s">
        <v>4360</v>
      </c>
      <c r="D2416" t="s">
        <v>4361</v>
      </c>
      <c r="E2416" t="s">
        <v>39</v>
      </c>
      <c r="F2416" t="s">
        <v>30</v>
      </c>
      <c r="G2416" t="s">
        <v>31</v>
      </c>
      <c r="H2416" t="s">
        <v>991</v>
      </c>
      <c r="I2416" t="s">
        <v>4362</v>
      </c>
      <c r="J2416" t="s">
        <v>4363</v>
      </c>
      <c r="K2416" t="s">
        <v>39</v>
      </c>
      <c r="L2416" t="s">
        <v>30</v>
      </c>
      <c r="M2416" t="s">
        <v>31</v>
      </c>
      <c r="N2416" t="s">
        <v>991</v>
      </c>
      <c r="Q2416" s="4">
        <v>1</v>
      </c>
    </row>
    <row r="2417" spans="1:20" s="16" customFormat="1" ht="18.5" thickBot="1" x14ac:dyDescent="0.6">
      <c r="A2417" s="16" t="s">
        <v>5538</v>
      </c>
      <c r="C2417" s="16" t="s">
        <v>4362</v>
      </c>
      <c r="D2417" s="16" t="s">
        <v>4363</v>
      </c>
      <c r="E2417" s="16" t="s">
        <v>39</v>
      </c>
      <c r="F2417" s="16" t="s">
        <v>30</v>
      </c>
      <c r="G2417" s="16" t="s">
        <v>31</v>
      </c>
      <c r="H2417" s="16" t="s">
        <v>991</v>
      </c>
      <c r="I2417" s="16" t="s">
        <v>4208</v>
      </c>
      <c r="J2417" s="16" t="s">
        <v>4209</v>
      </c>
      <c r="K2417" s="16" t="s">
        <v>39</v>
      </c>
      <c r="L2417" s="16" t="s">
        <v>30</v>
      </c>
      <c r="M2417" s="16" t="s">
        <v>31</v>
      </c>
      <c r="N2417" s="16" t="s">
        <v>991</v>
      </c>
      <c r="Q2417" s="17">
        <f>S2417/T2417</f>
        <v>0.86</v>
      </c>
      <c r="S2417" s="16">
        <f>MID(D2417,FIND("x",D2417)+7,4)*1</f>
        <v>4300</v>
      </c>
      <c r="T2417" s="16">
        <v>5000</v>
      </c>
    </row>
    <row r="2418" spans="1:20" x14ac:dyDescent="0.55000000000000004">
      <c r="A2418" t="s">
        <v>5539</v>
      </c>
      <c r="C2418" t="s">
        <v>4364</v>
      </c>
      <c r="D2418" t="s">
        <v>4365</v>
      </c>
      <c r="E2418" t="s">
        <v>39</v>
      </c>
      <c r="F2418" t="s">
        <v>30</v>
      </c>
      <c r="G2418" t="s">
        <v>31</v>
      </c>
      <c r="H2418" t="s">
        <v>991</v>
      </c>
      <c r="I2418" t="s">
        <v>4204</v>
      </c>
      <c r="J2418" t="s">
        <v>4205</v>
      </c>
      <c r="K2418" t="s">
        <v>362</v>
      </c>
      <c r="L2418" t="s">
        <v>30</v>
      </c>
      <c r="M2418" t="s">
        <v>31</v>
      </c>
      <c r="Q2418" s="4">
        <v>1</v>
      </c>
    </row>
    <row r="2419" spans="1:20" x14ac:dyDescent="0.55000000000000004">
      <c r="A2419" t="s">
        <v>5540</v>
      </c>
      <c r="C2419" t="s">
        <v>4364</v>
      </c>
      <c r="D2419" t="s">
        <v>4365</v>
      </c>
      <c r="E2419" t="s">
        <v>39</v>
      </c>
      <c r="F2419" t="s">
        <v>30</v>
      </c>
      <c r="G2419" t="s">
        <v>31</v>
      </c>
      <c r="H2419" t="s">
        <v>991</v>
      </c>
      <c r="I2419" t="s">
        <v>4366</v>
      </c>
      <c r="J2419" t="s">
        <v>4367</v>
      </c>
      <c r="K2419" t="s">
        <v>39</v>
      </c>
      <c r="L2419" t="s">
        <v>30</v>
      </c>
      <c r="M2419" t="s">
        <v>31</v>
      </c>
      <c r="N2419" t="s">
        <v>991</v>
      </c>
      <c r="Q2419" s="4">
        <v>1</v>
      </c>
    </row>
    <row r="2420" spans="1:20" s="16" customFormat="1" ht="18.5" thickBot="1" x14ac:dyDescent="0.6">
      <c r="A2420" s="16" t="s">
        <v>5541</v>
      </c>
      <c r="C2420" s="16" t="s">
        <v>4366</v>
      </c>
      <c r="D2420" s="16" t="s">
        <v>4367</v>
      </c>
      <c r="E2420" s="16" t="s">
        <v>39</v>
      </c>
      <c r="F2420" s="16" t="s">
        <v>30</v>
      </c>
      <c r="G2420" s="16" t="s">
        <v>31</v>
      </c>
      <c r="H2420" s="16" t="s">
        <v>991</v>
      </c>
      <c r="I2420" s="16" t="s">
        <v>4208</v>
      </c>
      <c r="J2420" s="16" t="s">
        <v>4209</v>
      </c>
      <c r="K2420" s="16" t="s">
        <v>39</v>
      </c>
      <c r="L2420" s="16" t="s">
        <v>30</v>
      </c>
      <c r="M2420" s="16" t="s">
        <v>31</v>
      </c>
      <c r="N2420" s="16" t="s">
        <v>991</v>
      </c>
      <c r="Q2420" s="17">
        <f>S2420/T2420</f>
        <v>0.88</v>
      </c>
      <c r="S2420" s="16">
        <f>MID(D2420,FIND("x",D2420)+7,4)*1</f>
        <v>4400</v>
      </c>
      <c r="T2420" s="16">
        <v>5000</v>
      </c>
    </row>
    <row r="2421" spans="1:20" x14ac:dyDescent="0.55000000000000004">
      <c r="A2421" t="s">
        <v>5542</v>
      </c>
      <c r="C2421" t="s">
        <v>4368</v>
      </c>
      <c r="D2421" t="s">
        <v>4369</v>
      </c>
      <c r="E2421" t="s">
        <v>39</v>
      </c>
      <c r="F2421" t="s">
        <v>30</v>
      </c>
      <c r="G2421" t="s">
        <v>31</v>
      </c>
      <c r="H2421" t="s">
        <v>991</v>
      </c>
      <c r="I2421" t="s">
        <v>4204</v>
      </c>
      <c r="J2421" t="s">
        <v>4205</v>
      </c>
      <c r="K2421" t="s">
        <v>362</v>
      </c>
      <c r="L2421" t="s">
        <v>30</v>
      </c>
      <c r="M2421" t="s">
        <v>31</v>
      </c>
      <c r="Q2421" s="4">
        <v>1</v>
      </c>
    </row>
    <row r="2422" spans="1:20" x14ac:dyDescent="0.55000000000000004">
      <c r="A2422" t="s">
        <v>5543</v>
      </c>
      <c r="C2422" t="s">
        <v>4368</v>
      </c>
      <c r="D2422" t="s">
        <v>4369</v>
      </c>
      <c r="E2422" t="s">
        <v>39</v>
      </c>
      <c r="F2422" t="s">
        <v>30</v>
      </c>
      <c r="G2422" t="s">
        <v>31</v>
      </c>
      <c r="H2422" t="s">
        <v>991</v>
      </c>
      <c r="I2422" t="s">
        <v>4370</v>
      </c>
      <c r="J2422" t="s">
        <v>4371</v>
      </c>
      <c r="K2422" t="s">
        <v>39</v>
      </c>
      <c r="L2422" t="s">
        <v>30</v>
      </c>
      <c r="M2422" t="s">
        <v>31</v>
      </c>
      <c r="N2422" t="s">
        <v>991</v>
      </c>
      <c r="Q2422" s="4">
        <v>1</v>
      </c>
    </row>
    <row r="2423" spans="1:20" s="16" customFormat="1" ht="18.5" thickBot="1" x14ac:dyDescent="0.6">
      <c r="A2423" s="16" t="s">
        <v>5544</v>
      </c>
      <c r="C2423" s="16" t="s">
        <v>4370</v>
      </c>
      <c r="D2423" s="16" t="s">
        <v>4371</v>
      </c>
      <c r="E2423" s="16" t="s">
        <v>39</v>
      </c>
      <c r="F2423" s="16" t="s">
        <v>30</v>
      </c>
      <c r="G2423" s="16" t="s">
        <v>31</v>
      </c>
      <c r="H2423" s="16" t="s">
        <v>991</v>
      </c>
      <c r="I2423" s="16" t="s">
        <v>4208</v>
      </c>
      <c r="J2423" s="16" t="s">
        <v>4209</v>
      </c>
      <c r="K2423" s="16" t="s">
        <v>39</v>
      </c>
      <c r="L2423" s="16" t="s">
        <v>30</v>
      </c>
      <c r="M2423" s="16" t="s">
        <v>31</v>
      </c>
      <c r="N2423" s="16" t="s">
        <v>991</v>
      </c>
      <c r="Q2423" s="17">
        <f>S2423/T2423</f>
        <v>0.9</v>
      </c>
      <c r="S2423" s="16">
        <f>MID(D2423,FIND("x",D2423)+7,4)*1</f>
        <v>4500</v>
      </c>
      <c r="T2423" s="16">
        <v>5000</v>
      </c>
    </row>
    <row r="2424" spans="1:20" x14ac:dyDescent="0.55000000000000004">
      <c r="A2424" t="s">
        <v>5545</v>
      </c>
      <c r="C2424" t="s">
        <v>4372</v>
      </c>
      <c r="D2424" t="s">
        <v>4373</v>
      </c>
      <c r="E2424" t="s">
        <v>39</v>
      </c>
      <c r="F2424" t="s">
        <v>30</v>
      </c>
      <c r="G2424" t="s">
        <v>31</v>
      </c>
      <c r="H2424" t="s">
        <v>991</v>
      </c>
      <c r="I2424" t="s">
        <v>4204</v>
      </c>
      <c r="J2424" t="s">
        <v>4205</v>
      </c>
      <c r="K2424" t="s">
        <v>362</v>
      </c>
      <c r="L2424" t="s">
        <v>30</v>
      </c>
      <c r="M2424" t="s">
        <v>31</v>
      </c>
      <c r="Q2424" s="4">
        <v>1</v>
      </c>
    </row>
    <row r="2425" spans="1:20" x14ac:dyDescent="0.55000000000000004">
      <c r="A2425" t="s">
        <v>5546</v>
      </c>
      <c r="C2425" t="s">
        <v>4372</v>
      </c>
      <c r="D2425" t="s">
        <v>4373</v>
      </c>
      <c r="E2425" t="s">
        <v>39</v>
      </c>
      <c r="F2425" t="s">
        <v>30</v>
      </c>
      <c r="G2425" t="s">
        <v>31</v>
      </c>
      <c r="H2425" t="s">
        <v>991</v>
      </c>
      <c r="I2425" t="s">
        <v>4374</v>
      </c>
      <c r="J2425" t="s">
        <v>4375</v>
      </c>
      <c r="K2425" t="s">
        <v>39</v>
      </c>
      <c r="L2425" t="s">
        <v>30</v>
      </c>
      <c r="M2425" t="s">
        <v>31</v>
      </c>
      <c r="N2425" t="s">
        <v>991</v>
      </c>
      <c r="Q2425" s="4">
        <v>1</v>
      </c>
    </row>
    <row r="2426" spans="1:20" s="16" customFormat="1" ht="18.5" thickBot="1" x14ac:dyDescent="0.6">
      <c r="A2426" s="16" t="s">
        <v>5547</v>
      </c>
      <c r="C2426" s="16" t="s">
        <v>4374</v>
      </c>
      <c r="D2426" s="16" t="s">
        <v>4375</v>
      </c>
      <c r="E2426" s="16" t="s">
        <v>39</v>
      </c>
      <c r="F2426" s="16" t="s">
        <v>30</v>
      </c>
      <c r="G2426" s="16" t="s">
        <v>31</v>
      </c>
      <c r="H2426" s="16" t="s">
        <v>991</v>
      </c>
      <c r="I2426" s="16" t="s">
        <v>4208</v>
      </c>
      <c r="J2426" s="16" t="s">
        <v>4209</v>
      </c>
      <c r="K2426" s="16" t="s">
        <v>39</v>
      </c>
      <c r="L2426" s="16" t="s">
        <v>30</v>
      </c>
      <c r="M2426" s="16" t="s">
        <v>31</v>
      </c>
      <c r="N2426" s="16" t="s">
        <v>991</v>
      </c>
      <c r="Q2426" s="17">
        <f>S2426/T2426</f>
        <v>0.92</v>
      </c>
      <c r="S2426" s="16">
        <f>MID(D2426,FIND("x",D2426)+7,4)*1</f>
        <v>4600</v>
      </c>
      <c r="T2426" s="16">
        <v>5000</v>
      </c>
    </row>
    <row r="2427" spans="1:20" x14ac:dyDescent="0.55000000000000004">
      <c r="A2427" t="s">
        <v>5548</v>
      </c>
      <c r="C2427" t="s">
        <v>4376</v>
      </c>
      <c r="D2427" t="s">
        <v>4377</v>
      </c>
      <c r="E2427" t="s">
        <v>39</v>
      </c>
      <c r="F2427" t="s">
        <v>30</v>
      </c>
      <c r="G2427" t="s">
        <v>31</v>
      </c>
      <c r="H2427" t="s">
        <v>991</v>
      </c>
      <c r="I2427" t="s">
        <v>4204</v>
      </c>
      <c r="J2427" t="s">
        <v>4205</v>
      </c>
      <c r="K2427" t="s">
        <v>362</v>
      </c>
      <c r="L2427" t="s">
        <v>30</v>
      </c>
      <c r="M2427" t="s">
        <v>31</v>
      </c>
      <c r="Q2427" s="4">
        <v>1</v>
      </c>
    </row>
    <row r="2428" spans="1:20" x14ac:dyDescent="0.55000000000000004">
      <c r="A2428" t="s">
        <v>5549</v>
      </c>
      <c r="C2428" t="s">
        <v>4376</v>
      </c>
      <c r="D2428" t="s">
        <v>4377</v>
      </c>
      <c r="E2428" t="s">
        <v>39</v>
      </c>
      <c r="F2428" t="s">
        <v>30</v>
      </c>
      <c r="G2428" t="s">
        <v>31</v>
      </c>
      <c r="H2428" t="s">
        <v>991</v>
      </c>
      <c r="I2428" t="s">
        <v>4378</v>
      </c>
      <c r="J2428" t="s">
        <v>4379</v>
      </c>
      <c r="K2428" t="s">
        <v>39</v>
      </c>
      <c r="L2428" t="s">
        <v>30</v>
      </c>
      <c r="M2428" t="s">
        <v>31</v>
      </c>
      <c r="N2428" t="s">
        <v>991</v>
      </c>
      <c r="Q2428" s="4">
        <v>1</v>
      </c>
    </row>
    <row r="2429" spans="1:20" s="16" customFormat="1" ht="18.5" thickBot="1" x14ac:dyDescent="0.6">
      <c r="A2429" s="16" t="s">
        <v>5550</v>
      </c>
      <c r="C2429" s="16" t="s">
        <v>4378</v>
      </c>
      <c r="D2429" s="16" t="s">
        <v>4379</v>
      </c>
      <c r="E2429" s="16" t="s">
        <v>39</v>
      </c>
      <c r="F2429" s="16" t="s">
        <v>30</v>
      </c>
      <c r="G2429" s="16" t="s">
        <v>31</v>
      </c>
      <c r="H2429" s="16" t="s">
        <v>991</v>
      </c>
      <c r="I2429" s="16" t="s">
        <v>4208</v>
      </c>
      <c r="J2429" s="16" t="s">
        <v>4209</v>
      </c>
      <c r="K2429" s="16" t="s">
        <v>39</v>
      </c>
      <c r="L2429" s="16" t="s">
        <v>30</v>
      </c>
      <c r="M2429" s="16" t="s">
        <v>31</v>
      </c>
      <c r="N2429" s="16" t="s">
        <v>991</v>
      </c>
      <c r="Q2429" s="17">
        <f>S2429/T2429</f>
        <v>0.94</v>
      </c>
      <c r="S2429" s="16">
        <f>MID(D2429,FIND("x",D2429)+7,4)*1</f>
        <v>4700</v>
      </c>
      <c r="T2429" s="16">
        <v>5000</v>
      </c>
    </row>
    <row r="2430" spans="1:20" x14ac:dyDescent="0.55000000000000004">
      <c r="A2430" t="s">
        <v>5551</v>
      </c>
      <c r="C2430" t="s">
        <v>4380</v>
      </c>
      <c r="D2430" t="s">
        <v>4381</v>
      </c>
      <c r="E2430" t="s">
        <v>39</v>
      </c>
      <c r="F2430" t="s">
        <v>30</v>
      </c>
      <c r="G2430" t="s">
        <v>31</v>
      </c>
      <c r="H2430" t="s">
        <v>991</v>
      </c>
      <c r="I2430" t="s">
        <v>4204</v>
      </c>
      <c r="J2430" t="s">
        <v>4205</v>
      </c>
      <c r="K2430" t="s">
        <v>362</v>
      </c>
      <c r="L2430" t="s">
        <v>30</v>
      </c>
      <c r="M2430" t="s">
        <v>31</v>
      </c>
      <c r="Q2430" s="4">
        <v>1</v>
      </c>
    </row>
    <row r="2431" spans="1:20" x14ac:dyDescent="0.55000000000000004">
      <c r="A2431" t="s">
        <v>5552</v>
      </c>
      <c r="C2431" t="s">
        <v>4380</v>
      </c>
      <c r="D2431" t="s">
        <v>4381</v>
      </c>
      <c r="E2431" t="s">
        <v>39</v>
      </c>
      <c r="F2431" t="s">
        <v>30</v>
      </c>
      <c r="G2431" t="s">
        <v>31</v>
      </c>
      <c r="H2431" t="s">
        <v>991</v>
      </c>
      <c r="I2431" t="s">
        <v>4382</v>
      </c>
      <c r="J2431" t="s">
        <v>4383</v>
      </c>
      <c r="K2431" t="s">
        <v>39</v>
      </c>
      <c r="L2431" t="s">
        <v>30</v>
      </c>
      <c r="M2431" t="s">
        <v>31</v>
      </c>
      <c r="N2431" t="s">
        <v>991</v>
      </c>
      <c r="Q2431" s="4">
        <v>1</v>
      </c>
    </row>
    <row r="2432" spans="1:20" s="16" customFormat="1" ht="18.5" thickBot="1" x14ac:dyDescent="0.6">
      <c r="A2432" s="16" t="s">
        <v>5553</v>
      </c>
      <c r="C2432" s="16" t="s">
        <v>4382</v>
      </c>
      <c r="D2432" s="16" t="s">
        <v>4383</v>
      </c>
      <c r="E2432" s="16" t="s">
        <v>39</v>
      </c>
      <c r="F2432" s="16" t="s">
        <v>30</v>
      </c>
      <c r="G2432" s="16" t="s">
        <v>31</v>
      </c>
      <c r="H2432" s="16" t="s">
        <v>991</v>
      </c>
      <c r="I2432" s="16" t="s">
        <v>4208</v>
      </c>
      <c r="J2432" s="16" t="s">
        <v>4209</v>
      </c>
      <c r="K2432" s="16" t="s">
        <v>39</v>
      </c>
      <c r="L2432" s="16" t="s">
        <v>30</v>
      </c>
      <c r="M2432" s="16" t="s">
        <v>31</v>
      </c>
      <c r="N2432" s="16" t="s">
        <v>991</v>
      </c>
      <c r="Q2432" s="17">
        <f>S2432/T2432</f>
        <v>0.96</v>
      </c>
      <c r="S2432" s="16">
        <f>MID(D2432,FIND("x",D2432)+7,4)*1</f>
        <v>4800</v>
      </c>
      <c r="T2432" s="16">
        <v>5000</v>
      </c>
    </row>
    <row r="2433" spans="1:20" x14ac:dyDescent="0.55000000000000004">
      <c r="A2433" t="s">
        <v>5554</v>
      </c>
      <c r="C2433" t="s">
        <v>4384</v>
      </c>
      <c r="D2433" t="s">
        <v>4385</v>
      </c>
      <c r="E2433" t="s">
        <v>39</v>
      </c>
      <c r="F2433" t="s">
        <v>30</v>
      </c>
      <c r="G2433" t="s">
        <v>31</v>
      </c>
      <c r="H2433" t="s">
        <v>991</v>
      </c>
      <c r="I2433" t="s">
        <v>4204</v>
      </c>
      <c r="J2433" t="s">
        <v>4205</v>
      </c>
      <c r="K2433" t="s">
        <v>362</v>
      </c>
      <c r="L2433" t="s">
        <v>30</v>
      </c>
      <c r="M2433" t="s">
        <v>31</v>
      </c>
      <c r="Q2433" s="4">
        <v>1</v>
      </c>
    </row>
    <row r="2434" spans="1:20" x14ac:dyDescent="0.55000000000000004">
      <c r="A2434" t="s">
        <v>5555</v>
      </c>
      <c r="C2434" t="s">
        <v>4384</v>
      </c>
      <c r="D2434" t="s">
        <v>4385</v>
      </c>
      <c r="E2434" t="s">
        <v>39</v>
      </c>
      <c r="F2434" t="s">
        <v>30</v>
      </c>
      <c r="G2434" t="s">
        <v>31</v>
      </c>
      <c r="H2434" t="s">
        <v>991</v>
      </c>
      <c r="I2434" t="s">
        <v>4386</v>
      </c>
      <c r="J2434" t="s">
        <v>4387</v>
      </c>
      <c r="K2434" t="s">
        <v>39</v>
      </c>
      <c r="L2434" t="s">
        <v>30</v>
      </c>
      <c r="M2434" t="s">
        <v>31</v>
      </c>
      <c r="N2434" t="s">
        <v>991</v>
      </c>
      <c r="Q2434" s="4">
        <v>1</v>
      </c>
    </row>
    <row r="2435" spans="1:20" s="16" customFormat="1" ht="18.5" thickBot="1" x14ac:dyDescent="0.6">
      <c r="A2435" s="16" t="s">
        <v>5556</v>
      </c>
      <c r="C2435" s="16" t="s">
        <v>4386</v>
      </c>
      <c r="D2435" s="16" t="s">
        <v>4387</v>
      </c>
      <c r="E2435" s="16" t="s">
        <v>39</v>
      </c>
      <c r="F2435" s="16" t="s">
        <v>30</v>
      </c>
      <c r="G2435" s="16" t="s">
        <v>31</v>
      </c>
      <c r="H2435" s="16" t="s">
        <v>991</v>
      </c>
      <c r="I2435" s="16" t="s">
        <v>4208</v>
      </c>
      <c r="J2435" s="16" t="s">
        <v>4209</v>
      </c>
      <c r="K2435" s="16" t="s">
        <v>39</v>
      </c>
      <c r="L2435" s="16" t="s">
        <v>30</v>
      </c>
      <c r="M2435" s="16" t="s">
        <v>31</v>
      </c>
      <c r="N2435" s="16" t="s">
        <v>991</v>
      </c>
      <c r="Q2435" s="17">
        <f>S2435/T2435</f>
        <v>0.98</v>
      </c>
      <c r="S2435" s="16">
        <f>MID(D2435,FIND("x",D2435)+7,4)*1</f>
        <v>4900</v>
      </c>
      <c r="T2435" s="16">
        <v>5000</v>
      </c>
    </row>
    <row r="2436" spans="1:20" x14ac:dyDescent="0.55000000000000004">
      <c r="A2436" t="s">
        <v>5557</v>
      </c>
      <c r="C2436" t="s">
        <v>4460</v>
      </c>
      <c r="E2436" t="s">
        <v>29</v>
      </c>
      <c r="F2436" t="s">
        <v>30</v>
      </c>
      <c r="G2436" t="s">
        <v>31</v>
      </c>
      <c r="I2436" t="s">
        <v>4150</v>
      </c>
      <c r="J2436" t="s">
        <v>4151</v>
      </c>
      <c r="K2436" t="s">
        <v>39</v>
      </c>
      <c r="L2436" t="s">
        <v>30</v>
      </c>
      <c r="M2436" t="s">
        <v>31</v>
      </c>
      <c r="N2436" t="s">
        <v>991</v>
      </c>
      <c r="Q2436" s="4">
        <v>1</v>
      </c>
    </row>
    <row r="2437" spans="1:20" x14ac:dyDescent="0.55000000000000004">
      <c r="A2437" t="s">
        <v>5558</v>
      </c>
      <c r="C2437" t="s">
        <v>4460</v>
      </c>
      <c r="E2437" t="s">
        <v>29</v>
      </c>
      <c r="F2437" t="s">
        <v>30</v>
      </c>
      <c r="G2437" t="s">
        <v>31</v>
      </c>
      <c r="I2437" t="s">
        <v>4160</v>
      </c>
      <c r="J2437" t="s">
        <v>4161</v>
      </c>
      <c r="K2437" t="s">
        <v>39</v>
      </c>
      <c r="L2437" t="s">
        <v>30</v>
      </c>
      <c r="M2437" t="s">
        <v>31</v>
      </c>
      <c r="N2437" t="s">
        <v>991</v>
      </c>
      <c r="Q2437" s="4">
        <v>1</v>
      </c>
    </row>
    <row r="2438" spans="1:20" x14ac:dyDescent="0.55000000000000004">
      <c r="A2438" t="s">
        <v>5559</v>
      </c>
      <c r="C2438" t="s">
        <v>4460</v>
      </c>
      <c r="E2438" t="s">
        <v>29</v>
      </c>
      <c r="F2438" t="s">
        <v>30</v>
      </c>
      <c r="G2438" t="s">
        <v>31</v>
      </c>
      <c r="I2438" t="s">
        <v>4164</v>
      </c>
      <c r="J2438" t="s">
        <v>4165</v>
      </c>
      <c r="K2438" t="s">
        <v>39</v>
      </c>
      <c r="L2438" t="s">
        <v>30</v>
      </c>
      <c r="M2438" t="s">
        <v>31</v>
      </c>
      <c r="N2438" t="s">
        <v>991</v>
      </c>
      <c r="Q2438" s="4">
        <v>1</v>
      </c>
    </row>
    <row r="2439" spans="1:20" x14ac:dyDescent="0.55000000000000004">
      <c r="A2439" t="s">
        <v>5560</v>
      </c>
      <c r="C2439" t="s">
        <v>4460</v>
      </c>
      <c r="E2439" t="s">
        <v>29</v>
      </c>
      <c r="F2439" t="s">
        <v>30</v>
      </c>
      <c r="G2439" t="s">
        <v>31</v>
      </c>
      <c r="I2439" t="s">
        <v>4170</v>
      </c>
      <c r="J2439" t="s">
        <v>4171</v>
      </c>
      <c r="K2439" t="s">
        <v>39</v>
      </c>
      <c r="L2439" t="s">
        <v>30</v>
      </c>
      <c r="M2439" t="s">
        <v>31</v>
      </c>
      <c r="N2439" t="s">
        <v>991</v>
      </c>
      <c r="Q2439" s="4">
        <v>1</v>
      </c>
    </row>
    <row r="2440" spans="1:20" x14ac:dyDescent="0.55000000000000004">
      <c r="A2440" t="s">
        <v>5561</v>
      </c>
      <c r="C2440" t="s">
        <v>4460</v>
      </c>
      <c r="E2440" t="s">
        <v>29</v>
      </c>
      <c r="F2440" t="s">
        <v>30</v>
      </c>
      <c r="G2440" t="s">
        <v>31</v>
      </c>
      <c r="I2440" t="s">
        <v>4174</v>
      </c>
      <c r="J2440" t="s">
        <v>4175</v>
      </c>
      <c r="K2440" t="s">
        <v>39</v>
      </c>
      <c r="L2440" t="s">
        <v>30</v>
      </c>
      <c r="M2440" t="s">
        <v>31</v>
      </c>
      <c r="N2440" t="s">
        <v>991</v>
      </c>
      <c r="Q2440" s="4">
        <v>1</v>
      </c>
    </row>
    <row r="2441" spans="1:20" x14ac:dyDescent="0.55000000000000004">
      <c r="A2441" t="s">
        <v>5562</v>
      </c>
      <c r="C2441" t="s">
        <v>4460</v>
      </c>
      <c r="E2441" t="s">
        <v>29</v>
      </c>
      <c r="F2441" t="s">
        <v>30</v>
      </c>
      <c r="G2441" t="s">
        <v>31</v>
      </c>
      <c r="I2441" t="s">
        <v>4178</v>
      </c>
      <c r="J2441" t="s">
        <v>4179</v>
      </c>
      <c r="K2441" t="s">
        <v>39</v>
      </c>
      <c r="L2441" t="s">
        <v>30</v>
      </c>
      <c r="M2441" t="s">
        <v>31</v>
      </c>
      <c r="N2441" t="s">
        <v>991</v>
      </c>
      <c r="Q2441" s="4">
        <v>1</v>
      </c>
    </row>
    <row r="2442" spans="1:20" x14ac:dyDescent="0.55000000000000004">
      <c r="A2442" t="s">
        <v>5563</v>
      </c>
      <c r="C2442" t="s">
        <v>4460</v>
      </c>
      <c r="E2442" t="s">
        <v>29</v>
      </c>
      <c r="F2442" t="s">
        <v>30</v>
      </c>
      <c r="G2442" t="s">
        <v>31</v>
      </c>
      <c r="I2442" t="s">
        <v>4182</v>
      </c>
      <c r="J2442" t="s">
        <v>4183</v>
      </c>
      <c r="K2442" t="s">
        <v>39</v>
      </c>
      <c r="L2442" t="s">
        <v>30</v>
      </c>
      <c r="M2442" t="s">
        <v>31</v>
      </c>
      <c r="N2442" t="s">
        <v>991</v>
      </c>
      <c r="Q2442" s="4">
        <v>1</v>
      </c>
    </row>
    <row r="2443" spans="1:20" x14ac:dyDescent="0.55000000000000004">
      <c r="A2443" t="s">
        <v>5564</v>
      </c>
      <c r="C2443" t="s">
        <v>4460</v>
      </c>
      <c r="E2443" t="s">
        <v>29</v>
      </c>
      <c r="F2443" t="s">
        <v>30</v>
      </c>
      <c r="G2443" t="s">
        <v>31</v>
      </c>
      <c r="I2443" t="s">
        <v>4186</v>
      </c>
      <c r="J2443" t="s">
        <v>4187</v>
      </c>
      <c r="K2443" t="s">
        <v>39</v>
      </c>
      <c r="L2443" t="s">
        <v>30</v>
      </c>
      <c r="M2443" t="s">
        <v>31</v>
      </c>
      <c r="N2443" t="s">
        <v>991</v>
      </c>
      <c r="Q2443" s="4">
        <v>1</v>
      </c>
    </row>
    <row r="2444" spans="1:20" x14ac:dyDescent="0.55000000000000004">
      <c r="A2444" t="s">
        <v>5565</v>
      </c>
      <c r="C2444" t="s">
        <v>4460</v>
      </c>
      <c r="E2444" t="s">
        <v>29</v>
      </c>
      <c r="F2444" t="s">
        <v>30</v>
      </c>
      <c r="G2444" t="s">
        <v>31</v>
      </c>
      <c r="I2444" t="s">
        <v>4190</v>
      </c>
      <c r="J2444" t="s">
        <v>4191</v>
      </c>
      <c r="K2444" t="s">
        <v>39</v>
      </c>
      <c r="L2444" t="s">
        <v>30</v>
      </c>
      <c r="M2444" t="s">
        <v>31</v>
      </c>
      <c r="N2444" t="s">
        <v>991</v>
      </c>
      <c r="Q2444" s="4">
        <v>1</v>
      </c>
    </row>
    <row r="2445" spans="1:20" x14ac:dyDescent="0.55000000000000004">
      <c r="A2445" t="s">
        <v>5566</v>
      </c>
      <c r="C2445" t="s">
        <v>4460</v>
      </c>
      <c r="E2445" t="s">
        <v>29</v>
      </c>
      <c r="F2445" t="s">
        <v>30</v>
      </c>
      <c r="G2445" t="s">
        <v>31</v>
      </c>
      <c r="I2445" t="s">
        <v>4194</v>
      </c>
      <c r="J2445" t="s">
        <v>4195</v>
      </c>
      <c r="K2445" t="s">
        <v>39</v>
      </c>
      <c r="L2445" t="s">
        <v>30</v>
      </c>
      <c r="M2445" t="s">
        <v>31</v>
      </c>
      <c r="N2445" t="s">
        <v>991</v>
      </c>
      <c r="Q2445" s="4">
        <v>1</v>
      </c>
    </row>
    <row r="2446" spans="1:20" x14ac:dyDescent="0.55000000000000004">
      <c r="A2446" t="s">
        <v>5567</v>
      </c>
      <c r="C2446" t="s">
        <v>4460</v>
      </c>
      <c r="E2446" t="s">
        <v>29</v>
      </c>
      <c r="F2446" t="s">
        <v>30</v>
      </c>
      <c r="G2446" t="s">
        <v>31</v>
      </c>
      <c r="I2446" t="s">
        <v>4198</v>
      </c>
      <c r="J2446" t="s">
        <v>4199</v>
      </c>
      <c r="K2446" t="s">
        <v>39</v>
      </c>
      <c r="L2446" t="s">
        <v>30</v>
      </c>
      <c r="M2446" t="s">
        <v>31</v>
      </c>
      <c r="N2446" t="s">
        <v>991</v>
      </c>
      <c r="Q2446" s="4">
        <v>1</v>
      </c>
    </row>
    <row r="2447" spans="1:20" x14ac:dyDescent="0.55000000000000004">
      <c r="A2447" t="s">
        <v>5568</v>
      </c>
      <c r="C2447" t="s">
        <v>4460</v>
      </c>
      <c r="E2447" t="s">
        <v>29</v>
      </c>
      <c r="F2447" t="s">
        <v>30</v>
      </c>
      <c r="G2447" t="s">
        <v>31</v>
      </c>
      <c r="I2447" t="s">
        <v>4388</v>
      </c>
      <c r="J2447" t="s">
        <v>4389</v>
      </c>
      <c r="K2447" t="s">
        <v>39</v>
      </c>
      <c r="L2447" t="s">
        <v>30</v>
      </c>
      <c r="M2447" t="s">
        <v>31</v>
      </c>
      <c r="N2447" t="s">
        <v>991</v>
      </c>
      <c r="Q2447" s="4">
        <v>1</v>
      </c>
    </row>
    <row r="2448" spans="1:20" x14ac:dyDescent="0.55000000000000004">
      <c r="A2448" t="s">
        <v>5569</v>
      </c>
      <c r="C2448" t="s">
        <v>4460</v>
      </c>
      <c r="E2448" t="s">
        <v>29</v>
      </c>
      <c r="F2448" t="s">
        <v>30</v>
      </c>
      <c r="G2448" t="s">
        <v>31</v>
      </c>
      <c r="I2448" t="s">
        <v>4392</v>
      </c>
      <c r="J2448" t="s">
        <v>4393</v>
      </c>
      <c r="K2448" t="s">
        <v>39</v>
      </c>
      <c r="L2448" t="s">
        <v>30</v>
      </c>
      <c r="M2448" t="s">
        <v>31</v>
      </c>
      <c r="N2448" t="s">
        <v>991</v>
      </c>
      <c r="Q2448" s="4">
        <v>1</v>
      </c>
    </row>
    <row r="2449" spans="1:17" x14ac:dyDescent="0.55000000000000004">
      <c r="A2449" t="s">
        <v>5570</v>
      </c>
      <c r="C2449" t="s">
        <v>4460</v>
      </c>
      <c r="E2449" t="s">
        <v>29</v>
      </c>
      <c r="F2449" t="s">
        <v>30</v>
      </c>
      <c r="G2449" t="s">
        <v>31</v>
      </c>
      <c r="I2449" t="s">
        <v>4396</v>
      </c>
      <c r="J2449" t="s">
        <v>4397</v>
      </c>
      <c r="K2449" t="s">
        <v>39</v>
      </c>
      <c r="L2449" t="s">
        <v>30</v>
      </c>
      <c r="M2449" t="s">
        <v>31</v>
      </c>
      <c r="N2449" t="s">
        <v>991</v>
      </c>
      <c r="Q2449" s="4">
        <v>1</v>
      </c>
    </row>
    <row r="2450" spans="1:17" x14ac:dyDescent="0.55000000000000004">
      <c r="A2450" t="s">
        <v>5571</v>
      </c>
      <c r="C2450" t="s">
        <v>4460</v>
      </c>
      <c r="E2450" t="s">
        <v>29</v>
      </c>
      <c r="F2450" t="s">
        <v>30</v>
      </c>
      <c r="G2450" t="s">
        <v>31</v>
      </c>
      <c r="I2450" t="s">
        <v>4400</v>
      </c>
      <c r="J2450" t="s">
        <v>4401</v>
      </c>
      <c r="K2450" t="s">
        <v>39</v>
      </c>
      <c r="L2450" t="s">
        <v>30</v>
      </c>
      <c r="M2450" t="s">
        <v>31</v>
      </c>
      <c r="N2450" t="s">
        <v>991</v>
      </c>
      <c r="Q2450" s="4">
        <v>1</v>
      </c>
    </row>
    <row r="2451" spans="1:17" x14ac:dyDescent="0.55000000000000004">
      <c r="A2451" t="s">
        <v>5572</v>
      </c>
      <c r="C2451" t="s">
        <v>4460</v>
      </c>
      <c r="E2451" t="s">
        <v>29</v>
      </c>
      <c r="F2451" t="s">
        <v>30</v>
      </c>
      <c r="G2451" t="s">
        <v>31</v>
      </c>
      <c r="I2451" t="s">
        <v>4404</v>
      </c>
      <c r="J2451" t="s">
        <v>4405</v>
      </c>
      <c r="K2451" t="s">
        <v>39</v>
      </c>
      <c r="L2451" t="s">
        <v>30</v>
      </c>
      <c r="M2451" t="s">
        <v>31</v>
      </c>
      <c r="N2451" t="s">
        <v>991</v>
      </c>
      <c r="Q2451" s="4">
        <v>1</v>
      </c>
    </row>
    <row r="2452" spans="1:17" x14ac:dyDescent="0.55000000000000004">
      <c r="A2452" t="s">
        <v>5573</v>
      </c>
      <c r="C2452" t="s">
        <v>4460</v>
      </c>
      <c r="E2452" t="s">
        <v>29</v>
      </c>
      <c r="F2452" t="s">
        <v>30</v>
      </c>
      <c r="G2452" t="s">
        <v>31</v>
      </c>
      <c r="I2452" t="s">
        <v>4408</v>
      </c>
      <c r="J2452" t="s">
        <v>4409</v>
      </c>
      <c r="K2452" t="s">
        <v>39</v>
      </c>
      <c r="L2452" t="s">
        <v>30</v>
      </c>
      <c r="M2452" t="s">
        <v>31</v>
      </c>
      <c r="N2452" t="s">
        <v>991</v>
      </c>
      <c r="Q2452" s="4">
        <v>1</v>
      </c>
    </row>
    <row r="2453" spans="1:17" x14ac:dyDescent="0.55000000000000004">
      <c r="A2453" t="s">
        <v>5574</v>
      </c>
      <c r="C2453" t="s">
        <v>4460</v>
      </c>
      <c r="E2453" t="s">
        <v>29</v>
      </c>
      <c r="F2453" t="s">
        <v>30</v>
      </c>
      <c r="G2453" t="s">
        <v>31</v>
      </c>
      <c r="I2453" t="s">
        <v>4412</v>
      </c>
      <c r="J2453" t="s">
        <v>4413</v>
      </c>
      <c r="K2453" t="s">
        <v>39</v>
      </c>
      <c r="L2453" t="s">
        <v>30</v>
      </c>
      <c r="M2453" t="s">
        <v>31</v>
      </c>
      <c r="N2453" t="s">
        <v>991</v>
      </c>
      <c r="Q2453" s="4">
        <v>1</v>
      </c>
    </row>
    <row r="2454" spans="1:17" x14ac:dyDescent="0.55000000000000004">
      <c r="A2454" t="s">
        <v>5575</v>
      </c>
      <c r="C2454" t="s">
        <v>4460</v>
      </c>
      <c r="E2454" t="s">
        <v>29</v>
      </c>
      <c r="F2454" t="s">
        <v>30</v>
      </c>
      <c r="G2454" t="s">
        <v>31</v>
      </c>
      <c r="I2454" t="s">
        <v>4416</v>
      </c>
      <c r="J2454" t="s">
        <v>4417</v>
      </c>
      <c r="K2454" t="s">
        <v>39</v>
      </c>
      <c r="L2454" t="s">
        <v>30</v>
      </c>
      <c r="M2454" t="s">
        <v>31</v>
      </c>
      <c r="N2454" t="s">
        <v>991</v>
      </c>
      <c r="Q2454" s="4">
        <v>1</v>
      </c>
    </row>
    <row r="2455" spans="1:17" x14ac:dyDescent="0.55000000000000004">
      <c r="A2455" t="s">
        <v>5576</v>
      </c>
      <c r="C2455" t="s">
        <v>4460</v>
      </c>
      <c r="E2455" t="s">
        <v>29</v>
      </c>
      <c r="F2455" t="s">
        <v>30</v>
      </c>
      <c r="G2455" t="s">
        <v>31</v>
      </c>
      <c r="I2455" t="s">
        <v>4420</v>
      </c>
      <c r="J2455" t="s">
        <v>4421</v>
      </c>
      <c r="K2455" t="s">
        <v>39</v>
      </c>
      <c r="L2455" t="s">
        <v>30</v>
      </c>
      <c r="M2455" t="s">
        <v>31</v>
      </c>
      <c r="N2455" t="s">
        <v>991</v>
      </c>
      <c r="Q2455" s="4">
        <v>1</v>
      </c>
    </row>
    <row r="2456" spans="1:17" x14ac:dyDescent="0.55000000000000004">
      <c r="A2456" t="s">
        <v>5577</v>
      </c>
      <c r="C2456" t="s">
        <v>4460</v>
      </c>
      <c r="E2456" t="s">
        <v>29</v>
      </c>
      <c r="F2456" t="s">
        <v>30</v>
      </c>
      <c r="G2456" t="s">
        <v>31</v>
      </c>
      <c r="I2456" t="s">
        <v>4424</v>
      </c>
      <c r="J2456" t="s">
        <v>4425</v>
      </c>
      <c r="K2456" t="s">
        <v>39</v>
      </c>
      <c r="L2456" t="s">
        <v>30</v>
      </c>
      <c r="M2456" t="s">
        <v>31</v>
      </c>
      <c r="N2456" t="s">
        <v>991</v>
      </c>
      <c r="Q2456" s="4">
        <v>1</v>
      </c>
    </row>
    <row r="2457" spans="1:17" x14ac:dyDescent="0.55000000000000004">
      <c r="A2457" t="s">
        <v>5578</v>
      </c>
      <c r="C2457" t="s">
        <v>4460</v>
      </c>
      <c r="E2457" t="s">
        <v>29</v>
      </c>
      <c r="F2457" t="s">
        <v>30</v>
      </c>
      <c r="G2457" t="s">
        <v>31</v>
      </c>
      <c r="I2457" t="s">
        <v>4428</v>
      </c>
      <c r="J2457" t="s">
        <v>4429</v>
      </c>
      <c r="K2457" t="s">
        <v>39</v>
      </c>
      <c r="L2457" t="s">
        <v>30</v>
      </c>
      <c r="M2457" t="s">
        <v>31</v>
      </c>
      <c r="N2457" t="s">
        <v>991</v>
      </c>
      <c r="Q2457" s="4">
        <v>1</v>
      </c>
    </row>
    <row r="2458" spans="1:17" x14ac:dyDescent="0.55000000000000004">
      <c r="A2458" t="s">
        <v>5579</v>
      </c>
      <c r="C2458" t="s">
        <v>4460</v>
      </c>
      <c r="E2458" t="s">
        <v>29</v>
      </c>
      <c r="F2458" t="s">
        <v>30</v>
      </c>
      <c r="G2458" t="s">
        <v>31</v>
      </c>
      <c r="I2458" t="s">
        <v>4432</v>
      </c>
      <c r="J2458" t="s">
        <v>4433</v>
      </c>
      <c r="K2458" t="s">
        <v>39</v>
      </c>
      <c r="L2458" t="s">
        <v>30</v>
      </c>
      <c r="M2458" t="s">
        <v>31</v>
      </c>
      <c r="N2458" t="s">
        <v>991</v>
      </c>
      <c r="Q2458" s="4">
        <v>1</v>
      </c>
    </row>
    <row r="2459" spans="1:17" x14ac:dyDescent="0.55000000000000004">
      <c r="A2459" t="s">
        <v>5580</v>
      </c>
      <c r="C2459" t="s">
        <v>4460</v>
      </c>
      <c r="E2459" t="s">
        <v>29</v>
      </c>
      <c r="F2459" t="s">
        <v>30</v>
      </c>
      <c r="G2459" t="s">
        <v>31</v>
      </c>
      <c r="I2459" t="s">
        <v>4436</v>
      </c>
      <c r="J2459" t="s">
        <v>4437</v>
      </c>
      <c r="K2459" t="s">
        <v>39</v>
      </c>
      <c r="L2459" t="s">
        <v>30</v>
      </c>
      <c r="M2459" t="s">
        <v>31</v>
      </c>
      <c r="N2459" t="s">
        <v>991</v>
      </c>
      <c r="Q2459" s="4">
        <v>1</v>
      </c>
    </row>
    <row r="2460" spans="1:17" x14ac:dyDescent="0.55000000000000004">
      <c r="A2460" t="s">
        <v>5581</v>
      </c>
      <c r="C2460" t="s">
        <v>4460</v>
      </c>
      <c r="E2460" t="s">
        <v>29</v>
      </c>
      <c r="F2460" t="s">
        <v>30</v>
      </c>
      <c r="G2460" t="s">
        <v>31</v>
      </c>
      <c r="I2460" t="s">
        <v>4440</v>
      </c>
      <c r="J2460" t="s">
        <v>4441</v>
      </c>
      <c r="K2460" t="s">
        <v>39</v>
      </c>
      <c r="L2460" t="s">
        <v>30</v>
      </c>
      <c r="M2460" t="s">
        <v>31</v>
      </c>
      <c r="N2460" t="s">
        <v>991</v>
      </c>
      <c r="Q2460" s="4">
        <v>1</v>
      </c>
    </row>
    <row r="2461" spans="1:17" x14ac:dyDescent="0.55000000000000004">
      <c r="A2461" t="s">
        <v>5582</v>
      </c>
      <c r="C2461" t="s">
        <v>4460</v>
      </c>
      <c r="E2461" t="s">
        <v>29</v>
      </c>
      <c r="F2461" t="s">
        <v>30</v>
      </c>
      <c r="G2461" t="s">
        <v>31</v>
      </c>
      <c r="I2461" t="s">
        <v>4444</v>
      </c>
      <c r="J2461" t="s">
        <v>4445</v>
      </c>
      <c r="K2461" t="s">
        <v>39</v>
      </c>
      <c r="L2461" t="s">
        <v>30</v>
      </c>
      <c r="M2461" t="s">
        <v>31</v>
      </c>
      <c r="N2461" t="s">
        <v>991</v>
      </c>
      <c r="Q2461" s="4">
        <v>1</v>
      </c>
    </row>
    <row r="2462" spans="1:17" x14ac:dyDescent="0.55000000000000004">
      <c r="A2462" t="s">
        <v>5583</v>
      </c>
      <c r="C2462" t="s">
        <v>4460</v>
      </c>
      <c r="E2462" t="s">
        <v>29</v>
      </c>
      <c r="F2462" t="s">
        <v>30</v>
      </c>
      <c r="G2462" t="s">
        <v>31</v>
      </c>
      <c r="I2462" t="s">
        <v>4448</v>
      </c>
      <c r="J2462" t="s">
        <v>4449</v>
      </c>
      <c r="K2462" t="s">
        <v>39</v>
      </c>
      <c r="L2462" t="s">
        <v>30</v>
      </c>
      <c r="M2462" t="s">
        <v>31</v>
      </c>
      <c r="N2462" t="s">
        <v>991</v>
      </c>
      <c r="Q2462" s="4">
        <v>1</v>
      </c>
    </row>
    <row r="2463" spans="1:17" x14ac:dyDescent="0.55000000000000004">
      <c r="A2463" t="s">
        <v>5584</v>
      </c>
      <c r="C2463" t="s">
        <v>4460</v>
      </c>
      <c r="E2463" t="s">
        <v>29</v>
      </c>
      <c r="F2463" t="s">
        <v>30</v>
      </c>
      <c r="G2463" t="s">
        <v>31</v>
      </c>
      <c r="I2463" t="s">
        <v>4452</v>
      </c>
      <c r="J2463" t="s">
        <v>4453</v>
      </c>
      <c r="K2463" t="s">
        <v>39</v>
      </c>
      <c r="L2463" t="s">
        <v>30</v>
      </c>
      <c r="M2463" t="s">
        <v>31</v>
      </c>
      <c r="N2463" t="s">
        <v>991</v>
      </c>
      <c r="Q2463" s="4">
        <v>1</v>
      </c>
    </row>
    <row r="2464" spans="1:17" x14ac:dyDescent="0.55000000000000004">
      <c r="A2464" t="s">
        <v>5585</v>
      </c>
      <c r="C2464" t="s">
        <v>4460</v>
      </c>
      <c r="E2464" t="s">
        <v>29</v>
      </c>
      <c r="F2464" t="s">
        <v>30</v>
      </c>
      <c r="G2464" t="s">
        <v>31</v>
      </c>
      <c r="I2464" t="s">
        <v>4456</v>
      </c>
      <c r="J2464" t="s">
        <v>4457</v>
      </c>
      <c r="K2464" t="s">
        <v>39</v>
      </c>
      <c r="L2464" t="s">
        <v>30</v>
      </c>
      <c r="M2464" t="s">
        <v>31</v>
      </c>
      <c r="N2464" t="s">
        <v>991</v>
      </c>
      <c r="Q2464" s="4">
        <v>1</v>
      </c>
    </row>
    <row r="2465" spans="1:17" x14ac:dyDescent="0.55000000000000004">
      <c r="A2465" t="s">
        <v>5586</v>
      </c>
      <c r="C2465" t="s">
        <v>4460</v>
      </c>
      <c r="E2465" t="s">
        <v>29</v>
      </c>
      <c r="F2465" t="s">
        <v>30</v>
      </c>
      <c r="G2465" t="s">
        <v>31</v>
      </c>
      <c r="I2465" t="s">
        <v>4202</v>
      </c>
      <c r="J2465" t="s">
        <v>4203</v>
      </c>
      <c r="K2465" t="s">
        <v>39</v>
      </c>
      <c r="L2465" t="s">
        <v>30</v>
      </c>
      <c r="M2465" t="s">
        <v>31</v>
      </c>
      <c r="N2465" t="s">
        <v>991</v>
      </c>
      <c r="Q2465" s="4">
        <v>1</v>
      </c>
    </row>
    <row r="2466" spans="1:17" x14ac:dyDescent="0.55000000000000004">
      <c r="A2466" t="s">
        <v>5587</v>
      </c>
      <c r="C2466" t="s">
        <v>4460</v>
      </c>
      <c r="E2466" t="s">
        <v>29</v>
      </c>
      <c r="F2466" t="s">
        <v>30</v>
      </c>
      <c r="G2466" t="s">
        <v>31</v>
      </c>
      <c r="I2466" t="s">
        <v>4212</v>
      </c>
      <c r="J2466" t="s">
        <v>4213</v>
      </c>
      <c r="K2466" t="s">
        <v>39</v>
      </c>
      <c r="L2466" t="s">
        <v>30</v>
      </c>
      <c r="M2466" t="s">
        <v>31</v>
      </c>
      <c r="N2466" t="s">
        <v>991</v>
      </c>
      <c r="Q2466" s="4">
        <v>1</v>
      </c>
    </row>
    <row r="2467" spans="1:17" x14ac:dyDescent="0.55000000000000004">
      <c r="A2467" t="s">
        <v>5588</v>
      </c>
      <c r="C2467" t="s">
        <v>4460</v>
      </c>
      <c r="E2467" t="s">
        <v>29</v>
      </c>
      <c r="F2467" t="s">
        <v>30</v>
      </c>
      <c r="G2467" t="s">
        <v>31</v>
      </c>
      <c r="I2467" t="s">
        <v>4216</v>
      </c>
      <c r="J2467" t="s">
        <v>4217</v>
      </c>
      <c r="K2467" t="s">
        <v>39</v>
      </c>
      <c r="L2467" t="s">
        <v>30</v>
      </c>
      <c r="M2467" t="s">
        <v>31</v>
      </c>
      <c r="N2467" t="s">
        <v>991</v>
      </c>
      <c r="Q2467" s="4">
        <v>1</v>
      </c>
    </row>
    <row r="2468" spans="1:17" x14ac:dyDescent="0.55000000000000004">
      <c r="A2468" t="s">
        <v>5589</v>
      </c>
      <c r="C2468" t="s">
        <v>4460</v>
      </c>
      <c r="E2468" t="s">
        <v>29</v>
      </c>
      <c r="F2468" t="s">
        <v>30</v>
      </c>
      <c r="G2468" t="s">
        <v>31</v>
      </c>
      <c r="I2468" t="s">
        <v>4220</v>
      </c>
      <c r="J2468" t="s">
        <v>4221</v>
      </c>
      <c r="K2468" t="s">
        <v>39</v>
      </c>
      <c r="L2468" t="s">
        <v>30</v>
      </c>
      <c r="M2468" t="s">
        <v>31</v>
      </c>
      <c r="N2468" t="s">
        <v>991</v>
      </c>
      <c r="Q2468" s="4">
        <v>1</v>
      </c>
    </row>
    <row r="2469" spans="1:17" x14ac:dyDescent="0.55000000000000004">
      <c r="A2469" t="s">
        <v>5590</v>
      </c>
      <c r="C2469" t="s">
        <v>4460</v>
      </c>
      <c r="E2469" t="s">
        <v>29</v>
      </c>
      <c r="F2469" t="s">
        <v>30</v>
      </c>
      <c r="G2469" t="s">
        <v>31</v>
      </c>
      <c r="I2469" t="s">
        <v>4224</v>
      </c>
      <c r="J2469" t="s">
        <v>4225</v>
      </c>
      <c r="K2469" t="s">
        <v>39</v>
      </c>
      <c r="L2469" t="s">
        <v>30</v>
      </c>
      <c r="M2469" t="s">
        <v>31</v>
      </c>
      <c r="N2469" t="s">
        <v>991</v>
      </c>
      <c r="Q2469" s="4">
        <v>1</v>
      </c>
    </row>
    <row r="2470" spans="1:17" x14ac:dyDescent="0.55000000000000004">
      <c r="A2470" t="s">
        <v>5591</v>
      </c>
      <c r="C2470" t="s">
        <v>4460</v>
      </c>
      <c r="E2470" t="s">
        <v>29</v>
      </c>
      <c r="F2470" t="s">
        <v>30</v>
      </c>
      <c r="G2470" t="s">
        <v>31</v>
      </c>
      <c r="I2470" t="s">
        <v>4228</v>
      </c>
      <c r="J2470" t="s">
        <v>4229</v>
      </c>
      <c r="K2470" t="s">
        <v>39</v>
      </c>
      <c r="L2470" t="s">
        <v>30</v>
      </c>
      <c r="M2470" t="s">
        <v>31</v>
      </c>
      <c r="N2470" t="s">
        <v>991</v>
      </c>
      <c r="Q2470" s="4">
        <v>1</v>
      </c>
    </row>
    <row r="2471" spans="1:17" x14ac:dyDescent="0.55000000000000004">
      <c r="A2471" t="s">
        <v>5592</v>
      </c>
      <c r="C2471" t="s">
        <v>4460</v>
      </c>
      <c r="E2471" t="s">
        <v>29</v>
      </c>
      <c r="F2471" t="s">
        <v>30</v>
      </c>
      <c r="G2471" t="s">
        <v>31</v>
      </c>
      <c r="I2471" t="s">
        <v>4232</v>
      </c>
      <c r="J2471" t="s">
        <v>4233</v>
      </c>
      <c r="K2471" t="s">
        <v>39</v>
      </c>
      <c r="L2471" t="s">
        <v>30</v>
      </c>
      <c r="M2471" t="s">
        <v>31</v>
      </c>
      <c r="N2471" t="s">
        <v>991</v>
      </c>
      <c r="Q2471" s="4">
        <v>1</v>
      </c>
    </row>
    <row r="2472" spans="1:17" x14ac:dyDescent="0.55000000000000004">
      <c r="A2472" t="s">
        <v>5593</v>
      </c>
      <c r="C2472" t="s">
        <v>4460</v>
      </c>
      <c r="E2472" t="s">
        <v>29</v>
      </c>
      <c r="F2472" t="s">
        <v>30</v>
      </c>
      <c r="G2472" t="s">
        <v>31</v>
      </c>
      <c r="I2472" t="s">
        <v>4236</v>
      </c>
      <c r="J2472" t="s">
        <v>4237</v>
      </c>
      <c r="K2472" t="s">
        <v>39</v>
      </c>
      <c r="L2472" t="s">
        <v>30</v>
      </c>
      <c r="M2472" t="s">
        <v>31</v>
      </c>
      <c r="N2472" t="s">
        <v>991</v>
      </c>
      <c r="Q2472" s="4">
        <v>1</v>
      </c>
    </row>
    <row r="2473" spans="1:17" x14ac:dyDescent="0.55000000000000004">
      <c r="A2473" t="s">
        <v>5594</v>
      </c>
      <c r="C2473" t="s">
        <v>4460</v>
      </c>
      <c r="E2473" t="s">
        <v>29</v>
      </c>
      <c r="F2473" t="s">
        <v>30</v>
      </c>
      <c r="G2473" t="s">
        <v>31</v>
      </c>
      <c r="I2473" t="s">
        <v>4240</v>
      </c>
      <c r="J2473" t="s">
        <v>4241</v>
      </c>
      <c r="K2473" t="s">
        <v>39</v>
      </c>
      <c r="L2473" t="s">
        <v>30</v>
      </c>
      <c r="M2473" t="s">
        <v>31</v>
      </c>
      <c r="N2473" t="s">
        <v>991</v>
      </c>
      <c r="Q2473" s="4">
        <v>1</v>
      </c>
    </row>
    <row r="2474" spans="1:17" x14ac:dyDescent="0.55000000000000004">
      <c r="A2474" t="s">
        <v>5595</v>
      </c>
      <c r="C2474" t="s">
        <v>4460</v>
      </c>
      <c r="E2474" t="s">
        <v>29</v>
      </c>
      <c r="F2474" t="s">
        <v>30</v>
      </c>
      <c r="G2474" t="s">
        <v>31</v>
      </c>
      <c r="I2474" t="s">
        <v>4244</v>
      </c>
      <c r="J2474" t="s">
        <v>4245</v>
      </c>
      <c r="K2474" t="s">
        <v>39</v>
      </c>
      <c r="L2474" t="s">
        <v>30</v>
      </c>
      <c r="M2474" t="s">
        <v>31</v>
      </c>
      <c r="N2474" t="s">
        <v>991</v>
      </c>
      <c r="Q2474" s="4">
        <v>1</v>
      </c>
    </row>
    <row r="2475" spans="1:17" x14ac:dyDescent="0.55000000000000004">
      <c r="A2475" t="s">
        <v>5596</v>
      </c>
      <c r="C2475" t="s">
        <v>4460</v>
      </c>
      <c r="E2475" t="s">
        <v>29</v>
      </c>
      <c r="F2475" t="s">
        <v>30</v>
      </c>
      <c r="G2475" t="s">
        <v>31</v>
      </c>
      <c r="I2475" t="s">
        <v>4248</v>
      </c>
      <c r="J2475" t="s">
        <v>4249</v>
      </c>
      <c r="K2475" t="s">
        <v>39</v>
      </c>
      <c r="L2475" t="s">
        <v>30</v>
      </c>
      <c r="M2475" t="s">
        <v>31</v>
      </c>
      <c r="N2475" t="s">
        <v>991</v>
      </c>
      <c r="Q2475" s="4">
        <v>1</v>
      </c>
    </row>
    <row r="2476" spans="1:17" x14ac:dyDescent="0.55000000000000004">
      <c r="A2476" t="s">
        <v>5597</v>
      </c>
      <c r="C2476" t="s">
        <v>4460</v>
      </c>
      <c r="E2476" t="s">
        <v>29</v>
      </c>
      <c r="F2476" t="s">
        <v>30</v>
      </c>
      <c r="G2476" t="s">
        <v>31</v>
      </c>
      <c r="I2476" t="s">
        <v>4252</v>
      </c>
      <c r="J2476" t="s">
        <v>4253</v>
      </c>
      <c r="K2476" t="s">
        <v>39</v>
      </c>
      <c r="L2476" t="s">
        <v>30</v>
      </c>
      <c r="M2476" t="s">
        <v>31</v>
      </c>
      <c r="N2476" t="s">
        <v>991</v>
      </c>
      <c r="Q2476" s="4">
        <v>1</v>
      </c>
    </row>
    <row r="2477" spans="1:17" x14ac:dyDescent="0.55000000000000004">
      <c r="A2477" t="s">
        <v>5598</v>
      </c>
      <c r="C2477" t="s">
        <v>4460</v>
      </c>
      <c r="E2477" t="s">
        <v>29</v>
      </c>
      <c r="F2477" t="s">
        <v>30</v>
      </c>
      <c r="G2477" t="s">
        <v>31</v>
      </c>
      <c r="I2477" t="s">
        <v>4256</v>
      </c>
      <c r="J2477" t="s">
        <v>4257</v>
      </c>
      <c r="K2477" t="s">
        <v>39</v>
      </c>
      <c r="L2477" t="s">
        <v>30</v>
      </c>
      <c r="M2477" t="s">
        <v>31</v>
      </c>
      <c r="N2477" t="s">
        <v>991</v>
      </c>
      <c r="Q2477" s="4">
        <v>1</v>
      </c>
    </row>
    <row r="2478" spans="1:17" x14ac:dyDescent="0.55000000000000004">
      <c r="A2478" t="s">
        <v>5599</v>
      </c>
      <c r="C2478" t="s">
        <v>4460</v>
      </c>
      <c r="E2478" t="s">
        <v>29</v>
      </c>
      <c r="F2478" t="s">
        <v>30</v>
      </c>
      <c r="G2478" t="s">
        <v>31</v>
      </c>
      <c r="I2478" t="s">
        <v>4260</v>
      </c>
      <c r="J2478" t="s">
        <v>4261</v>
      </c>
      <c r="K2478" t="s">
        <v>39</v>
      </c>
      <c r="L2478" t="s">
        <v>30</v>
      </c>
      <c r="M2478" t="s">
        <v>31</v>
      </c>
      <c r="N2478" t="s">
        <v>991</v>
      </c>
      <c r="Q2478" s="4">
        <v>1</v>
      </c>
    </row>
    <row r="2479" spans="1:17" x14ac:dyDescent="0.55000000000000004">
      <c r="A2479" t="s">
        <v>5600</v>
      </c>
      <c r="C2479" t="s">
        <v>4460</v>
      </c>
      <c r="E2479" t="s">
        <v>29</v>
      </c>
      <c r="F2479" t="s">
        <v>30</v>
      </c>
      <c r="G2479" t="s">
        <v>31</v>
      </c>
      <c r="I2479" t="s">
        <v>4264</v>
      </c>
      <c r="J2479" t="s">
        <v>4265</v>
      </c>
      <c r="K2479" t="s">
        <v>39</v>
      </c>
      <c r="L2479" t="s">
        <v>30</v>
      </c>
      <c r="M2479" t="s">
        <v>31</v>
      </c>
      <c r="N2479" t="s">
        <v>991</v>
      </c>
      <c r="Q2479" s="4">
        <v>1</v>
      </c>
    </row>
    <row r="2480" spans="1:17" x14ac:dyDescent="0.55000000000000004">
      <c r="A2480" t="s">
        <v>5601</v>
      </c>
      <c r="C2480" t="s">
        <v>4460</v>
      </c>
      <c r="E2480" t="s">
        <v>29</v>
      </c>
      <c r="F2480" t="s">
        <v>30</v>
      </c>
      <c r="G2480" t="s">
        <v>31</v>
      </c>
      <c r="I2480" t="s">
        <v>4268</v>
      </c>
      <c r="J2480" t="s">
        <v>4269</v>
      </c>
      <c r="K2480" t="s">
        <v>39</v>
      </c>
      <c r="L2480" t="s">
        <v>30</v>
      </c>
      <c r="M2480" t="s">
        <v>31</v>
      </c>
      <c r="N2480" t="s">
        <v>991</v>
      </c>
      <c r="Q2480" s="4">
        <v>1</v>
      </c>
    </row>
    <row r="2481" spans="1:17" x14ac:dyDescent="0.55000000000000004">
      <c r="A2481" t="s">
        <v>5602</v>
      </c>
      <c r="C2481" t="s">
        <v>4460</v>
      </c>
      <c r="E2481" t="s">
        <v>29</v>
      </c>
      <c r="F2481" t="s">
        <v>30</v>
      </c>
      <c r="G2481" t="s">
        <v>31</v>
      </c>
      <c r="I2481" t="s">
        <v>4272</v>
      </c>
      <c r="J2481" t="s">
        <v>4273</v>
      </c>
      <c r="K2481" t="s">
        <v>39</v>
      </c>
      <c r="L2481" t="s">
        <v>30</v>
      </c>
      <c r="M2481" t="s">
        <v>31</v>
      </c>
      <c r="N2481" t="s">
        <v>991</v>
      </c>
      <c r="Q2481" s="4">
        <v>1</v>
      </c>
    </row>
    <row r="2482" spans="1:17" x14ac:dyDescent="0.55000000000000004">
      <c r="A2482" t="s">
        <v>5603</v>
      </c>
      <c r="C2482" t="s">
        <v>4460</v>
      </c>
      <c r="E2482" t="s">
        <v>29</v>
      </c>
      <c r="F2482" t="s">
        <v>30</v>
      </c>
      <c r="G2482" t="s">
        <v>31</v>
      </c>
      <c r="I2482" t="s">
        <v>4276</v>
      </c>
      <c r="J2482" t="s">
        <v>4277</v>
      </c>
      <c r="K2482" t="s">
        <v>39</v>
      </c>
      <c r="L2482" t="s">
        <v>30</v>
      </c>
      <c r="M2482" t="s">
        <v>31</v>
      </c>
      <c r="N2482" t="s">
        <v>991</v>
      </c>
      <c r="Q2482" s="4">
        <v>1</v>
      </c>
    </row>
    <row r="2483" spans="1:17" x14ac:dyDescent="0.55000000000000004">
      <c r="A2483" t="s">
        <v>5604</v>
      </c>
      <c r="C2483" t="s">
        <v>4460</v>
      </c>
      <c r="E2483" t="s">
        <v>29</v>
      </c>
      <c r="F2483" t="s">
        <v>30</v>
      </c>
      <c r="G2483" t="s">
        <v>31</v>
      </c>
      <c r="I2483" t="s">
        <v>4280</v>
      </c>
      <c r="J2483" t="s">
        <v>4281</v>
      </c>
      <c r="K2483" t="s">
        <v>39</v>
      </c>
      <c r="L2483" t="s">
        <v>30</v>
      </c>
      <c r="M2483" t="s">
        <v>31</v>
      </c>
      <c r="N2483" t="s">
        <v>991</v>
      </c>
      <c r="Q2483" s="4">
        <v>1</v>
      </c>
    </row>
    <row r="2484" spans="1:17" x14ac:dyDescent="0.55000000000000004">
      <c r="A2484" t="s">
        <v>5605</v>
      </c>
      <c r="C2484" t="s">
        <v>4460</v>
      </c>
      <c r="E2484" t="s">
        <v>29</v>
      </c>
      <c r="F2484" t="s">
        <v>30</v>
      </c>
      <c r="G2484" t="s">
        <v>31</v>
      </c>
      <c r="I2484" t="s">
        <v>4284</v>
      </c>
      <c r="J2484" t="s">
        <v>4285</v>
      </c>
      <c r="K2484" t="s">
        <v>39</v>
      </c>
      <c r="L2484" t="s">
        <v>30</v>
      </c>
      <c r="M2484" t="s">
        <v>31</v>
      </c>
      <c r="N2484" t="s">
        <v>991</v>
      </c>
      <c r="Q2484" s="4">
        <v>1</v>
      </c>
    </row>
    <row r="2485" spans="1:17" x14ac:dyDescent="0.55000000000000004">
      <c r="A2485" t="s">
        <v>5606</v>
      </c>
      <c r="C2485" t="s">
        <v>4460</v>
      </c>
      <c r="E2485" t="s">
        <v>29</v>
      </c>
      <c r="F2485" t="s">
        <v>30</v>
      </c>
      <c r="G2485" t="s">
        <v>31</v>
      </c>
      <c r="I2485" t="s">
        <v>4288</v>
      </c>
      <c r="J2485" t="s">
        <v>4289</v>
      </c>
      <c r="K2485" t="s">
        <v>39</v>
      </c>
      <c r="L2485" t="s">
        <v>30</v>
      </c>
      <c r="M2485" t="s">
        <v>31</v>
      </c>
      <c r="N2485" t="s">
        <v>991</v>
      </c>
      <c r="Q2485" s="4">
        <v>1</v>
      </c>
    </row>
    <row r="2486" spans="1:17" x14ac:dyDescent="0.55000000000000004">
      <c r="A2486" t="s">
        <v>5607</v>
      </c>
      <c r="C2486" t="s">
        <v>4460</v>
      </c>
      <c r="E2486" t="s">
        <v>29</v>
      </c>
      <c r="F2486" t="s">
        <v>30</v>
      </c>
      <c r="G2486" t="s">
        <v>31</v>
      </c>
      <c r="I2486" t="s">
        <v>4292</v>
      </c>
      <c r="J2486" t="s">
        <v>4293</v>
      </c>
      <c r="K2486" t="s">
        <v>39</v>
      </c>
      <c r="L2486" t="s">
        <v>30</v>
      </c>
      <c r="M2486" t="s">
        <v>31</v>
      </c>
      <c r="N2486" t="s">
        <v>991</v>
      </c>
      <c r="Q2486" s="4">
        <v>1</v>
      </c>
    </row>
    <row r="2487" spans="1:17" x14ac:dyDescent="0.55000000000000004">
      <c r="A2487" t="s">
        <v>5608</v>
      </c>
      <c r="C2487" t="s">
        <v>4460</v>
      </c>
      <c r="E2487" t="s">
        <v>29</v>
      </c>
      <c r="F2487" t="s">
        <v>30</v>
      </c>
      <c r="G2487" t="s">
        <v>31</v>
      </c>
      <c r="I2487" t="s">
        <v>4296</v>
      </c>
      <c r="J2487" t="s">
        <v>4297</v>
      </c>
      <c r="K2487" t="s">
        <v>39</v>
      </c>
      <c r="L2487" t="s">
        <v>30</v>
      </c>
      <c r="M2487" t="s">
        <v>31</v>
      </c>
      <c r="N2487" t="s">
        <v>991</v>
      </c>
      <c r="Q2487" s="4">
        <v>1</v>
      </c>
    </row>
    <row r="2488" spans="1:17" x14ac:dyDescent="0.55000000000000004">
      <c r="A2488" t="s">
        <v>5609</v>
      </c>
      <c r="C2488" t="s">
        <v>4460</v>
      </c>
      <c r="E2488" t="s">
        <v>29</v>
      </c>
      <c r="F2488" t="s">
        <v>30</v>
      </c>
      <c r="G2488" t="s">
        <v>31</v>
      </c>
      <c r="I2488" t="s">
        <v>4300</v>
      </c>
      <c r="J2488" t="s">
        <v>4301</v>
      </c>
      <c r="K2488" t="s">
        <v>39</v>
      </c>
      <c r="L2488" t="s">
        <v>30</v>
      </c>
      <c r="M2488" t="s">
        <v>31</v>
      </c>
      <c r="N2488" t="s">
        <v>991</v>
      </c>
      <c r="Q2488" s="4">
        <v>1</v>
      </c>
    </row>
    <row r="2489" spans="1:17" x14ac:dyDescent="0.55000000000000004">
      <c r="A2489" t="s">
        <v>5610</v>
      </c>
      <c r="C2489" t="s">
        <v>4460</v>
      </c>
      <c r="E2489" t="s">
        <v>29</v>
      </c>
      <c r="F2489" t="s">
        <v>30</v>
      </c>
      <c r="G2489" t="s">
        <v>31</v>
      </c>
      <c r="I2489" t="s">
        <v>4304</v>
      </c>
      <c r="J2489" t="s">
        <v>4305</v>
      </c>
      <c r="K2489" t="s">
        <v>39</v>
      </c>
      <c r="L2489" t="s">
        <v>30</v>
      </c>
      <c r="M2489" t="s">
        <v>31</v>
      </c>
      <c r="N2489" t="s">
        <v>991</v>
      </c>
      <c r="Q2489" s="4">
        <v>1</v>
      </c>
    </row>
    <row r="2490" spans="1:17" x14ac:dyDescent="0.55000000000000004">
      <c r="A2490" t="s">
        <v>5611</v>
      </c>
      <c r="C2490" t="s">
        <v>4460</v>
      </c>
      <c r="E2490" t="s">
        <v>29</v>
      </c>
      <c r="F2490" t="s">
        <v>30</v>
      </c>
      <c r="G2490" t="s">
        <v>31</v>
      </c>
      <c r="I2490" t="s">
        <v>4308</v>
      </c>
      <c r="J2490" t="s">
        <v>4309</v>
      </c>
      <c r="K2490" t="s">
        <v>39</v>
      </c>
      <c r="L2490" t="s">
        <v>30</v>
      </c>
      <c r="M2490" t="s">
        <v>31</v>
      </c>
      <c r="N2490" t="s">
        <v>991</v>
      </c>
      <c r="Q2490" s="4">
        <v>1</v>
      </c>
    </row>
    <row r="2491" spans="1:17" x14ac:dyDescent="0.55000000000000004">
      <c r="A2491" t="s">
        <v>5612</v>
      </c>
      <c r="C2491" t="s">
        <v>4460</v>
      </c>
      <c r="E2491" t="s">
        <v>29</v>
      </c>
      <c r="F2491" t="s">
        <v>30</v>
      </c>
      <c r="G2491" t="s">
        <v>31</v>
      </c>
      <c r="I2491" t="s">
        <v>4312</v>
      </c>
      <c r="J2491" t="s">
        <v>4313</v>
      </c>
      <c r="K2491" t="s">
        <v>39</v>
      </c>
      <c r="L2491" t="s">
        <v>30</v>
      </c>
      <c r="M2491" t="s">
        <v>31</v>
      </c>
      <c r="N2491" t="s">
        <v>991</v>
      </c>
      <c r="Q2491" s="4">
        <v>1</v>
      </c>
    </row>
    <row r="2492" spans="1:17" x14ac:dyDescent="0.55000000000000004">
      <c r="A2492" t="s">
        <v>5613</v>
      </c>
      <c r="C2492" t="s">
        <v>4460</v>
      </c>
      <c r="E2492" t="s">
        <v>29</v>
      </c>
      <c r="F2492" t="s">
        <v>30</v>
      </c>
      <c r="G2492" t="s">
        <v>31</v>
      </c>
      <c r="I2492" t="s">
        <v>4316</v>
      </c>
      <c r="J2492" t="s">
        <v>4317</v>
      </c>
      <c r="K2492" t="s">
        <v>39</v>
      </c>
      <c r="L2492" t="s">
        <v>30</v>
      </c>
      <c r="M2492" t="s">
        <v>31</v>
      </c>
      <c r="N2492" t="s">
        <v>991</v>
      </c>
      <c r="Q2492" s="4">
        <v>1</v>
      </c>
    </row>
    <row r="2493" spans="1:17" x14ac:dyDescent="0.55000000000000004">
      <c r="A2493" t="s">
        <v>5614</v>
      </c>
      <c r="C2493" t="s">
        <v>4460</v>
      </c>
      <c r="E2493" t="s">
        <v>29</v>
      </c>
      <c r="F2493" t="s">
        <v>30</v>
      </c>
      <c r="G2493" t="s">
        <v>31</v>
      </c>
      <c r="I2493" t="s">
        <v>4320</v>
      </c>
      <c r="J2493" t="s">
        <v>4321</v>
      </c>
      <c r="K2493" t="s">
        <v>39</v>
      </c>
      <c r="L2493" t="s">
        <v>30</v>
      </c>
      <c r="M2493" t="s">
        <v>31</v>
      </c>
      <c r="N2493" t="s">
        <v>991</v>
      </c>
      <c r="Q2493" s="4">
        <v>1</v>
      </c>
    </row>
    <row r="2494" spans="1:17" x14ac:dyDescent="0.55000000000000004">
      <c r="A2494" t="s">
        <v>5615</v>
      </c>
      <c r="C2494" t="s">
        <v>4460</v>
      </c>
      <c r="E2494" t="s">
        <v>29</v>
      </c>
      <c r="F2494" t="s">
        <v>30</v>
      </c>
      <c r="G2494" t="s">
        <v>31</v>
      </c>
      <c r="I2494" t="s">
        <v>4324</v>
      </c>
      <c r="J2494" t="s">
        <v>4325</v>
      </c>
      <c r="K2494" t="s">
        <v>39</v>
      </c>
      <c r="L2494" t="s">
        <v>30</v>
      </c>
      <c r="M2494" t="s">
        <v>31</v>
      </c>
      <c r="N2494" t="s">
        <v>991</v>
      </c>
      <c r="Q2494" s="4">
        <v>1</v>
      </c>
    </row>
    <row r="2495" spans="1:17" x14ac:dyDescent="0.55000000000000004">
      <c r="A2495" t="s">
        <v>5616</v>
      </c>
      <c r="C2495" t="s">
        <v>4460</v>
      </c>
      <c r="E2495" t="s">
        <v>29</v>
      </c>
      <c r="F2495" t="s">
        <v>30</v>
      </c>
      <c r="G2495" t="s">
        <v>31</v>
      </c>
      <c r="I2495" t="s">
        <v>4328</v>
      </c>
      <c r="J2495" t="s">
        <v>4329</v>
      </c>
      <c r="K2495" t="s">
        <v>39</v>
      </c>
      <c r="L2495" t="s">
        <v>30</v>
      </c>
      <c r="M2495" t="s">
        <v>31</v>
      </c>
      <c r="N2495" t="s">
        <v>991</v>
      </c>
      <c r="Q2495" s="4">
        <v>1</v>
      </c>
    </row>
    <row r="2496" spans="1:17" x14ac:dyDescent="0.55000000000000004">
      <c r="A2496" t="s">
        <v>5617</v>
      </c>
      <c r="C2496" t="s">
        <v>4460</v>
      </c>
      <c r="E2496" t="s">
        <v>29</v>
      </c>
      <c r="F2496" t="s">
        <v>30</v>
      </c>
      <c r="G2496" t="s">
        <v>31</v>
      </c>
      <c r="I2496" t="s">
        <v>4332</v>
      </c>
      <c r="J2496" t="s">
        <v>4333</v>
      </c>
      <c r="K2496" t="s">
        <v>39</v>
      </c>
      <c r="L2496" t="s">
        <v>30</v>
      </c>
      <c r="M2496" t="s">
        <v>31</v>
      </c>
      <c r="N2496" t="s">
        <v>991</v>
      </c>
      <c r="Q2496" s="4">
        <v>1</v>
      </c>
    </row>
    <row r="2497" spans="1:17" x14ac:dyDescent="0.55000000000000004">
      <c r="A2497" t="s">
        <v>5618</v>
      </c>
      <c r="C2497" t="s">
        <v>4460</v>
      </c>
      <c r="E2497" t="s">
        <v>29</v>
      </c>
      <c r="F2497" t="s">
        <v>30</v>
      </c>
      <c r="G2497" t="s">
        <v>31</v>
      </c>
      <c r="I2497" t="s">
        <v>4336</v>
      </c>
      <c r="J2497" t="s">
        <v>4337</v>
      </c>
      <c r="K2497" t="s">
        <v>39</v>
      </c>
      <c r="L2497" t="s">
        <v>30</v>
      </c>
      <c r="M2497" t="s">
        <v>31</v>
      </c>
      <c r="N2497" t="s">
        <v>991</v>
      </c>
      <c r="Q2497" s="4">
        <v>1</v>
      </c>
    </row>
    <row r="2498" spans="1:17" x14ac:dyDescent="0.55000000000000004">
      <c r="A2498" t="s">
        <v>5619</v>
      </c>
      <c r="C2498" t="s">
        <v>4460</v>
      </c>
      <c r="E2498" t="s">
        <v>29</v>
      </c>
      <c r="F2498" t="s">
        <v>30</v>
      </c>
      <c r="G2498" t="s">
        <v>31</v>
      </c>
      <c r="I2498" t="s">
        <v>4340</v>
      </c>
      <c r="J2498" t="s">
        <v>4341</v>
      </c>
      <c r="K2498" t="s">
        <v>39</v>
      </c>
      <c r="L2498" t="s">
        <v>30</v>
      </c>
      <c r="M2498" t="s">
        <v>31</v>
      </c>
      <c r="N2498" t="s">
        <v>991</v>
      </c>
      <c r="Q2498" s="4">
        <v>1</v>
      </c>
    </row>
    <row r="2499" spans="1:17" x14ac:dyDescent="0.55000000000000004">
      <c r="A2499" t="s">
        <v>5620</v>
      </c>
      <c r="C2499" t="s">
        <v>4460</v>
      </c>
      <c r="E2499" t="s">
        <v>29</v>
      </c>
      <c r="F2499" t="s">
        <v>30</v>
      </c>
      <c r="G2499" t="s">
        <v>31</v>
      </c>
      <c r="I2499" t="s">
        <v>4344</v>
      </c>
      <c r="J2499" t="s">
        <v>4345</v>
      </c>
      <c r="K2499" t="s">
        <v>39</v>
      </c>
      <c r="L2499" t="s">
        <v>30</v>
      </c>
      <c r="M2499" t="s">
        <v>31</v>
      </c>
      <c r="N2499" t="s">
        <v>991</v>
      </c>
      <c r="Q2499" s="4">
        <v>1</v>
      </c>
    </row>
    <row r="2500" spans="1:17" x14ac:dyDescent="0.55000000000000004">
      <c r="A2500" t="s">
        <v>5621</v>
      </c>
      <c r="C2500" t="s">
        <v>4460</v>
      </c>
      <c r="E2500" t="s">
        <v>29</v>
      </c>
      <c r="F2500" t="s">
        <v>30</v>
      </c>
      <c r="G2500" t="s">
        <v>31</v>
      </c>
      <c r="I2500" t="s">
        <v>4348</v>
      </c>
      <c r="J2500" t="s">
        <v>4349</v>
      </c>
      <c r="K2500" t="s">
        <v>39</v>
      </c>
      <c r="L2500" t="s">
        <v>30</v>
      </c>
      <c r="M2500" t="s">
        <v>31</v>
      </c>
      <c r="N2500" t="s">
        <v>991</v>
      </c>
      <c r="Q2500" s="4">
        <v>1</v>
      </c>
    </row>
    <row r="2501" spans="1:17" x14ac:dyDescent="0.55000000000000004">
      <c r="A2501" t="s">
        <v>5622</v>
      </c>
      <c r="C2501" t="s">
        <v>4460</v>
      </c>
      <c r="E2501" t="s">
        <v>29</v>
      </c>
      <c r="F2501" t="s">
        <v>30</v>
      </c>
      <c r="G2501" t="s">
        <v>31</v>
      </c>
      <c r="I2501" t="s">
        <v>4352</v>
      </c>
      <c r="J2501" t="s">
        <v>4353</v>
      </c>
      <c r="K2501" t="s">
        <v>39</v>
      </c>
      <c r="L2501" t="s">
        <v>30</v>
      </c>
      <c r="M2501" t="s">
        <v>31</v>
      </c>
      <c r="N2501" t="s">
        <v>991</v>
      </c>
      <c r="Q2501" s="4">
        <v>1</v>
      </c>
    </row>
    <row r="2502" spans="1:17" x14ac:dyDescent="0.55000000000000004">
      <c r="A2502" t="s">
        <v>5623</v>
      </c>
      <c r="C2502" t="s">
        <v>4460</v>
      </c>
      <c r="E2502" t="s">
        <v>29</v>
      </c>
      <c r="F2502" t="s">
        <v>30</v>
      </c>
      <c r="G2502" t="s">
        <v>31</v>
      </c>
      <c r="I2502" t="s">
        <v>4356</v>
      </c>
      <c r="J2502" t="s">
        <v>4357</v>
      </c>
      <c r="K2502" t="s">
        <v>39</v>
      </c>
      <c r="L2502" t="s">
        <v>30</v>
      </c>
      <c r="M2502" t="s">
        <v>31</v>
      </c>
      <c r="N2502" t="s">
        <v>991</v>
      </c>
      <c r="Q2502" s="4">
        <v>1</v>
      </c>
    </row>
    <row r="2503" spans="1:17" x14ac:dyDescent="0.55000000000000004">
      <c r="A2503" t="s">
        <v>5624</v>
      </c>
      <c r="C2503" t="s">
        <v>4460</v>
      </c>
      <c r="E2503" t="s">
        <v>29</v>
      </c>
      <c r="F2503" t="s">
        <v>30</v>
      </c>
      <c r="G2503" t="s">
        <v>31</v>
      </c>
      <c r="I2503" t="s">
        <v>4360</v>
      </c>
      <c r="J2503" t="s">
        <v>4361</v>
      </c>
      <c r="K2503" t="s">
        <v>39</v>
      </c>
      <c r="L2503" t="s">
        <v>30</v>
      </c>
      <c r="M2503" t="s">
        <v>31</v>
      </c>
      <c r="N2503" t="s">
        <v>991</v>
      </c>
      <c r="Q2503" s="4">
        <v>1</v>
      </c>
    </row>
    <row r="2504" spans="1:17" x14ac:dyDescent="0.55000000000000004">
      <c r="A2504" t="s">
        <v>5625</v>
      </c>
      <c r="C2504" t="s">
        <v>4460</v>
      </c>
      <c r="E2504" t="s">
        <v>29</v>
      </c>
      <c r="F2504" t="s">
        <v>30</v>
      </c>
      <c r="G2504" t="s">
        <v>31</v>
      </c>
      <c r="I2504" t="s">
        <v>4364</v>
      </c>
      <c r="J2504" t="s">
        <v>4365</v>
      </c>
      <c r="K2504" t="s">
        <v>39</v>
      </c>
      <c r="L2504" t="s">
        <v>30</v>
      </c>
      <c r="M2504" t="s">
        <v>31</v>
      </c>
      <c r="N2504" t="s">
        <v>991</v>
      </c>
      <c r="Q2504" s="4">
        <v>1</v>
      </c>
    </row>
    <row r="2505" spans="1:17" x14ac:dyDescent="0.55000000000000004">
      <c r="A2505" t="s">
        <v>5626</v>
      </c>
      <c r="C2505" t="s">
        <v>4460</v>
      </c>
      <c r="E2505" t="s">
        <v>29</v>
      </c>
      <c r="F2505" t="s">
        <v>30</v>
      </c>
      <c r="G2505" t="s">
        <v>31</v>
      </c>
      <c r="I2505" t="s">
        <v>4368</v>
      </c>
      <c r="J2505" t="s">
        <v>4369</v>
      </c>
      <c r="K2505" t="s">
        <v>39</v>
      </c>
      <c r="L2505" t="s">
        <v>30</v>
      </c>
      <c r="M2505" t="s">
        <v>31</v>
      </c>
      <c r="N2505" t="s">
        <v>991</v>
      </c>
      <c r="Q2505" s="4">
        <v>1</v>
      </c>
    </row>
    <row r="2506" spans="1:17" x14ac:dyDescent="0.55000000000000004">
      <c r="A2506" t="s">
        <v>5627</v>
      </c>
      <c r="C2506" t="s">
        <v>4460</v>
      </c>
      <c r="E2506" t="s">
        <v>29</v>
      </c>
      <c r="F2506" t="s">
        <v>30</v>
      </c>
      <c r="G2506" t="s">
        <v>31</v>
      </c>
      <c r="I2506" t="s">
        <v>4372</v>
      </c>
      <c r="J2506" t="s">
        <v>4373</v>
      </c>
      <c r="K2506" t="s">
        <v>39</v>
      </c>
      <c r="L2506" t="s">
        <v>30</v>
      </c>
      <c r="M2506" t="s">
        <v>31</v>
      </c>
      <c r="N2506" t="s">
        <v>991</v>
      </c>
      <c r="Q2506" s="4">
        <v>1</v>
      </c>
    </row>
    <row r="2507" spans="1:17" x14ac:dyDescent="0.55000000000000004">
      <c r="A2507" t="s">
        <v>5628</v>
      </c>
      <c r="C2507" t="s">
        <v>4460</v>
      </c>
      <c r="E2507" t="s">
        <v>29</v>
      </c>
      <c r="F2507" t="s">
        <v>30</v>
      </c>
      <c r="G2507" t="s">
        <v>31</v>
      </c>
      <c r="I2507" t="s">
        <v>4376</v>
      </c>
      <c r="J2507" t="s">
        <v>4377</v>
      </c>
      <c r="K2507" t="s">
        <v>39</v>
      </c>
      <c r="L2507" t="s">
        <v>30</v>
      </c>
      <c r="M2507" t="s">
        <v>31</v>
      </c>
      <c r="N2507" t="s">
        <v>991</v>
      </c>
      <c r="Q2507" s="4">
        <v>1</v>
      </c>
    </row>
    <row r="2508" spans="1:17" x14ac:dyDescent="0.55000000000000004">
      <c r="A2508" t="s">
        <v>5629</v>
      </c>
      <c r="C2508" t="s">
        <v>4460</v>
      </c>
      <c r="E2508" t="s">
        <v>29</v>
      </c>
      <c r="F2508" t="s">
        <v>30</v>
      </c>
      <c r="G2508" t="s">
        <v>31</v>
      </c>
      <c r="I2508" t="s">
        <v>4380</v>
      </c>
      <c r="J2508" t="s">
        <v>4381</v>
      </c>
      <c r="K2508" t="s">
        <v>39</v>
      </c>
      <c r="L2508" t="s">
        <v>30</v>
      </c>
      <c r="M2508" t="s">
        <v>31</v>
      </c>
      <c r="N2508" t="s">
        <v>991</v>
      </c>
      <c r="Q2508" s="4">
        <v>1</v>
      </c>
    </row>
    <row r="2509" spans="1:17" s="5" customFormat="1" ht="18.5" thickBot="1" x14ac:dyDescent="0.6">
      <c r="A2509" t="s">
        <v>5630</v>
      </c>
      <c r="C2509" s="5" t="s">
        <v>4460</v>
      </c>
      <c r="E2509" s="5" t="s">
        <v>29</v>
      </c>
      <c r="F2509" s="5" t="s">
        <v>30</v>
      </c>
      <c r="G2509" s="5" t="s">
        <v>31</v>
      </c>
      <c r="I2509" s="5" t="s">
        <v>4384</v>
      </c>
      <c r="J2509" s="5" t="s">
        <v>4385</v>
      </c>
      <c r="K2509" s="5" t="s">
        <v>39</v>
      </c>
      <c r="L2509" s="5" t="s">
        <v>30</v>
      </c>
      <c r="M2509" s="5" t="s">
        <v>31</v>
      </c>
      <c r="N2509" s="5" t="s">
        <v>991</v>
      </c>
      <c r="Q2509" s="4">
        <v>1</v>
      </c>
    </row>
    <row r="2510" spans="1:17" s="6" customFormat="1" x14ac:dyDescent="0.55000000000000004">
      <c r="A2510" t="s">
        <v>5631</v>
      </c>
      <c r="C2510" s="6" t="s">
        <v>4461</v>
      </c>
      <c r="D2510" s="6" t="s">
        <v>4462</v>
      </c>
      <c r="E2510" s="6" t="s">
        <v>35</v>
      </c>
      <c r="F2510" s="6" t="s">
        <v>30</v>
      </c>
      <c r="G2510" s="6" t="s">
        <v>31</v>
      </c>
      <c r="H2510" s="6" t="s">
        <v>36</v>
      </c>
      <c r="I2510" s="6" t="s">
        <v>4508</v>
      </c>
      <c r="J2510" s="6" t="s">
        <v>4500</v>
      </c>
      <c r="K2510" s="6" t="s">
        <v>362</v>
      </c>
      <c r="L2510" s="6" t="s">
        <v>30</v>
      </c>
      <c r="M2510" s="6" t="s">
        <v>31</v>
      </c>
      <c r="Q2510" s="8">
        <v>1</v>
      </c>
    </row>
    <row r="2511" spans="1:17" x14ac:dyDescent="0.55000000000000004">
      <c r="A2511" t="s">
        <v>5632</v>
      </c>
      <c r="C2511" t="s">
        <v>4463</v>
      </c>
      <c r="D2511" t="s">
        <v>4464</v>
      </c>
      <c r="E2511" t="s">
        <v>35</v>
      </c>
      <c r="F2511" t="s">
        <v>30</v>
      </c>
      <c r="G2511" t="s">
        <v>31</v>
      </c>
      <c r="H2511" t="s">
        <v>36</v>
      </c>
      <c r="I2511" t="s">
        <v>4509</v>
      </c>
      <c r="J2511" t="s">
        <v>4501</v>
      </c>
      <c r="K2511" t="s">
        <v>362</v>
      </c>
      <c r="L2511" t="s">
        <v>30</v>
      </c>
      <c r="M2511" t="s">
        <v>31</v>
      </c>
      <c r="Q2511" s="4">
        <v>1</v>
      </c>
    </row>
    <row r="2512" spans="1:17" x14ac:dyDescent="0.55000000000000004">
      <c r="A2512" t="s">
        <v>5633</v>
      </c>
      <c r="C2512" t="s">
        <v>4465</v>
      </c>
      <c r="D2512" t="s">
        <v>4466</v>
      </c>
      <c r="E2512" t="s">
        <v>35</v>
      </c>
      <c r="F2512" t="s">
        <v>30</v>
      </c>
      <c r="G2512" t="s">
        <v>31</v>
      </c>
      <c r="H2512" t="s">
        <v>36</v>
      </c>
      <c r="I2512" t="s">
        <v>4510</v>
      </c>
      <c r="J2512" t="s">
        <v>4502</v>
      </c>
      <c r="K2512" t="s">
        <v>362</v>
      </c>
      <c r="L2512" t="s">
        <v>30</v>
      </c>
      <c r="M2512" t="s">
        <v>31</v>
      </c>
      <c r="Q2512" s="4">
        <v>1</v>
      </c>
    </row>
    <row r="2513" spans="1:18" x14ac:dyDescent="0.55000000000000004">
      <c r="A2513" t="s">
        <v>5634</v>
      </c>
      <c r="C2513" t="s">
        <v>4467</v>
      </c>
      <c r="D2513" t="s">
        <v>4468</v>
      </c>
      <c r="E2513" t="s">
        <v>35</v>
      </c>
      <c r="F2513" t="s">
        <v>30</v>
      </c>
      <c r="G2513" t="s">
        <v>31</v>
      </c>
      <c r="H2513" t="s">
        <v>36</v>
      </c>
      <c r="I2513" t="s">
        <v>4511</v>
      </c>
      <c r="J2513" t="s">
        <v>4503</v>
      </c>
      <c r="K2513" t="s">
        <v>362</v>
      </c>
      <c r="L2513" t="s">
        <v>30</v>
      </c>
      <c r="M2513" t="s">
        <v>31</v>
      </c>
      <c r="Q2513" s="4">
        <v>1</v>
      </c>
    </row>
    <row r="2514" spans="1:18" x14ac:dyDescent="0.55000000000000004">
      <c r="A2514" t="s">
        <v>5635</v>
      </c>
      <c r="C2514" t="s">
        <v>4515</v>
      </c>
      <c r="D2514" t="s">
        <v>4516</v>
      </c>
      <c r="E2514" t="s">
        <v>35</v>
      </c>
      <c r="F2514" t="s">
        <v>30</v>
      </c>
      <c r="G2514" t="s">
        <v>31</v>
      </c>
      <c r="H2514" t="s">
        <v>4471</v>
      </c>
      <c r="I2514" t="s">
        <v>4535</v>
      </c>
      <c r="J2514" t="s">
        <v>4521</v>
      </c>
      <c r="K2514" t="s">
        <v>362</v>
      </c>
      <c r="L2514" t="s">
        <v>30</v>
      </c>
      <c r="M2514" t="s">
        <v>31</v>
      </c>
      <c r="Q2514" s="4">
        <v>1</v>
      </c>
    </row>
    <row r="2515" spans="1:18" x14ac:dyDescent="0.55000000000000004">
      <c r="A2515" t="s">
        <v>5636</v>
      </c>
      <c r="C2515" t="s">
        <v>4517</v>
      </c>
      <c r="D2515" t="s">
        <v>4518</v>
      </c>
      <c r="E2515" t="s">
        <v>35</v>
      </c>
      <c r="F2515" t="s">
        <v>30</v>
      </c>
      <c r="G2515" t="s">
        <v>31</v>
      </c>
      <c r="H2515" t="s">
        <v>4471</v>
      </c>
      <c r="I2515" t="s">
        <v>4536</v>
      </c>
      <c r="J2515" t="s">
        <v>4522</v>
      </c>
      <c r="K2515" t="s">
        <v>362</v>
      </c>
      <c r="L2515" t="s">
        <v>30</v>
      </c>
      <c r="M2515" t="s">
        <v>31</v>
      </c>
      <c r="Q2515" s="4">
        <v>1</v>
      </c>
    </row>
    <row r="2516" spans="1:18" x14ac:dyDescent="0.55000000000000004">
      <c r="A2516" t="s">
        <v>5637</v>
      </c>
      <c r="C2516" t="s">
        <v>4519</v>
      </c>
      <c r="D2516" t="s">
        <v>4520</v>
      </c>
      <c r="E2516" t="s">
        <v>35</v>
      </c>
      <c r="F2516" t="s">
        <v>30</v>
      </c>
      <c r="G2516" t="s">
        <v>31</v>
      </c>
      <c r="H2516" t="s">
        <v>4471</v>
      </c>
      <c r="I2516" t="s">
        <v>4537</v>
      </c>
      <c r="J2516" t="s">
        <v>4523</v>
      </c>
      <c r="K2516" t="s">
        <v>362</v>
      </c>
      <c r="L2516" t="s">
        <v>30</v>
      </c>
      <c r="M2516" t="s">
        <v>31</v>
      </c>
      <c r="Q2516" s="4">
        <v>1</v>
      </c>
    </row>
    <row r="2517" spans="1:18" x14ac:dyDescent="0.55000000000000004">
      <c r="A2517" t="s">
        <v>5638</v>
      </c>
      <c r="C2517" t="s">
        <v>4469</v>
      </c>
      <c r="D2517" t="s">
        <v>4507</v>
      </c>
      <c r="E2517" t="s">
        <v>35</v>
      </c>
      <c r="F2517" t="s">
        <v>30</v>
      </c>
      <c r="G2517" t="s">
        <v>31</v>
      </c>
      <c r="H2517" t="s">
        <v>4471</v>
      </c>
      <c r="I2517" t="s">
        <v>4512</v>
      </c>
      <c r="J2517" t="s">
        <v>4504</v>
      </c>
      <c r="K2517" t="s">
        <v>362</v>
      </c>
      <c r="L2517" t="s">
        <v>30</v>
      </c>
      <c r="M2517" t="s">
        <v>31</v>
      </c>
      <c r="Q2517" s="4">
        <v>1</v>
      </c>
    </row>
    <row r="2518" spans="1:18" x14ac:dyDescent="0.55000000000000004">
      <c r="A2518" t="s">
        <v>5639</v>
      </c>
      <c r="C2518" t="s">
        <v>4472</v>
      </c>
      <c r="D2518" t="s">
        <v>4476</v>
      </c>
      <c r="E2518" t="s">
        <v>35</v>
      </c>
      <c r="F2518" t="s">
        <v>30</v>
      </c>
      <c r="G2518" t="s">
        <v>31</v>
      </c>
      <c r="H2518" t="s">
        <v>4471</v>
      </c>
      <c r="I2518" t="s">
        <v>4513</v>
      </c>
      <c r="J2518" t="s">
        <v>4477</v>
      </c>
      <c r="K2518" t="s">
        <v>362</v>
      </c>
      <c r="L2518" t="s">
        <v>30</v>
      </c>
      <c r="M2518" t="s">
        <v>31</v>
      </c>
      <c r="Q2518" s="4">
        <v>1</v>
      </c>
    </row>
    <row r="2519" spans="1:18" x14ac:dyDescent="0.55000000000000004">
      <c r="A2519" t="s">
        <v>5640</v>
      </c>
      <c r="C2519" t="s">
        <v>4474</v>
      </c>
      <c r="D2519" t="s">
        <v>4478</v>
      </c>
      <c r="E2519" t="s">
        <v>35</v>
      </c>
      <c r="F2519" t="s">
        <v>30</v>
      </c>
      <c r="G2519" t="s">
        <v>31</v>
      </c>
      <c r="H2519" t="s">
        <v>4471</v>
      </c>
      <c r="I2519" t="s">
        <v>4514</v>
      </c>
      <c r="J2519" t="s">
        <v>4479</v>
      </c>
      <c r="K2519" t="s">
        <v>362</v>
      </c>
      <c r="L2519" t="s">
        <v>30</v>
      </c>
      <c r="M2519" t="s">
        <v>31</v>
      </c>
      <c r="Q2519" s="4">
        <v>1</v>
      </c>
    </row>
    <row r="2520" spans="1:18" s="2" customFormat="1" x14ac:dyDescent="0.55000000000000004">
      <c r="A2520" t="s">
        <v>5641</v>
      </c>
      <c r="B2520"/>
      <c r="C2520" t="s">
        <v>4484</v>
      </c>
      <c r="D2520" t="s">
        <v>4485</v>
      </c>
      <c r="E2520" t="s">
        <v>35</v>
      </c>
      <c r="F2520" t="s">
        <v>30</v>
      </c>
      <c r="G2520" t="s">
        <v>31</v>
      </c>
      <c r="H2520" t="s">
        <v>4471</v>
      </c>
      <c r="I2520" t="s">
        <v>4486</v>
      </c>
      <c r="J2520" t="s">
        <v>4487</v>
      </c>
      <c r="K2520" t="s">
        <v>362</v>
      </c>
      <c r="L2520" t="s">
        <v>30</v>
      </c>
      <c r="M2520" t="s">
        <v>31</v>
      </c>
      <c r="N2520"/>
      <c r="O2520"/>
      <c r="P2520"/>
      <c r="Q2520" s="4">
        <v>1</v>
      </c>
      <c r="R2520"/>
    </row>
    <row r="2521" spans="1:18" s="7" customFormat="1" ht="18.5" thickBot="1" x14ac:dyDescent="0.6">
      <c r="A2521" t="s">
        <v>5642</v>
      </c>
      <c r="B2521" s="12"/>
      <c r="C2521" s="12" t="s">
        <v>4531</v>
      </c>
      <c r="D2521" s="12" t="s">
        <v>4532</v>
      </c>
      <c r="E2521" s="12" t="s">
        <v>35</v>
      </c>
      <c r="F2521" s="12" t="s">
        <v>30</v>
      </c>
      <c r="G2521" s="12" t="s">
        <v>31</v>
      </c>
      <c r="H2521" s="12" t="s">
        <v>4471</v>
      </c>
      <c r="I2521" s="12" t="s">
        <v>4533</v>
      </c>
      <c r="J2521" s="12" t="s">
        <v>4534</v>
      </c>
      <c r="K2521" s="12" t="s">
        <v>362</v>
      </c>
      <c r="L2521" s="12" t="s">
        <v>30</v>
      </c>
      <c r="M2521" s="12" t="s">
        <v>31</v>
      </c>
      <c r="N2521" s="12"/>
      <c r="O2521" s="12"/>
      <c r="P2521" s="12"/>
      <c r="Q2521" s="9">
        <v>1</v>
      </c>
      <c r="R2521" s="12"/>
    </row>
    <row r="2522" spans="1:18" s="2" customFormat="1" x14ac:dyDescent="0.55000000000000004">
      <c r="A2522" t="s">
        <v>5643</v>
      </c>
      <c r="B2522"/>
      <c r="C2522" t="s">
        <v>4480</v>
      </c>
      <c r="D2522" t="s">
        <v>4481</v>
      </c>
      <c r="E2522" t="s">
        <v>35</v>
      </c>
      <c r="F2522" t="s">
        <v>30</v>
      </c>
      <c r="G2522" t="s">
        <v>31</v>
      </c>
      <c r="H2522" t="s">
        <v>4471</v>
      </c>
      <c r="I2522" t="s">
        <v>4482</v>
      </c>
      <c r="J2522" t="s">
        <v>4483</v>
      </c>
      <c r="K2522" t="s">
        <v>362</v>
      </c>
      <c r="L2522" t="s">
        <v>30</v>
      </c>
      <c r="M2522" t="s">
        <v>31</v>
      </c>
      <c r="N2522"/>
      <c r="O2522"/>
      <c r="P2522"/>
      <c r="Q2522" s="4">
        <v>1</v>
      </c>
      <c r="R2522"/>
    </row>
    <row r="2523" spans="1:18" s="2" customFormat="1" x14ac:dyDescent="0.55000000000000004">
      <c r="A2523" t="s">
        <v>5644</v>
      </c>
      <c r="B2523"/>
      <c r="C2523" t="s">
        <v>4488</v>
      </c>
      <c r="D2523" t="s">
        <v>4489</v>
      </c>
      <c r="E2523" t="s">
        <v>35</v>
      </c>
      <c r="F2523" t="s">
        <v>30</v>
      </c>
      <c r="G2523" t="s">
        <v>31</v>
      </c>
      <c r="H2523" t="s">
        <v>4471</v>
      </c>
      <c r="I2523" t="s">
        <v>4490</v>
      </c>
      <c r="J2523" t="s">
        <v>4491</v>
      </c>
      <c r="K2523" t="s">
        <v>362</v>
      </c>
      <c r="L2523" t="s">
        <v>30</v>
      </c>
      <c r="M2523" t="s">
        <v>31</v>
      </c>
      <c r="N2523"/>
      <c r="O2523"/>
      <c r="P2523"/>
      <c r="Q2523" s="4">
        <v>1</v>
      </c>
      <c r="R2523"/>
    </row>
    <row r="2524" spans="1:18" s="2" customFormat="1" x14ac:dyDescent="0.55000000000000004">
      <c r="A2524" t="s">
        <v>5645</v>
      </c>
      <c r="B2524"/>
      <c r="C2524" t="s">
        <v>4492</v>
      </c>
      <c r="D2524" t="s">
        <v>4493</v>
      </c>
      <c r="E2524" t="s">
        <v>35</v>
      </c>
      <c r="F2524" t="s">
        <v>30</v>
      </c>
      <c r="G2524" t="s">
        <v>31</v>
      </c>
      <c r="H2524" t="s">
        <v>4471</v>
      </c>
      <c r="I2524" t="s">
        <v>4496</v>
      </c>
      <c r="J2524" t="s">
        <v>4497</v>
      </c>
      <c r="K2524" t="s">
        <v>362</v>
      </c>
      <c r="L2524" t="s">
        <v>30</v>
      </c>
      <c r="M2524" t="s">
        <v>31</v>
      </c>
      <c r="N2524"/>
      <c r="O2524"/>
      <c r="P2524"/>
      <c r="Q2524" s="4">
        <v>1</v>
      </c>
      <c r="R2524"/>
    </row>
    <row r="2525" spans="1:18" s="2" customFormat="1" x14ac:dyDescent="0.55000000000000004">
      <c r="A2525" t="s">
        <v>5646</v>
      </c>
      <c r="B2525"/>
      <c r="C2525" t="s">
        <v>4494</v>
      </c>
      <c r="D2525" t="s">
        <v>4495</v>
      </c>
      <c r="E2525" t="s">
        <v>35</v>
      </c>
      <c r="F2525" t="s">
        <v>30</v>
      </c>
      <c r="G2525" t="s">
        <v>31</v>
      </c>
      <c r="H2525" t="s">
        <v>4471</v>
      </c>
      <c r="I2525" t="s">
        <v>4498</v>
      </c>
      <c r="J2525" t="s">
        <v>4499</v>
      </c>
      <c r="K2525" t="s">
        <v>362</v>
      </c>
      <c r="L2525" t="s">
        <v>30</v>
      </c>
      <c r="M2525" t="s">
        <v>31</v>
      </c>
      <c r="N2525"/>
      <c r="O2525"/>
      <c r="P2525"/>
      <c r="Q2525" s="4">
        <v>1</v>
      </c>
      <c r="R2525"/>
    </row>
    <row r="2526" spans="1:18" s="2" customFormat="1" x14ac:dyDescent="0.55000000000000004">
      <c r="A2526" t="s">
        <v>5647</v>
      </c>
      <c r="B2526"/>
      <c r="C2526" t="s">
        <v>4524</v>
      </c>
      <c r="D2526" t="s">
        <v>4525</v>
      </c>
      <c r="E2526" t="s">
        <v>35</v>
      </c>
      <c r="F2526" t="s">
        <v>30</v>
      </c>
      <c r="G2526" t="s">
        <v>31</v>
      </c>
      <c r="H2526" t="s">
        <v>4471</v>
      </c>
      <c r="I2526" t="s">
        <v>4529</v>
      </c>
      <c r="J2526" t="s">
        <v>4528</v>
      </c>
      <c r="K2526" t="s">
        <v>362</v>
      </c>
      <c r="L2526" t="s">
        <v>30</v>
      </c>
      <c r="M2526" t="s">
        <v>31</v>
      </c>
      <c r="N2526"/>
      <c r="O2526"/>
      <c r="P2526"/>
      <c r="Q2526" s="4">
        <v>1</v>
      </c>
      <c r="R2526"/>
    </row>
    <row r="2527" spans="1:18" s="7" customFormat="1" ht="18.5" thickBot="1" x14ac:dyDescent="0.6">
      <c r="A2527" t="s">
        <v>5648</v>
      </c>
      <c r="B2527" s="12"/>
      <c r="C2527" s="12" t="s">
        <v>4526</v>
      </c>
      <c r="D2527" s="12" t="s">
        <v>4527</v>
      </c>
      <c r="E2527" s="12" t="s">
        <v>35</v>
      </c>
      <c r="F2527" s="12" t="s">
        <v>30</v>
      </c>
      <c r="G2527" s="12" t="s">
        <v>31</v>
      </c>
      <c r="H2527" s="12" t="s">
        <v>4471</v>
      </c>
      <c r="I2527" s="12" t="s">
        <v>4538</v>
      </c>
      <c r="J2527" s="12" t="s">
        <v>4530</v>
      </c>
      <c r="K2527" s="12" t="s">
        <v>362</v>
      </c>
      <c r="L2527" s="12" t="s">
        <v>30</v>
      </c>
      <c r="M2527" s="12" t="s">
        <v>31</v>
      </c>
      <c r="N2527" s="12"/>
      <c r="O2527" s="12"/>
      <c r="P2527" s="12"/>
      <c r="Q2527" s="9">
        <v>1</v>
      </c>
      <c r="R2527" s="12"/>
    </row>
    <row r="2528" spans="1:18" x14ac:dyDescent="0.55000000000000004">
      <c r="A2528" t="s">
        <v>5649</v>
      </c>
      <c r="C2528" t="s">
        <v>4505</v>
      </c>
      <c r="E2528" t="s">
        <v>29</v>
      </c>
      <c r="F2528" t="s">
        <v>30</v>
      </c>
      <c r="G2528" t="s">
        <v>31</v>
      </c>
      <c r="I2528" t="s">
        <v>4461</v>
      </c>
      <c r="J2528" t="s">
        <v>4462</v>
      </c>
      <c r="K2528" t="s">
        <v>35</v>
      </c>
      <c r="L2528" t="s">
        <v>30</v>
      </c>
      <c r="M2528" t="s">
        <v>31</v>
      </c>
      <c r="N2528" t="s">
        <v>36</v>
      </c>
      <c r="Q2528" s="4">
        <v>1</v>
      </c>
    </row>
    <row r="2529" spans="1:17" x14ac:dyDescent="0.55000000000000004">
      <c r="A2529" t="s">
        <v>5650</v>
      </c>
      <c r="C2529" t="s">
        <v>2667</v>
      </c>
      <c r="E2529" t="s">
        <v>29</v>
      </c>
      <c r="F2529" t="s">
        <v>30</v>
      </c>
      <c r="G2529" t="s">
        <v>31</v>
      </c>
      <c r="I2529" t="s">
        <v>4463</v>
      </c>
      <c r="J2529" t="s">
        <v>4464</v>
      </c>
      <c r="K2529" t="s">
        <v>35</v>
      </c>
      <c r="L2529" t="s">
        <v>30</v>
      </c>
      <c r="M2529" t="s">
        <v>31</v>
      </c>
      <c r="N2529" t="s">
        <v>36</v>
      </c>
      <c r="Q2529" s="4">
        <v>1</v>
      </c>
    </row>
    <row r="2530" spans="1:17" x14ac:dyDescent="0.55000000000000004">
      <c r="A2530" t="s">
        <v>5651</v>
      </c>
      <c r="C2530" t="s">
        <v>2667</v>
      </c>
      <c r="E2530" t="s">
        <v>29</v>
      </c>
      <c r="F2530" t="s">
        <v>30</v>
      </c>
      <c r="G2530" t="s">
        <v>31</v>
      </c>
      <c r="I2530" t="s">
        <v>4465</v>
      </c>
      <c r="J2530" t="s">
        <v>4466</v>
      </c>
      <c r="K2530" t="s">
        <v>35</v>
      </c>
      <c r="L2530" t="s">
        <v>30</v>
      </c>
      <c r="M2530" t="s">
        <v>31</v>
      </c>
      <c r="N2530" t="s">
        <v>36</v>
      </c>
      <c r="Q2530" s="4">
        <v>1</v>
      </c>
    </row>
    <row r="2531" spans="1:17" x14ac:dyDescent="0.55000000000000004">
      <c r="A2531" t="s">
        <v>5652</v>
      </c>
      <c r="C2531" t="s">
        <v>2667</v>
      </c>
      <c r="E2531" t="s">
        <v>29</v>
      </c>
      <c r="F2531" t="s">
        <v>30</v>
      </c>
      <c r="G2531" t="s">
        <v>31</v>
      </c>
      <c r="I2531" t="s">
        <v>4467</v>
      </c>
      <c r="J2531" t="s">
        <v>4468</v>
      </c>
      <c r="K2531" t="s">
        <v>35</v>
      </c>
      <c r="L2531" t="s">
        <v>30</v>
      </c>
      <c r="M2531" t="s">
        <v>31</v>
      </c>
      <c r="N2531" t="s">
        <v>36</v>
      </c>
      <c r="Q2531" s="4">
        <v>1</v>
      </c>
    </row>
    <row r="2532" spans="1:17" x14ac:dyDescent="0.55000000000000004">
      <c r="A2532" t="s">
        <v>5653</v>
      </c>
      <c r="C2532" t="s">
        <v>2667</v>
      </c>
      <c r="E2532" t="s">
        <v>29</v>
      </c>
      <c r="F2532" t="s">
        <v>30</v>
      </c>
      <c r="G2532" t="s">
        <v>31</v>
      </c>
      <c r="I2532" t="s">
        <v>4469</v>
      </c>
      <c r="J2532" t="s">
        <v>4470</v>
      </c>
      <c r="K2532" t="s">
        <v>35</v>
      </c>
      <c r="L2532" t="s">
        <v>30</v>
      </c>
      <c r="M2532" t="s">
        <v>31</v>
      </c>
      <c r="N2532" t="s">
        <v>4506</v>
      </c>
      <c r="Q2532" s="4">
        <v>1</v>
      </c>
    </row>
    <row r="2533" spans="1:17" x14ac:dyDescent="0.55000000000000004">
      <c r="A2533" t="s">
        <v>5654</v>
      </c>
      <c r="C2533" t="s">
        <v>2667</v>
      </c>
      <c r="E2533" t="s">
        <v>29</v>
      </c>
      <c r="F2533" t="s">
        <v>30</v>
      </c>
      <c r="G2533" t="s">
        <v>31</v>
      </c>
      <c r="I2533" t="s">
        <v>4472</v>
      </c>
      <c r="J2533" t="s">
        <v>4473</v>
      </c>
      <c r="K2533" t="s">
        <v>39</v>
      </c>
      <c r="L2533" t="s">
        <v>30</v>
      </c>
      <c r="M2533" t="s">
        <v>31</v>
      </c>
      <c r="N2533" t="s">
        <v>196</v>
      </c>
      <c r="Q2533" s="4">
        <v>1</v>
      </c>
    </row>
    <row r="2534" spans="1:17" x14ac:dyDescent="0.55000000000000004">
      <c r="A2534" t="s">
        <v>5655</v>
      </c>
      <c r="C2534" t="s">
        <v>2667</v>
      </c>
      <c r="E2534" t="s">
        <v>29</v>
      </c>
      <c r="F2534" t="s">
        <v>30</v>
      </c>
      <c r="G2534" t="s">
        <v>31</v>
      </c>
      <c r="I2534" t="s">
        <v>4474</v>
      </c>
      <c r="J2534" t="s">
        <v>4475</v>
      </c>
      <c r="K2534" t="s">
        <v>39</v>
      </c>
      <c r="L2534" t="s">
        <v>30</v>
      </c>
      <c r="M2534" t="s">
        <v>31</v>
      </c>
      <c r="N2534" t="s">
        <v>196</v>
      </c>
      <c r="Q2534" s="4">
        <v>1</v>
      </c>
    </row>
    <row r="2535" spans="1:17" x14ac:dyDescent="0.55000000000000004">
      <c r="A2535" t="s">
        <v>5656</v>
      </c>
      <c r="C2535" t="s">
        <v>2667</v>
      </c>
      <c r="E2535" t="s">
        <v>29</v>
      </c>
      <c r="F2535" t="s">
        <v>30</v>
      </c>
      <c r="G2535" t="s">
        <v>31</v>
      </c>
      <c r="I2535" t="s">
        <v>4484</v>
      </c>
      <c r="J2535" t="s">
        <v>4485</v>
      </c>
      <c r="K2535" t="s">
        <v>35</v>
      </c>
      <c r="L2535" t="s">
        <v>30</v>
      </c>
      <c r="M2535" t="s">
        <v>31</v>
      </c>
      <c r="N2535" t="s">
        <v>4506</v>
      </c>
      <c r="Q2535" s="4">
        <v>1</v>
      </c>
    </row>
    <row r="2536" spans="1:17" x14ac:dyDescent="0.55000000000000004">
      <c r="A2536" t="s">
        <v>5657</v>
      </c>
      <c r="C2536" t="s">
        <v>2667</v>
      </c>
      <c r="E2536" t="s">
        <v>29</v>
      </c>
      <c r="F2536" t="s">
        <v>30</v>
      </c>
      <c r="G2536" t="s">
        <v>31</v>
      </c>
      <c r="I2536" t="s">
        <v>4480</v>
      </c>
      <c r="J2536" t="s">
        <v>4481</v>
      </c>
      <c r="K2536" t="s">
        <v>35</v>
      </c>
      <c r="L2536" t="s">
        <v>30</v>
      </c>
      <c r="M2536" t="s">
        <v>31</v>
      </c>
      <c r="N2536" t="s">
        <v>4506</v>
      </c>
      <c r="Q2536" s="4">
        <v>1</v>
      </c>
    </row>
    <row r="2537" spans="1:17" x14ac:dyDescent="0.55000000000000004">
      <c r="A2537" t="s">
        <v>5658</v>
      </c>
      <c r="C2537" t="s">
        <v>2667</v>
      </c>
      <c r="E2537" t="s">
        <v>29</v>
      </c>
      <c r="F2537" t="s">
        <v>30</v>
      </c>
      <c r="G2537" t="s">
        <v>31</v>
      </c>
      <c r="I2537" t="s">
        <v>4488</v>
      </c>
      <c r="J2537" t="s">
        <v>4489</v>
      </c>
      <c r="K2537" t="s">
        <v>35</v>
      </c>
      <c r="L2537" t="s">
        <v>30</v>
      </c>
      <c r="M2537" t="s">
        <v>31</v>
      </c>
      <c r="N2537" t="s">
        <v>4506</v>
      </c>
      <c r="Q2537" s="4">
        <v>1</v>
      </c>
    </row>
    <row r="2538" spans="1:17" x14ac:dyDescent="0.55000000000000004">
      <c r="A2538" t="s">
        <v>5659</v>
      </c>
      <c r="C2538" t="s">
        <v>2667</v>
      </c>
      <c r="E2538" t="s">
        <v>29</v>
      </c>
      <c r="F2538" t="s">
        <v>30</v>
      </c>
      <c r="G2538" t="s">
        <v>31</v>
      </c>
      <c r="I2538" t="s">
        <v>4492</v>
      </c>
      <c r="J2538" t="s">
        <v>4493</v>
      </c>
      <c r="K2538" t="s">
        <v>35</v>
      </c>
      <c r="L2538" t="s">
        <v>30</v>
      </c>
      <c r="M2538" t="s">
        <v>31</v>
      </c>
      <c r="N2538" t="s">
        <v>4506</v>
      </c>
      <c r="Q2538" s="4">
        <v>1</v>
      </c>
    </row>
    <row r="2539" spans="1:17" x14ac:dyDescent="0.55000000000000004">
      <c r="A2539" t="s">
        <v>5660</v>
      </c>
      <c r="C2539" t="s">
        <v>2667</v>
      </c>
      <c r="E2539" t="s">
        <v>29</v>
      </c>
      <c r="F2539" t="s">
        <v>30</v>
      </c>
      <c r="G2539" t="s">
        <v>31</v>
      </c>
      <c r="I2539" t="s">
        <v>4494</v>
      </c>
      <c r="J2539" t="s">
        <v>4495</v>
      </c>
      <c r="K2539" t="s">
        <v>35</v>
      </c>
      <c r="L2539" t="s">
        <v>30</v>
      </c>
      <c r="M2539" t="s">
        <v>31</v>
      </c>
      <c r="N2539" t="s">
        <v>4506</v>
      </c>
      <c r="Q2539" s="4">
        <v>1</v>
      </c>
    </row>
    <row r="2540" spans="1:17" x14ac:dyDescent="0.55000000000000004">
      <c r="A2540" t="s">
        <v>5661</v>
      </c>
      <c r="C2540" t="s">
        <v>2667</v>
      </c>
      <c r="E2540" t="s">
        <v>29</v>
      </c>
      <c r="F2540" t="s">
        <v>30</v>
      </c>
      <c r="G2540" t="s">
        <v>31</v>
      </c>
      <c r="I2540" t="s">
        <v>4515</v>
      </c>
      <c r="J2540" t="s">
        <v>4516</v>
      </c>
      <c r="K2540" t="s">
        <v>35</v>
      </c>
      <c r="L2540" t="s">
        <v>30</v>
      </c>
      <c r="M2540" t="s">
        <v>31</v>
      </c>
      <c r="N2540" t="s">
        <v>4471</v>
      </c>
      <c r="Q2540" s="4">
        <v>1</v>
      </c>
    </row>
    <row r="2541" spans="1:17" x14ac:dyDescent="0.55000000000000004">
      <c r="A2541" t="s">
        <v>5662</v>
      </c>
      <c r="C2541" t="s">
        <v>2667</v>
      </c>
      <c r="E2541" t="s">
        <v>29</v>
      </c>
      <c r="F2541" t="s">
        <v>30</v>
      </c>
      <c r="G2541" t="s">
        <v>31</v>
      </c>
      <c r="I2541" t="s">
        <v>4517</v>
      </c>
      <c r="J2541" t="s">
        <v>4518</v>
      </c>
      <c r="K2541" t="s">
        <v>35</v>
      </c>
      <c r="L2541" t="s">
        <v>30</v>
      </c>
      <c r="M2541" t="s">
        <v>31</v>
      </c>
      <c r="N2541" t="s">
        <v>4471</v>
      </c>
      <c r="Q2541" s="4">
        <v>1</v>
      </c>
    </row>
    <row r="2542" spans="1:17" x14ac:dyDescent="0.55000000000000004">
      <c r="A2542" t="s">
        <v>5663</v>
      </c>
      <c r="C2542" t="s">
        <v>2667</v>
      </c>
      <c r="E2542" t="s">
        <v>29</v>
      </c>
      <c r="F2542" t="s">
        <v>30</v>
      </c>
      <c r="G2542" t="s">
        <v>31</v>
      </c>
      <c r="I2542" t="s">
        <v>4519</v>
      </c>
      <c r="J2542" t="s">
        <v>4520</v>
      </c>
      <c r="K2542" t="s">
        <v>35</v>
      </c>
      <c r="L2542" t="s">
        <v>30</v>
      </c>
      <c r="M2542" t="s">
        <v>31</v>
      </c>
      <c r="N2542" t="s">
        <v>4471</v>
      </c>
      <c r="Q2542" s="4">
        <v>1</v>
      </c>
    </row>
    <row r="2543" spans="1:17" x14ac:dyDescent="0.55000000000000004">
      <c r="A2543" t="s">
        <v>5664</v>
      </c>
      <c r="C2543" t="s">
        <v>2667</v>
      </c>
      <c r="E2543" t="s">
        <v>29</v>
      </c>
      <c r="F2543" t="s">
        <v>30</v>
      </c>
      <c r="G2543" t="s">
        <v>31</v>
      </c>
      <c r="I2543" t="s">
        <v>4531</v>
      </c>
      <c r="J2543" t="s">
        <v>4532</v>
      </c>
      <c r="K2543" t="s">
        <v>35</v>
      </c>
      <c r="L2543" t="s">
        <v>30</v>
      </c>
      <c r="M2543" t="s">
        <v>31</v>
      </c>
      <c r="N2543" t="s">
        <v>4471</v>
      </c>
      <c r="Q2543" s="4">
        <v>1</v>
      </c>
    </row>
    <row r="2544" spans="1:17" x14ac:dyDescent="0.55000000000000004">
      <c r="A2544" t="s">
        <v>5665</v>
      </c>
      <c r="C2544" t="s">
        <v>2667</v>
      </c>
      <c r="E2544" t="s">
        <v>29</v>
      </c>
      <c r="F2544" t="s">
        <v>30</v>
      </c>
      <c r="G2544" t="s">
        <v>31</v>
      </c>
      <c r="I2544" t="s">
        <v>4524</v>
      </c>
      <c r="J2544" t="s">
        <v>4525</v>
      </c>
      <c r="K2544" t="s">
        <v>35</v>
      </c>
      <c r="L2544" t="s">
        <v>30</v>
      </c>
      <c r="M2544" t="s">
        <v>31</v>
      </c>
      <c r="N2544" t="s">
        <v>4471</v>
      </c>
      <c r="Q2544" s="4">
        <v>1</v>
      </c>
    </row>
    <row r="2545" spans="1:17" x14ac:dyDescent="0.55000000000000004">
      <c r="A2545" t="s">
        <v>5666</v>
      </c>
      <c r="C2545" t="s">
        <v>2667</v>
      </c>
      <c r="E2545" t="s">
        <v>29</v>
      </c>
      <c r="F2545" t="s">
        <v>30</v>
      </c>
      <c r="G2545" t="s">
        <v>31</v>
      </c>
      <c r="I2545" t="s">
        <v>4526</v>
      </c>
      <c r="J2545" t="s">
        <v>4527</v>
      </c>
      <c r="K2545" t="s">
        <v>35</v>
      </c>
      <c r="L2545" t="s">
        <v>30</v>
      </c>
      <c r="M2545" t="s">
        <v>31</v>
      </c>
      <c r="N2545" t="s">
        <v>4471</v>
      </c>
      <c r="Q2545" s="4">
        <v>1</v>
      </c>
    </row>
  </sheetData>
  <autoFilter ref="A3:R4922" xr:uid="{0405A18A-4B89-45FF-B9A3-66E6C9B28C15}"/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共通BOP_mbom(ボルト)_名称付与済み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芦原 顕一</dc:creator>
  <cp:lastModifiedBy>芦原 顕一</cp:lastModifiedBy>
  <dcterms:created xsi:type="dcterms:W3CDTF">2025-07-18T12:44:57Z</dcterms:created>
  <dcterms:modified xsi:type="dcterms:W3CDTF">2025-08-22T07:33:50Z</dcterms:modified>
</cp:coreProperties>
</file>
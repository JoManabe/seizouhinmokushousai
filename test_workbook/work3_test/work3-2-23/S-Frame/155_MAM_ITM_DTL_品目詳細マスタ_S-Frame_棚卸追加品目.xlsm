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S:\HERP\01_リプラン\002_業務要件定義（ToBe）\02_PLM_Obbligato\02_BOM\02_検討資料\E-BOMマスター\00_マスタ作業用\品目詳細\棚卸追加品目詳細\"/>
    </mc:Choice>
  </mc:AlternateContent>
  <xr:revisionPtr revIDLastSave="0" documentId="13_ncr:1_{E6720F42-C9D0-44A5-99F6-17F0417194F8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Sheet0" sheetId="1" r:id="rId1"/>
    <sheet name="Sheet1" sheetId="2" r:id="rId2"/>
  </sheets>
  <definedNames>
    <definedName name="_xlnm._FilterDatabase" localSheetId="0" hidden="1">Sheet0!$A$2:$BM$43</definedName>
    <definedName name="_xleta.AND" hidden="1" xlm="1">#NAME?</definedName>
    <definedName name="_xleta.IF" hidden="1" xlm="1">#NAME?</definedName>
    <definedName name="_xleta.LEF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3" i="1" l="1"/>
  <c r="E43" i="1"/>
  <c r="BM29" i="1" a="1"/>
  <c r="BM29" i="1" s="1"/>
  <c r="BD29" i="1"/>
  <c r="AU29" i="1"/>
  <c r="AK29" i="1" a="1"/>
  <c r="AK29" i="1" s="1"/>
  <c r="AF29" i="1"/>
  <c r="AC29" i="1"/>
  <c r="AB29" i="1"/>
  <c r="S29" i="1" a="1"/>
  <c r="S29" i="1" s="1"/>
  <c r="AS29" i="1"/>
  <c r="N29" i="1"/>
  <c r="M29" i="1"/>
  <c r="L29" i="1"/>
  <c r="K29" i="1"/>
  <c r="H29" i="1" a="1"/>
  <c r="H29" i="1" s="1"/>
  <c r="R29" i="1" s="1"/>
  <c r="E29" i="1"/>
  <c r="D29" i="1"/>
  <c r="A29" i="1"/>
  <c r="BM28" i="1" a="1"/>
  <c r="BM28" i="1" s="1"/>
  <c r="BD28" i="1"/>
  <c r="AU28" i="1"/>
  <c r="AK28" i="1" a="1"/>
  <c r="AK28" i="1" s="1"/>
  <c r="AF28" i="1"/>
  <c r="AC28" i="1"/>
  <c r="AB28" i="1"/>
  <c r="S28" i="1" a="1"/>
  <c r="S28" i="1" s="1"/>
  <c r="AS28" i="1"/>
  <c r="N28" i="1"/>
  <c r="M28" i="1"/>
  <c r="L28" i="1"/>
  <c r="K28" i="1"/>
  <c r="H28" i="1" a="1"/>
  <c r="H28" i="1" s="1"/>
  <c r="R28" i="1" s="1"/>
  <c r="E28" i="1"/>
  <c r="D28" i="1"/>
  <c r="A28" i="1"/>
  <c r="BM27" i="1" a="1"/>
  <c r="BM27" i="1" s="1"/>
  <c r="BD27" i="1"/>
  <c r="AU27" i="1"/>
  <c r="AK27" i="1" a="1"/>
  <c r="AK27" i="1" s="1"/>
  <c r="AF27" i="1"/>
  <c r="AC27" i="1"/>
  <c r="AB27" i="1"/>
  <c r="S27" i="1" a="1"/>
  <c r="S27" i="1" s="1"/>
  <c r="AS27" i="1"/>
  <c r="N27" i="1"/>
  <c r="M27" i="1"/>
  <c r="L27" i="1"/>
  <c r="K27" i="1"/>
  <c r="H27" i="1" a="1"/>
  <c r="H27" i="1" s="1"/>
  <c r="R27" i="1" s="1"/>
  <c r="E27" i="1"/>
  <c r="D27" i="1"/>
  <c r="A27" i="1"/>
  <c r="BM31" i="1" a="1"/>
  <c r="BM31" i="1" s="1"/>
  <c r="BD31" i="1"/>
  <c r="AU31" i="1"/>
  <c r="AK31" i="1" a="1"/>
  <c r="AK31" i="1" s="1"/>
  <c r="AF31" i="1"/>
  <c r="AC31" i="1"/>
  <c r="AB31" i="1"/>
  <c r="S31" i="1" a="1"/>
  <c r="S31" i="1" s="1"/>
  <c r="AS31" i="1"/>
  <c r="O31" i="1"/>
  <c r="N31" i="1"/>
  <c r="M31" i="1"/>
  <c r="L31" i="1"/>
  <c r="K31" i="1"/>
  <c r="E31" i="1"/>
  <c r="D31" i="1"/>
  <c r="A31" i="1"/>
  <c r="BM25" i="1" a="1"/>
  <c r="BM25" i="1" s="1"/>
  <c r="BD25" i="1"/>
  <c r="AU25" i="1"/>
  <c r="AK25" i="1" a="1"/>
  <c r="AK25" i="1" s="1"/>
  <c r="AC25" i="1"/>
  <c r="AB25" i="1"/>
  <c r="S25" i="1" a="1"/>
  <c r="S25" i="1" s="1"/>
  <c r="AS25" i="1"/>
  <c r="O25" i="1"/>
  <c r="N25" i="1"/>
  <c r="M25" i="1"/>
  <c r="L25" i="1"/>
  <c r="K25" i="1"/>
  <c r="E25" i="1"/>
  <c r="D25" i="1"/>
  <c r="A25" i="1"/>
  <c r="BM24" i="1" a="1"/>
  <c r="BM24" i="1" s="1"/>
  <c r="BD24" i="1"/>
  <c r="AU24" i="1"/>
  <c r="AK24" i="1" a="1"/>
  <c r="AK24" i="1" s="1"/>
  <c r="AF24" i="1"/>
  <c r="AC24" i="1"/>
  <c r="AB24" i="1"/>
  <c r="S24" i="1" a="1"/>
  <c r="S24" i="1" s="1"/>
  <c r="AS24" i="1"/>
  <c r="O24" i="1"/>
  <c r="N24" i="1"/>
  <c r="M24" i="1"/>
  <c r="L24" i="1"/>
  <c r="K24" i="1"/>
  <c r="E24" i="1"/>
  <c r="D24" i="1"/>
  <c r="A24" i="1"/>
  <c r="BM23" i="1" a="1"/>
  <c r="BM23" i="1" s="1"/>
  <c r="BD23" i="1"/>
  <c r="AU23" i="1"/>
  <c r="AK23" i="1" a="1"/>
  <c r="AK23" i="1" s="1"/>
  <c r="AF23" i="1"/>
  <c r="AC23" i="1"/>
  <c r="AB23" i="1"/>
  <c r="S23" i="1" a="1"/>
  <c r="S23" i="1" s="1"/>
  <c r="AS23" i="1"/>
  <c r="O23" i="1"/>
  <c r="N23" i="1"/>
  <c r="M23" i="1"/>
  <c r="L23" i="1"/>
  <c r="K23" i="1"/>
  <c r="E23" i="1"/>
  <c r="D23" i="1"/>
  <c r="A23" i="1"/>
  <c r="BM21" i="1" a="1"/>
  <c r="BM21" i="1" s="1"/>
  <c r="BD21" i="1"/>
  <c r="AU21" i="1"/>
  <c r="AK21" i="1" a="1"/>
  <c r="AK21" i="1" s="1"/>
  <c r="AC21" i="1"/>
  <c r="AB21" i="1"/>
  <c r="S21" i="1" a="1"/>
  <c r="S21" i="1" s="1"/>
  <c r="AS21" i="1"/>
  <c r="O21" i="1"/>
  <c r="N21" i="1"/>
  <c r="M21" i="1"/>
  <c r="L21" i="1"/>
  <c r="K21" i="1"/>
  <c r="E21" i="1"/>
  <c r="D21" i="1"/>
  <c r="A21" i="1"/>
  <c r="BM20" i="1" a="1"/>
  <c r="BM20" i="1" s="1"/>
  <c r="BD20" i="1"/>
  <c r="AU20" i="1"/>
  <c r="AK20" i="1" a="1"/>
  <c r="AK20" i="1" s="1"/>
  <c r="AF20" i="1"/>
  <c r="AC20" i="1"/>
  <c r="AB20" i="1"/>
  <c r="S20" i="1" a="1"/>
  <c r="S20" i="1" s="1"/>
  <c r="AS20" i="1"/>
  <c r="O20" i="1"/>
  <c r="N20" i="1"/>
  <c r="M20" i="1"/>
  <c r="L20" i="1"/>
  <c r="K20" i="1"/>
  <c r="E20" i="1"/>
  <c r="D20" i="1"/>
  <c r="A20" i="1"/>
  <c r="BM19" i="1" a="1"/>
  <c r="BM19" i="1" s="1"/>
  <c r="BD19" i="1"/>
  <c r="AU19" i="1"/>
  <c r="AK19" i="1" a="1"/>
  <c r="AK19" i="1" s="1"/>
  <c r="AF19" i="1"/>
  <c r="AC19" i="1"/>
  <c r="AB19" i="1"/>
  <c r="S19" i="1" a="1"/>
  <c r="S19" i="1" s="1"/>
  <c r="AS19" i="1"/>
  <c r="O19" i="1"/>
  <c r="N19" i="1"/>
  <c r="M19" i="1"/>
  <c r="L19" i="1"/>
  <c r="K19" i="1"/>
  <c r="E19" i="1"/>
  <c r="D19" i="1"/>
  <c r="A19" i="1"/>
  <c r="BM16" i="1" a="1"/>
  <c r="BM16" i="1" s="1"/>
  <c r="BD16" i="1"/>
  <c r="AU16" i="1"/>
  <c r="AK16" i="1" a="1"/>
  <c r="AK16" i="1" s="1"/>
  <c r="AC16" i="1"/>
  <c r="AB16" i="1"/>
  <c r="S16" i="1" a="1"/>
  <c r="S16" i="1" s="1"/>
  <c r="AS16" i="1"/>
  <c r="O16" i="1"/>
  <c r="N16" i="1"/>
  <c r="M16" i="1"/>
  <c r="L16" i="1"/>
  <c r="K16" i="1"/>
  <c r="E16" i="1"/>
  <c r="D16" i="1"/>
  <c r="A16" i="1"/>
  <c r="BM15" i="1" a="1"/>
  <c r="BM15" i="1" s="1"/>
  <c r="BD15" i="1"/>
  <c r="AU15" i="1"/>
  <c r="AK15" i="1" a="1"/>
  <c r="AK15" i="1" s="1"/>
  <c r="AF15" i="1"/>
  <c r="AC15" i="1"/>
  <c r="AB15" i="1"/>
  <c r="S15" i="1" a="1"/>
  <c r="S15" i="1" s="1"/>
  <c r="AS15" i="1"/>
  <c r="O15" i="1"/>
  <c r="N15" i="1"/>
  <c r="M15" i="1"/>
  <c r="L15" i="1"/>
  <c r="K15" i="1"/>
  <c r="E15" i="1"/>
  <c r="D15" i="1"/>
  <c r="A15" i="1"/>
  <c r="BM14" i="1" a="1"/>
  <c r="BM14" i="1" s="1"/>
  <c r="BD14" i="1"/>
  <c r="AU14" i="1"/>
  <c r="AK14" i="1" a="1"/>
  <c r="AK14" i="1" s="1"/>
  <c r="AF14" i="1"/>
  <c r="AC14" i="1"/>
  <c r="AB14" i="1"/>
  <c r="S14" i="1" a="1"/>
  <c r="S14" i="1" s="1"/>
  <c r="AS14" i="1"/>
  <c r="O14" i="1"/>
  <c r="N14" i="1"/>
  <c r="M14" i="1"/>
  <c r="L14" i="1"/>
  <c r="K14" i="1"/>
  <c r="E14" i="1"/>
  <c r="D14" i="1"/>
  <c r="A14" i="1"/>
  <c r="BM11" i="1" a="1"/>
  <c r="BM11" i="1" s="1"/>
  <c r="BD11" i="1"/>
  <c r="AU11" i="1"/>
  <c r="AK11" i="1" a="1"/>
  <c r="AK11" i="1" s="1"/>
  <c r="AC11" i="1"/>
  <c r="AB11" i="1"/>
  <c r="S11" i="1" a="1"/>
  <c r="S11" i="1" s="1"/>
  <c r="AS11" i="1"/>
  <c r="O11" i="1"/>
  <c r="N11" i="1"/>
  <c r="M11" i="1"/>
  <c r="L11" i="1"/>
  <c r="K11" i="1"/>
  <c r="E11" i="1"/>
  <c r="D11" i="1"/>
  <c r="A11" i="1"/>
  <c r="BM10" i="1" a="1"/>
  <c r="BM10" i="1" s="1"/>
  <c r="BD10" i="1"/>
  <c r="AU10" i="1"/>
  <c r="AK10" i="1" a="1"/>
  <c r="AK10" i="1" s="1"/>
  <c r="AF10" i="1"/>
  <c r="AC10" i="1"/>
  <c r="AB10" i="1"/>
  <c r="S10" i="1" a="1"/>
  <c r="S10" i="1" s="1"/>
  <c r="AS10" i="1"/>
  <c r="O10" i="1"/>
  <c r="N10" i="1"/>
  <c r="M10" i="1"/>
  <c r="L10" i="1"/>
  <c r="K10" i="1"/>
  <c r="E10" i="1"/>
  <c r="D10" i="1"/>
  <c r="A10" i="1"/>
  <c r="BM9" i="1" a="1"/>
  <c r="BM9" i="1" s="1"/>
  <c r="BD9" i="1"/>
  <c r="AU9" i="1"/>
  <c r="AK9" i="1" a="1"/>
  <c r="AK9" i="1" s="1"/>
  <c r="AF9" i="1"/>
  <c r="AC9" i="1"/>
  <c r="AB9" i="1"/>
  <c r="S9" i="1" a="1"/>
  <c r="S9" i="1" s="1"/>
  <c r="AS9" i="1"/>
  <c r="O9" i="1"/>
  <c r="N9" i="1"/>
  <c r="M9" i="1"/>
  <c r="L9" i="1"/>
  <c r="K9" i="1"/>
  <c r="E9" i="1"/>
  <c r="D9" i="1"/>
  <c r="A9" i="1"/>
  <c r="BM6" i="1" a="1"/>
  <c r="BM6" i="1" s="1"/>
  <c r="BD6" i="1"/>
  <c r="AU6" i="1"/>
  <c r="AK6" i="1" a="1"/>
  <c r="AK6" i="1" s="1"/>
  <c r="AC6" i="1"/>
  <c r="AB6" i="1"/>
  <c r="S6" i="1" a="1"/>
  <c r="S6" i="1" s="1"/>
  <c r="AS6" i="1"/>
  <c r="O6" i="1"/>
  <c r="N6" i="1"/>
  <c r="M6" i="1"/>
  <c r="L6" i="1"/>
  <c r="K6" i="1"/>
  <c r="E6" i="1"/>
  <c r="D6" i="1"/>
  <c r="A6" i="1"/>
  <c r="BM5" i="1" a="1"/>
  <c r="BM5" i="1" s="1"/>
  <c r="BD5" i="1"/>
  <c r="AU5" i="1"/>
  <c r="AK5" i="1" a="1"/>
  <c r="AK5" i="1" s="1"/>
  <c r="AF5" i="1"/>
  <c r="AC5" i="1"/>
  <c r="AB5" i="1"/>
  <c r="S5" i="1" a="1"/>
  <c r="S5" i="1" s="1"/>
  <c r="AS5" i="1"/>
  <c r="O5" i="1"/>
  <c r="N5" i="1"/>
  <c r="M5" i="1"/>
  <c r="L5" i="1"/>
  <c r="K5" i="1"/>
  <c r="E5" i="1"/>
  <c r="D5" i="1"/>
  <c r="A5" i="1"/>
  <c r="BM4" i="1" a="1"/>
  <c r="BM4" i="1" s="1"/>
  <c r="BD4" i="1"/>
  <c r="AU4" i="1"/>
  <c r="AK4" i="1" a="1"/>
  <c r="AK4" i="1" s="1"/>
  <c r="AF4" i="1"/>
  <c r="AC4" i="1"/>
  <c r="AB4" i="1"/>
  <c r="S4" i="1" a="1"/>
  <c r="S4" i="1" s="1"/>
  <c r="AS4" i="1"/>
  <c r="O4" i="1"/>
  <c r="N4" i="1"/>
  <c r="M4" i="1"/>
  <c r="L4" i="1"/>
  <c r="K4" i="1"/>
  <c r="E4" i="1"/>
  <c r="D4" i="1"/>
  <c r="A4" i="1"/>
  <c r="BM3" i="1" a="1"/>
  <c r="BM3" i="1" s="1"/>
  <c r="H3" i="1" a="1"/>
  <c r="H3" i="1" s="1"/>
  <c r="R3" i="1" s="1"/>
  <c r="S7" i="1" a="1"/>
  <c r="S7" i="1" s="1"/>
  <c r="S12" i="1" a="1"/>
  <c r="S12" i="1" s="1"/>
  <c r="S17" i="1" a="1"/>
  <c r="S17" i="1" s="1"/>
  <c r="S22" i="1" a="1"/>
  <c r="S22" i="1" s="1"/>
  <c r="S26" i="1" a="1"/>
  <c r="S26" i="1" s="1"/>
  <c r="S30" i="1" a="1"/>
  <c r="S30" i="1" s="1"/>
  <c r="S43" i="1" a="1"/>
  <c r="S43" i="1" s="1"/>
  <c r="AF3" i="1"/>
  <c r="Q3" i="1" a="1"/>
  <c r="Q3" i="1" s="1"/>
  <c r="BM12" i="1" a="1"/>
  <c r="BM12" i="1" s="1"/>
  <c r="BD12" i="1"/>
  <c r="AU12" i="1"/>
  <c r="AK12" i="1" a="1"/>
  <c r="AK12" i="1" s="1"/>
  <c r="AF12" i="1"/>
  <c r="AC12" i="1"/>
  <c r="AB12" i="1"/>
  <c r="AS12" i="1"/>
  <c r="O12" i="1"/>
  <c r="N12" i="1"/>
  <c r="M12" i="1"/>
  <c r="L12" i="1"/>
  <c r="K12" i="1"/>
  <c r="E12" i="1"/>
  <c r="D12" i="1"/>
  <c r="A12" i="1"/>
  <c r="BM13" i="1" a="1"/>
  <c r="BM13" i="1" s="1"/>
  <c r="BD13" i="1"/>
  <c r="AU13" i="1"/>
  <c r="AK13" i="1" a="1"/>
  <c r="AK13" i="1" s="1"/>
  <c r="AF13" i="1"/>
  <c r="AC13" i="1"/>
  <c r="AB13" i="1"/>
  <c r="Q13" i="1" a="1"/>
  <c r="Q13" i="1" s="1"/>
  <c r="AS13" i="1" s="1"/>
  <c r="M13" i="1"/>
  <c r="L13" i="1"/>
  <c r="K13" i="1"/>
  <c r="N13" i="1" s="1"/>
  <c r="H13" i="1" a="1"/>
  <c r="H13" i="1" s="1"/>
  <c r="R13" i="1" s="1"/>
  <c r="E13" i="1"/>
  <c r="D13" i="1"/>
  <c r="A13" i="1"/>
  <c r="BM17" i="1" a="1"/>
  <c r="BM17" i="1" s="1"/>
  <c r="BD17" i="1"/>
  <c r="AU17" i="1"/>
  <c r="AK17" i="1" a="1"/>
  <c r="AK17" i="1" s="1"/>
  <c r="AF17" i="1"/>
  <c r="AC17" i="1"/>
  <c r="AB17" i="1"/>
  <c r="AS17" i="1"/>
  <c r="O17" i="1"/>
  <c r="N17" i="1"/>
  <c r="M17" i="1"/>
  <c r="L17" i="1"/>
  <c r="K17" i="1"/>
  <c r="E17" i="1"/>
  <c r="D17" i="1"/>
  <c r="A17" i="1"/>
  <c r="E18" i="1"/>
  <c r="D18" i="1"/>
  <c r="E8" i="1"/>
  <c r="D8" i="1"/>
  <c r="E7" i="1"/>
  <c r="D7" i="1"/>
  <c r="E3" i="1"/>
  <c r="D3" i="1"/>
  <c r="AB7" i="1"/>
  <c r="AC7" i="1"/>
  <c r="AB8" i="1"/>
  <c r="AC8" i="1"/>
  <c r="AB18" i="1"/>
  <c r="AC18" i="1"/>
  <c r="AB22" i="1"/>
  <c r="AC22" i="1"/>
  <c r="AB26" i="1"/>
  <c r="AC26" i="1"/>
  <c r="AB30" i="1"/>
  <c r="AC30" i="1"/>
  <c r="AB32" i="1"/>
  <c r="AC32" i="1"/>
  <c r="AB33" i="1"/>
  <c r="AC33" i="1"/>
  <c r="AB34" i="1"/>
  <c r="AC34" i="1"/>
  <c r="AB35" i="1"/>
  <c r="AC35" i="1"/>
  <c r="AB36" i="1"/>
  <c r="AC36" i="1"/>
  <c r="AB37" i="1"/>
  <c r="AC37" i="1"/>
  <c r="AB38" i="1"/>
  <c r="AC38" i="1"/>
  <c r="AB39" i="1"/>
  <c r="AC39" i="1"/>
  <c r="AB40" i="1"/>
  <c r="AC40" i="1"/>
  <c r="AB41" i="1"/>
  <c r="AC41" i="1"/>
  <c r="AB42" i="1"/>
  <c r="AC42" i="1"/>
  <c r="AA43" i="1"/>
  <c r="AB43" i="1"/>
  <c r="AC43" i="1"/>
  <c r="AC3" i="1"/>
  <c r="AB3" i="1"/>
  <c r="BM43" i="1" a="1"/>
  <c r="BM43" i="1" s="1"/>
  <c r="BM42" i="1" a="1"/>
  <c r="BM42" i="1" s="1"/>
  <c r="BM41" i="1" a="1"/>
  <c r="BM41" i="1" s="1"/>
  <c r="BM40" i="1" a="1"/>
  <c r="BM40" i="1" s="1"/>
  <c r="BM39" i="1" a="1"/>
  <c r="BM39" i="1" s="1"/>
  <c r="BM38" i="1" a="1"/>
  <c r="BM38" i="1" s="1"/>
  <c r="BM37" i="1" a="1"/>
  <c r="BM37" i="1" s="1"/>
  <c r="BM36" i="1" a="1"/>
  <c r="BM36" i="1" s="1"/>
  <c r="BM35" i="1" a="1"/>
  <c r="BM35" i="1" s="1"/>
  <c r="BM34" i="1" a="1"/>
  <c r="BM34" i="1" s="1"/>
  <c r="BM33" i="1" a="1"/>
  <c r="BM33" i="1" s="1"/>
  <c r="BM32" i="1" a="1"/>
  <c r="BM32" i="1" s="1"/>
  <c r="BM30" i="1" a="1"/>
  <c r="BM30" i="1" s="1"/>
  <c r="BM26" i="1" a="1"/>
  <c r="BM26" i="1" s="1"/>
  <c r="BM22" i="1" a="1"/>
  <c r="BM22" i="1" s="1"/>
  <c r="BM18" i="1" a="1"/>
  <c r="BM18" i="1" s="1"/>
  <c r="H8" i="1" l="1" a="1"/>
  <c r="H8" i="1" s="1"/>
  <c r="R8" i="1" s="1"/>
  <c r="BM7" i="1" a="1"/>
  <c r="BM7" i="1" s="1"/>
  <c r="BM8" i="1" a="1"/>
  <c r="BM8" i="1" s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0" i="1"/>
  <c r="D30" i="1"/>
  <c r="E26" i="1"/>
  <c r="D26" i="1"/>
  <c r="E22" i="1"/>
  <c r="D22" i="1"/>
  <c r="BD7" i="1"/>
  <c r="AU7" i="1"/>
  <c r="AK7" i="1" a="1"/>
  <c r="AK7" i="1" s="1"/>
  <c r="AF7" i="1"/>
  <c r="AS7" i="1"/>
  <c r="O7" i="1"/>
  <c r="M7" i="1"/>
  <c r="L7" i="1"/>
  <c r="K7" i="1"/>
  <c r="N7" i="1" s="1"/>
  <c r="A7" i="1"/>
  <c r="Q36" i="1" a="1"/>
  <c r="Q36" i="1" s="1"/>
  <c r="Q35" i="1" a="1"/>
  <c r="Q35" i="1" s="1"/>
  <c r="Q42" i="1" a="1"/>
  <c r="Q42" i="1" s="1"/>
  <c r="Q41" i="1" a="1"/>
  <c r="Q41" i="1" s="1"/>
  <c r="Q39" i="1" a="1"/>
  <c r="Q39" i="1" s="1"/>
  <c r="Q38" i="1" a="1"/>
  <c r="Q38" i="1" s="1"/>
  <c r="Q34" i="1" a="1"/>
  <c r="Q34" i="1" s="1"/>
  <c r="Q33" i="1" a="1"/>
  <c r="Q33" i="1" s="1"/>
  <c r="Q32" i="1" a="1"/>
  <c r="Q32" i="1" s="1"/>
  <c r="Q18" i="1" a="1"/>
  <c r="Q18" i="1" s="1"/>
  <c r="Q8" i="1" a="1"/>
  <c r="Q8" i="1" s="1"/>
  <c r="Q43" i="1" a="1"/>
  <c r="Q43" i="1" s="1"/>
  <c r="Q40" i="1" a="1"/>
  <c r="Q40" i="1" s="1"/>
  <c r="Q37" i="1" a="1"/>
  <c r="Q37" i="1" s="1"/>
  <c r="O43" i="1" l="1"/>
  <c r="O26" i="1"/>
  <c r="O22" i="1"/>
  <c r="H43" i="1" l="1" a="1"/>
  <c r="H43" i="1" s="1"/>
  <c r="R43" i="1" s="1"/>
  <c r="H42" i="1" a="1"/>
  <c r="H42" i="1" s="1"/>
  <c r="R42" i="1" s="1"/>
  <c r="H41" i="1" a="1"/>
  <c r="H41" i="1" s="1"/>
  <c r="R41" i="1" s="1"/>
  <c r="H40" i="1" a="1"/>
  <c r="H40" i="1" s="1"/>
  <c r="R40" i="1" s="1"/>
  <c r="H39" i="1" a="1"/>
  <c r="H39" i="1" s="1"/>
  <c r="R39" i="1" s="1"/>
  <c r="H38" i="1" a="1"/>
  <c r="H38" i="1" s="1"/>
  <c r="R38" i="1" s="1"/>
  <c r="H37" i="1" a="1"/>
  <c r="H37" i="1" s="1"/>
  <c r="R37" i="1" s="1"/>
  <c r="H36" i="1" a="1"/>
  <c r="H36" i="1" s="1"/>
  <c r="R36" i="1" s="1"/>
  <c r="H35" i="1" a="1"/>
  <c r="H35" i="1" s="1"/>
  <c r="R35" i="1" s="1"/>
  <c r="H34" i="1" a="1"/>
  <c r="H34" i="1" s="1"/>
  <c r="R34" i="1" s="1"/>
  <c r="H33" i="1" a="1"/>
  <c r="H33" i="1" s="1"/>
  <c r="R33" i="1" s="1"/>
  <c r="H32" i="1" a="1"/>
  <c r="H32" i="1" s="1"/>
  <c r="R32" i="1" s="1"/>
  <c r="H30" i="1" a="1"/>
  <c r="H30" i="1" s="1"/>
  <c r="R30" i="1" s="1"/>
  <c r="H18" i="1" a="1"/>
  <c r="H18" i="1" s="1"/>
  <c r="R18" i="1" s="1"/>
  <c r="AS41" i="1"/>
  <c r="AS40" i="1"/>
  <c r="AS39" i="1"/>
  <c r="AS38" i="1"/>
  <c r="AS34" i="1"/>
  <c r="AS8" i="1"/>
  <c r="AK43" i="1" a="1"/>
  <c r="AK43" i="1" s="1"/>
  <c r="AK42" i="1" a="1"/>
  <c r="AK42" i="1" s="1"/>
  <c r="AK41" i="1" a="1"/>
  <c r="AK41" i="1" s="1"/>
  <c r="AK40" i="1" a="1"/>
  <c r="AK40" i="1" s="1"/>
  <c r="AK39" i="1" a="1"/>
  <c r="AK39" i="1" s="1"/>
  <c r="AK38" i="1" a="1"/>
  <c r="AK38" i="1" s="1"/>
  <c r="AK37" i="1" a="1"/>
  <c r="AK37" i="1" s="1"/>
  <c r="AK36" i="1" a="1"/>
  <c r="AK36" i="1" s="1"/>
  <c r="AK35" i="1" a="1"/>
  <c r="AK35" i="1" s="1"/>
  <c r="AK34" i="1" a="1"/>
  <c r="AK34" i="1" s="1"/>
  <c r="AK33" i="1" a="1"/>
  <c r="AK33" i="1" s="1"/>
  <c r="AK32" i="1" a="1"/>
  <c r="AK32" i="1" s="1"/>
  <c r="AK30" i="1" a="1"/>
  <c r="AK30" i="1" s="1"/>
  <c r="AK26" i="1" a="1"/>
  <c r="AK26" i="1" s="1"/>
  <c r="AK22" i="1" a="1"/>
  <c r="AK22" i="1" s="1"/>
  <c r="AK18" i="1" a="1"/>
  <c r="AK18" i="1" s="1"/>
  <c r="AK8" i="1" a="1"/>
  <c r="AK8" i="1" s="1"/>
  <c r="AK3" i="1" a="1"/>
  <c r="AK3" i="1" s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0" i="1"/>
  <c r="BD26" i="1"/>
  <c r="BD22" i="1"/>
  <c r="BD18" i="1"/>
  <c r="BD8" i="1"/>
  <c r="AU43" i="1"/>
  <c r="AS43" i="1"/>
  <c r="AU42" i="1"/>
  <c r="AS42" i="1"/>
  <c r="AU41" i="1"/>
  <c r="AU40" i="1"/>
  <c r="AU39" i="1"/>
  <c r="AU38" i="1"/>
  <c r="AU37" i="1"/>
  <c r="AS37" i="1"/>
  <c r="AU36" i="1"/>
  <c r="AS36" i="1"/>
  <c r="AU35" i="1"/>
  <c r="AS35" i="1"/>
  <c r="AU34" i="1"/>
  <c r="AU33" i="1"/>
  <c r="AS33" i="1"/>
  <c r="AU32" i="1"/>
  <c r="AS32" i="1"/>
  <c r="AU30" i="1"/>
  <c r="AS30" i="1"/>
  <c r="AU26" i="1"/>
  <c r="AS26" i="1"/>
  <c r="AU22" i="1"/>
  <c r="AS22" i="1"/>
  <c r="AU18" i="1"/>
  <c r="AS18" i="1"/>
  <c r="AU8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0" i="1"/>
  <c r="AF26" i="1"/>
  <c r="AF22" i="1"/>
  <c r="AF18" i="1"/>
  <c r="AF8" i="1"/>
  <c r="N43" i="1" l="1"/>
  <c r="N30" i="1"/>
  <c r="N26" i="1"/>
  <c r="N22" i="1"/>
  <c r="K43" i="1"/>
  <c r="K42" i="1"/>
  <c r="N42" i="1" s="1"/>
  <c r="K41" i="1"/>
  <c r="N41" i="1" s="1"/>
  <c r="K40" i="1"/>
  <c r="N40" i="1" s="1"/>
  <c r="K39" i="1"/>
  <c r="N39" i="1" s="1"/>
  <c r="K38" i="1"/>
  <c r="N38" i="1" s="1"/>
  <c r="K37" i="1"/>
  <c r="N37" i="1" s="1"/>
  <c r="K36" i="1"/>
  <c r="N36" i="1" s="1"/>
  <c r="K35" i="1"/>
  <c r="N35" i="1" s="1"/>
  <c r="K34" i="1"/>
  <c r="N34" i="1" s="1"/>
  <c r="K33" i="1"/>
  <c r="N33" i="1" s="1"/>
  <c r="K32" i="1"/>
  <c r="N32" i="1" s="1"/>
  <c r="K30" i="1"/>
  <c r="K26" i="1"/>
  <c r="K22" i="1"/>
  <c r="K18" i="1"/>
  <c r="N18" i="1" s="1"/>
  <c r="K8" i="1"/>
  <c r="N8" i="1" s="1"/>
  <c r="K3" i="1"/>
  <c r="N3" i="1" s="1"/>
  <c r="AS3" i="1"/>
  <c r="M8" i="1"/>
  <c r="L8" i="1"/>
  <c r="A8" i="1"/>
  <c r="BD3" i="1"/>
  <c r="AU3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0" i="1"/>
  <c r="L30" i="1"/>
  <c r="M26" i="1"/>
  <c r="L26" i="1"/>
  <c r="M22" i="1"/>
  <c r="L22" i="1"/>
  <c r="M18" i="1"/>
  <c r="L18" i="1"/>
  <c r="M3" i="1"/>
  <c r="L3" i="1"/>
  <c r="A43" i="1"/>
  <c r="A42" i="1"/>
  <c r="A41" i="1"/>
  <c r="A40" i="1"/>
  <c r="A39" i="1"/>
  <c r="A38" i="1"/>
  <c r="A37" i="1"/>
  <c r="A36" i="1"/>
  <c r="A35" i="1"/>
  <c r="A34" i="1"/>
  <c r="A33" i="1"/>
  <c r="A32" i="1"/>
  <c r="A30" i="1"/>
  <c r="A26" i="1"/>
  <c r="A22" i="1"/>
  <c r="A18" i="1"/>
  <c r="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芦原 顕一</author>
  </authors>
  <commentList>
    <comment ref="A2" authorId="0" shapeId="0" xr:uid="{272D324D-8EB2-41A3-ACA6-1A0B5B69C29E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WG01固定</t>
        </r>
      </text>
    </comment>
    <comment ref="B2" authorId="0" shapeId="0" xr:uid="{4D1AE1D5-BA85-48BA-85E7-457D276FB814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品目CDマスタのコードを貼付</t>
        </r>
      </text>
    </comment>
    <comment ref="C2" authorId="0" shapeId="0" xr:uid="{3A5A4F9A-F3D9-40A4-AAD9-A83D44ACB873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本書作成時に使用するだけで本番は使用しない</t>
        </r>
      </text>
    </comment>
    <comment ref="G2" authorId="0" shapeId="0" xr:uid="{98BB854A-B2FD-4200-B551-B3CD40E3813B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製造場所マスタor
製造委託事業所マスタ参照
社内：WP〇〇
社外：L〇〇
購入：不要</t>
        </r>
      </text>
    </comment>
    <comment ref="H2" authorId="0" shapeId="0" xr:uid="{D3948ABB-FA99-4D16-9BE0-6A2BB2960D31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購入品のみ記載
発注先CDは５桁必須
144＝NG
00144=OK</t>
        </r>
      </text>
    </comment>
    <comment ref="K2" authorId="0" shapeId="0" xr:uid="{812284DB-E3E8-42A7-91C5-816DBA7CF5C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11：固定
製造場所CD
品目CD下５桁(本番は製番)</t>
        </r>
      </text>
    </comment>
    <comment ref="L2" authorId="0" shapeId="0" xr:uid="{09543150-3DAD-4F5C-9162-D2CEC58BB04B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2001/01/01固定</t>
        </r>
      </text>
    </comment>
    <comment ref="M2" authorId="0" shapeId="0" xr:uid="{1E4FD4CA-EC6A-4509-8166-D245A8E15C83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2199/12/31固定</t>
        </r>
      </text>
    </comment>
    <comment ref="N2" authorId="0" shapeId="0" xr:uid="{79D5DB53-A5E9-4E90-8499-45B1E1B174A5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社内製造のみ記載
構成パタンと同じ</t>
        </r>
      </text>
    </comment>
    <comment ref="O2" authorId="0" shapeId="0" xr:uid="{421C3DAD-D45C-4558-B015-AF48B9A386CA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社内製造、社外製造の場合記載</t>
        </r>
      </text>
    </comment>
    <comment ref="Q2" authorId="0" shapeId="0" xr:uid="{87BD85E6-D811-47FA-A4CC-B0AE533BBDC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社外製造、購入品のみ記載</t>
        </r>
      </text>
    </comment>
    <comment ref="AA2" authorId="0" shapeId="0" xr:uid="{175C0845-4BD1-4C52-8F4E-B9FB5B18F8D9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最小ロット数設定</t>
        </r>
      </text>
    </comment>
    <comment ref="AB2" authorId="0" shapeId="0" xr:uid="{42A1F919-86FC-4255-96CF-862EF82FDC7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刻みロット数設定</t>
        </r>
      </text>
    </comment>
    <comment ref="AC2" authorId="0" shapeId="0" xr:uid="{CDB36EFF-32EC-4B48-BB56-CBB6949AE6A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最大ロット数設定</t>
        </r>
      </text>
    </comment>
    <comment ref="AF2" authorId="0" shapeId="0" xr:uid="{CFE0D149-70B5-4E25-9DB5-D95E0090EE7F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基本１
同一品目で複数社の場合設定必要
</t>
        </r>
      </text>
    </comment>
    <comment ref="AJ2" authorId="0" shapeId="0" xr:uid="{B1AEA428-214E-4D86-91ED-5A9C87F0E7E1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ロット管理する品目は必要(Plate,BPHE本体等)
1：製造指図時、3：出来高実績時</t>
        </r>
      </text>
    </comment>
    <comment ref="AK2" authorId="0" shapeId="0" xr:uid="{D8D6E9DE-FD35-4C41-9312-DBBD75CDF12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自動払い出し
社内、社外製造品：1
購入品：0</t>
        </r>
      </text>
    </comment>
    <comment ref="AS2" authorId="0" shapeId="0" xr:uid="{F4DE6BB4-220E-4F06-A95E-40AB217A261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社外製造、購入品のみ１</t>
        </r>
      </text>
    </comment>
    <comment ref="AU2" authorId="0" shapeId="0" xr:uid="{D73BC747-C521-4B1B-8F5B-50E6D754633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MRP対象：0
発注点発注対象：1</t>
        </r>
      </text>
    </comment>
    <comment ref="AZ2" authorId="0" shapeId="0" xr:uid="{49427783-4097-44C6-AFC5-B12551B0EEAE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手配NOが必要な場合のみ製番記載</t>
        </r>
      </text>
    </comment>
    <comment ref="BD2" authorId="0" shapeId="0" xr:uid="{DBC212A5-B035-4E04-9EE5-B31B6E05B454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MRP対象：0
MRP対象外：1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<sst xmlns="http://schemas.openxmlformats.org/spreadsheetml/2006/main" count="789" uniqueCount="198">
  <si>
    <t>itm_cd</t>
  </si>
  <si>
    <t>itm_sub1</t>
  </si>
  <si>
    <t>itm_sub2</t>
  </si>
  <si>
    <t>itm_sub3</t>
  </si>
  <si>
    <t>mfg_loc_cd</t>
  </si>
  <si>
    <t>sppl_cd</t>
  </si>
  <si>
    <t>maker_cd</t>
  </si>
  <si>
    <t>rqst_loc_cd</t>
  </si>
  <si>
    <t>st_dt</t>
  </si>
  <si>
    <t>end_dt</t>
  </si>
  <si>
    <t>oper_ptn</t>
  </si>
  <si>
    <t>mfg_lt</t>
  </si>
  <si>
    <t>mfg_lt_add_qty</t>
  </si>
  <si>
    <t>purc_lt</t>
  </si>
  <si>
    <t>purc_lt_add_qty</t>
  </si>
  <si>
    <t>accpt_insp_lt</t>
  </si>
  <si>
    <t>buf_lt</t>
  </si>
  <si>
    <t>ord_fix_pd</t>
  </si>
  <si>
    <t>sz_day_week_typ</t>
  </si>
  <si>
    <t>sz_week</t>
  </si>
  <si>
    <t>lot_sz_pd</t>
  </si>
  <si>
    <t>min_lot_qty</t>
  </si>
  <si>
    <t>batch_lot_qty</t>
  </si>
  <si>
    <t>max_lot_qty</t>
  </si>
  <si>
    <t>max_order</t>
  </si>
  <si>
    <t>prio</t>
  </si>
  <si>
    <t>order_ratio</t>
  </si>
  <si>
    <t>yield_schd_qty</t>
  </si>
  <si>
    <t>mfg_inst_qty</t>
  </si>
  <si>
    <t>fxd_rqmt_qty</t>
  </si>
  <si>
    <t>lot_issue_typ</t>
  </si>
  <si>
    <t>bkf_flg</t>
  </si>
  <si>
    <t>ln_stk_flg</t>
  </si>
  <si>
    <t>pre_po_tgt_flg</t>
  </si>
  <si>
    <t>inst_rec_issue_flg</t>
  </si>
  <si>
    <t>no_mfg_aprv_flg</t>
  </si>
  <si>
    <t>itm_lower_yield</t>
  </si>
  <si>
    <t>itm_std_yield</t>
  </si>
  <si>
    <t>itm_upper_yield</t>
  </si>
  <si>
    <t>rqst_wg_cd</t>
  </si>
  <si>
    <t>po_batch_flg</t>
  </si>
  <si>
    <t>rsrc_std_qty1</t>
  </si>
  <si>
    <t>rsrc_unit_qty1</t>
  </si>
  <si>
    <t>rsrc_std_qty2</t>
  </si>
  <si>
    <t>rsrc_unit_qty2</t>
  </si>
  <si>
    <t>sno1</t>
  </si>
  <si>
    <t>sno2</t>
  </si>
  <si>
    <t>sno3</t>
  </si>
  <si>
    <t>sno4</t>
  </si>
  <si>
    <t>not_mrp_flg</t>
  </si>
  <si>
    <t>cost_ratio</t>
  </si>
  <si>
    <t>memo1</t>
  </si>
  <si>
    <t>memo2</t>
  </si>
  <si>
    <t>memo3</t>
  </si>
  <si>
    <t>del_flg</t>
  </si>
  <si>
    <t>purc_basis_typ</t>
  </si>
  <si>
    <t>ワーキンググループＣＤ</t>
  </si>
  <si>
    <t>品目ＣＤ</t>
  </si>
  <si>
    <t>枝番１</t>
  </si>
  <si>
    <t>枝番２</t>
  </si>
  <si>
    <t>枝番３</t>
  </si>
  <si>
    <t>製造場所ＣＤ</t>
  </si>
  <si>
    <t>発注先ＣＤ</t>
  </si>
  <si>
    <t>メーカＣＤ</t>
  </si>
  <si>
    <t>依頼先場所ＣＤ</t>
  </si>
  <si>
    <t>構成パタン</t>
  </si>
  <si>
    <t>適用開始日</t>
  </si>
  <si>
    <t>適用終了日</t>
  </si>
  <si>
    <t>工程パタン</t>
  </si>
  <si>
    <t>製造ＬＴ</t>
  </si>
  <si>
    <t>製造ＬＴ加算基準数量</t>
  </si>
  <si>
    <t>購入ＬＴ</t>
  </si>
  <si>
    <t>購入ＬＴ加算基準数量</t>
  </si>
  <si>
    <t>検収ＬＴ</t>
  </si>
  <si>
    <t>安全ＬＴ</t>
  </si>
  <si>
    <t>オーダ自動確定期間（日）</t>
  </si>
  <si>
    <t>曜日まとめ区分</t>
  </si>
  <si>
    <t>曜日まとめ期間（週）</t>
  </si>
  <si>
    <t>ロットまとめ期間（日）</t>
  </si>
  <si>
    <t>最小ロット数量</t>
  </si>
  <si>
    <t>刻みロット数量</t>
  </si>
  <si>
    <t>最大ロット数量</t>
  </si>
  <si>
    <t>最大オーダ件数</t>
  </si>
  <si>
    <t>優先順</t>
  </si>
  <si>
    <t>オーダ比率</t>
  </si>
  <si>
    <t>出来高予定数量</t>
  </si>
  <si>
    <t>製造指図数量</t>
  </si>
  <si>
    <t>固定必要数量</t>
  </si>
  <si>
    <t>ロット発番タイミング区分</t>
  </si>
  <si>
    <t>バックフラッシュ許可</t>
  </si>
  <si>
    <t>棚・ライン格納</t>
  </si>
  <si>
    <t>先行手配対象</t>
  </si>
  <si>
    <t>製造指図時記録書発行</t>
  </si>
  <si>
    <t>製造承認対象外</t>
  </si>
  <si>
    <t>品目下限収率</t>
  </si>
  <si>
    <t>品目標準収率</t>
  </si>
  <si>
    <t>品目上限収率</t>
  </si>
  <si>
    <t>購買識別区分</t>
  </si>
  <si>
    <t>購買依頼先ワーキンググループＣＤ</t>
  </si>
  <si>
    <t>発注バッチ</t>
  </si>
  <si>
    <t>資源標準値１</t>
  </si>
  <si>
    <t>資源単位数量１</t>
  </si>
  <si>
    <t>資源標準値２</t>
  </si>
  <si>
    <t>資源単位数量２</t>
  </si>
  <si>
    <t>手配ＮＯ１</t>
  </si>
  <si>
    <t>手配ＮＯ２</t>
  </si>
  <si>
    <t>手配ＮＯ３</t>
  </si>
  <si>
    <t>手配ＮＯ４</t>
  </si>
  <si>
    <t>ＭＲＰ対象外</t>
  </si>
  <si>
    <t>原価比率</t>
  </si>
  <si>
    <t>メモ１</t>
  </si>
  <si>
    <t>メモ２</t>
  </si>
  <si>
    <t>メモ３</t>
  </si>
  <si>
    <t>論理削除</t>
  </si>
  <si>
    <t>仕入計上区分</t>
  </si>
  <si>
    <t/>
  </si>
  <si>
    <t>bom_ptn</t>
    <phoneticPr fontId="1"/>
  </si>
  <si>
    <t>wg_cd</t>
    <phoneticPr fontId="1"/>
  </si>
  <si>
    <t>purc_id_typ</t>
    <phoneticPr fontId="1"/>
  </si>
  <si>
    <t>購買識別区分</t>
    <phoneticPr fontId="1"/>
  </si>
  <si>
    <t>PLM品名</t>
    <rPh sb="3" eb="5">
      <t>ヒンメイ</t>
    </rPh>
    <phoneticPr fontId="1"/>
  </si>
  <si>
    <t>製造場所ＣＤ</t>
    <phoneticPr fontId="1"/>
  </si>
  <si>
    <t>発注先ＣＤ</t>
    <phoneticPr fontId="1"/>
  </si>
  <si>
    <t>図番記載</t>
    <rPh sb="0" eb="2">
      <t>ズバン</t>
    </rPh>
    <rPh sb="2" eb="4">
      <t>キサイ</t>
    </rPh>
    <phoneticPr fontId="1"/>
  </si>
  <si>
    <t>設計メモ記載</t>
    <rPh sb="0" eb="2">
      <t>セッケイ</t>
    </rPh>
    <rPh sb="4" eb="6">
      <t>キサイ</t>
    </rPh>
    <phoneticPr fontId="1"/>
  </si>
  <si>
    <t>図番</t>
    <rPh sb="0" eb="2">
      <t>ズバン</t>
    </rPh>
    <phoneticPr fontId="1"/>
  </si>
  <si>
    <t>型式</t>
    <rPh sb="0" eb="2">
      <t>カタシキ</t>
    </rPh>
    <phoneticPr fontId="1"/>
  </si>
  <si>
    <t>購買単価</t>
    <rPh sb="0" eb="2">
      <t>コウバイ</t>
    </rPh>
    <rPh sb="2" eb="4">
      <t>タンカ</t>
    </rPh>
    <phoneticPr fontId="1"/>
  </si>
  <si>
    <t>加工単価</t>
    <rPh sb="0" eb="2">
      <t>カコウ</t>
    </rPh>
    <rPh sb="2" eb="4">
      <t>タンカ</t>
    </rPh>
    <phoneticPr fontId="1"/>
  </si>
  <si>
    <t>H0000699824</t>
  </si>
  <si>
    <t>H0000699825</t>
  </si>
  <si>
    <t>H0000699826</t>
  </si>
  <si>
    <t>H0000699827</t>
  </si>
  <si>
    <t>H0000699828</t>
  </si>
  <si>
    <t>H0000699829</t>
  </si>
  <si>
    <t>H0000699830</t>
  </si>
  <si>
    <t>H0000699831</t>
  </si>
  <si>
    <t>H0000699832</t>
  </si>
  <si>
    <t>H0000699833</t>
  </si>
  <si>
    <t>H0000699834</t>
  </si>
  <si>
    <t>H0000699835</t>
  </si>
  <si>
    <t>S-フレーム_RX-50_U_SA516Gr.60_TTTT</t>
  </si>
  <si>
    <t>S-フレーム_ガス溶断_RX-50_U_SA516Gr.60_1234</t>
  </si>
  <si>
    <t>S-フレーム_LX-30_H_SB410_TTTT</t>
  </si>
  <si>
    <t>S-フレーム_ガス溶断_LX-30_H_SB410_1234</t>
  </si>
  <si>
    <t>S-フレーム_WX-10_S_SA516Gr.60_TTTT</t>
  </si>
  <si>
    <t>S-フレーム_ガス溶断_WX-10_S_SA516Gr.60_1234</t>
  </si>
  <si>
    <t>S-フレーム_WX-10_U_SA516Gr.60_TTTT</t>
  </si>
  <si>
    <t>S-フレーム_ガス溶断_WX-10_U_SA516Gr.60_1234</t>
  </si>
  <si>
    <t>S-フレーム_ガス溶断_RX-30_U_SA516Gr.60_1234</t>
  </si>
  <si>
    <t>S-フレーム_RX-00_H_SUS304_1234</t>
  </si>
  <si>
    <t>S-フレーム_プラズマ切断_RX-00_H_SUS304_0000</t>
  </si>
  <si>
    <t>S-フレーム_LX-30_H_SS400_KKKK</t>
  </si>
  <si>
    <t>E394050_01</t>
  </si>
  <si>
    <t>E365600_01</t>
  </si>
  <si>
    <t>E393428_01</t>
  </si>
  <si>
    <t>E394128_01</t>
  </si>
  <si>
    <t>E364913_01</t>
  </si>
  <si>
    <t>E394318_01</t>
  </si>
  <si>
    <t>E364589_01</t>
  </si>
  <si>
    <t>E364477_01</t>
  </si>
  <si>
    <t>E384862_01</t>
  </si>
  <si>
    <t>E392394_01</t>
  </si>
  <si>
    <t>E394256_01</t>
  </si>
  <si>
    <t>RX-00B</t>
  </si>
  <si>
    <t>H0000699889</t>
  </si>
  <si>
    <t>H0000699890</t>
  </si>
  <si>
    <t>H0000699891</t>
  </si>
  <si>
    <t>H0000699892</t>
  </si>
  <si>
    <t>H0000699893</t>
  </si>
  <si>
    <t>H0000699894</t>
  </si>
  <si>
    <t>H0000699895</t>
  </si>
  <si>
    <t>H0000699896</t>
  </si>
  <si>
    <t>H0000699897</t>
  </si>
  <si>
    <t>H0000699898</t>
  </si>
  <si>
    <t>S-フレーム_RX-50_N_SS400_NNNN</t>
  </si>
  <si>
    <t>S-フレーム_RX-30_N_SS400_NNNN</t>
  </si>
  <si>
    <t>S-フレーム_RX-30_H_SS400_NNNN</t>
  </si>
  <si>
    <t>S-フレーム_LX-30_U_SS400_KKKK</t>
  </si>
  <si>
    <t>E394456_01</t>
  </si>
  <si>
    <t>E394464_01</t>
  </si>
  <si>
    <t>E394479_01</t>
  </si>
  <si>
    <t>E394455_01</t>
  </si>
  <si>
    <t>E394463_01</t>
  </si>
  <si>
    <t>E394473_01</t>
  </si>
  <si>
    <t>E394491_01</t>
  </si>
  <si>
    <t>リベット穴付き,Krea</t>
    <rPh sb="4" eb="5">
      <t>アナ</t>
    </rPh>
    <rPh sb="5" eb="6">
      <t>ツ</t>
    </rPh>
    <phoneticPr fontId="2"/>
  </si>
  <si>
    <t>リベット穴付き,China</t>
    <rPh sb="4" eb="5">
      <t>アナ</t>
    </rPh>
    <rPh sb="5" eb="6">
      <t>ツ</t>
    </rPh>
    <phoneticPr fontId="2"/>
  </si>
  <si>
    <t>リベット穴付き,Japan,二針圧力計付き</t>
    <rPh sb="4" eb="5">
      <t>アナ</t>
    </rPh>
    <rPh sb="5" eb="6">
      <t>ツ</t>
    </rPh>
    <phoneticPr fontId="2"/>
  </si>
  <si>
    <t>リベット穴付き,Japan</t>
    <rPh sb="4" eb="5">
      <t>アナ</t>
    </rPh>
    <rPh sb="5" eb="6">
      <t>ツ</t>
    </rPh>
    <phoneticPr fontId="2"/>
  </si>
  <si>
    <t>リベット穴付き</t>
    <rPh sb="4" eb="5">
      <t>アナ</t>
    </rPh>
    <rPh sb="5" eb="6">
      <t>ツ</t>
    </rPh>
    <phoneticPr fontId="2"/>
  </si>
  <si>
    <t>00144</t>
  </si>
  <si>
    <t>WP010</t>
    <phoneticPr fontId="1"/>
  </si>
  <si>
    <t>00794</t>
    <phoneticPr fontId="1"/>
  </si>
  <si>
    <t>L00046</t>
    <phoneticPr fontId="1"/>
  </si>
  <si>
    <t>L00047</t>
    <phoneticPr fontId="1"/>
  </si>
  <si>
    <t>L00049</t>
    <phoneticPr fontId="1"/>
  </si>
  <si>
    <t>L00051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</si>
</sst>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General;General;"/>
  </numFmts>
  <fonts count="5">
    <font>
      <sz val="11"/>
      <color indexed="8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0"/>
      <color indexed="8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1" fontId="0" fillId="3" borderId="0" xfId="0" applyNumberFormat="1" applyFill="1" applyAlignment="1"/>
    <xf numFmtId="0" fontId="0" fillId="5" borderId="0" xfId="0" applyFill="1">
      <alignment vertical="center"/>
    </xf>
    <xf numFmtId="177" fontId="0" fillId="3" borderId="0" xfId="0" applyNumberFormat="1" applyFill="1">
      <alignment vertical="center"/>
    </xf>
    <xf numFmtId="177" fontId="0" fillId="0" borderId="0" xfId="0" applyNumberFormat="1">
      <alignment vertical="center"/>
    </xf>
    <xf numFmtId="17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" fontId="0" fillId="3" borderId="0" xfId="0" applyNumberFormat="1" applyFill="1" applyAlignment="1">
      <alignment horizontal="center"/>
    </xf>
    <xf numFmtId="0" fontId="0" fillId="6" borderId="0" xfId="0" applyFill="1" applyAlignment="1">
      <alignment horizontal="right" vertical="center"/>
    </xf>
    <xf numFmtId="0" fontId="0" fillId="4" borderId="0" xfId="0" quotePrefix="1" applyFill="1">
      <alignment vertical="center"/>
    </xf>
  </cellXfs>
  <cellStyles count="1">
    <cellStyle name="標準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CCFF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139700</xdr:rowOff>
    </xdr:from>
    <xdr:to>
      <xdr:col>2</xdr:col>
      <xdr:colOff>717550</xdr:colOff>
      <xdr:row>0</xdr:row>
      <xdr:rowOff>438150</xdr:rowOff>
    </xdr:to>
    <xdr:sp macro="[0]!PLM品名付与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4FB78149-1EF6-CFA2-F80C-0BA9382D47E5}"/>
            </a:ext>
          </a:extLst>
        </xdr:cNvPr>
        <xdr:cNvSpPr/>
      </xdr:nvSpPr>
      <xdr:spPr>
        <a:xfrm>
          <a:off x="3149600" y="139700"/>
          <a:ext cx="67945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New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1898650</xdr:colOff>
      <xdr:row>0</xdr:row>
      <xdr:rowOff>146050</xdr:rowOff>
    </xdr:from>
    <xdr:to>
      <xdr:col>2</xdr:col>
      <xdr:colOff>2578100</xdr:colOff>
      <xdr:row>0</xdr:row>
      <xdr:rowOff>444500</xdr:rowOff>
    </xdr:to>
    <xdr:sp macro="[0]!PLM品名付与Add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301E6788-9D4B-548D-00CD-BEA8A572F405}"/>
            </a:ext>
          </a:extLst>
        </xdr:cNvPr>
        <xdr:cNvSpPr/>
      </xdr:nvSpPr>
      <xdr:spPr>
        <a:xfrm>
          <a:off x="5010150" y="146050"/>
          <a:ext cx="679450" cy="2984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Add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50800</xdr:rowOff>
    </xdr:from>
    <xdr:to>
      <xdr:col>4</xdr:col>
      <xdr:colOff>571500</xdr:colOff>
      <xdr:row>0</xdr:row>
      <xdr:rowOff>425450</xdr:rowOff>
    </xdr:to>
    <xdr:sp macro="[0]!内製品ファイル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8D9D0589-09B0-2739-E0A3-B23666682781}"/>
            </a:ext>
          </a:extLst>
        </xdr:cNvPr>
        <xdr:cNvSpPr/>
      </xdr:nvSpPr>
      <xdr:spPr>
        <a:xfrm>
          <a:off x="4787900" y="50800"/>
          <a:ext cx="1263650" cy="37465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内製品ファイル</a:t>
          </a:r>
        </a:p>
      </xdr:txBody>
    </xdr:sp>
    <xdr:clientData/>
  </xdr:twoCellAnchor>
  <xdr:twoCellAnchor>
    <xdr:from>
      <xdr:col>4</xdr:col>
      <xdr:colOff>609600</xdr:colOff>
      <xdr:row>0</xdr:row>
      <xdr:rowOff>50800</xdr:rowOff>
    </xdr:from>
    <xdr:to>
      <xdr:col>6</xdr:col>
      <xdr:colOff>1238250</xdr:colOff>
      <xdr:row>0</xdr:row>
      <xdr:rowOff>425450</xdr:rowOff>
    </xdr:to>
    <xdr:sp macro="[0]!外注品ファイル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6CA81825-189F-4C0E-4452-59152DE66F50}"/>
            </a:ext>
          </a:extLst>
        </xdr:cNvPr>
        <xdr:cNvSpPr/>
      </xdr:nvSpPr>
      <xdr:spPr>
        <a:xfrm>
          <a:off x="7880350" y="50800"/>
          <a:ext cx="1352550" cy="37465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外注品ファイル</a:t>
          </a:r>
        </a:p>
      </xdr:txBody>
    </xdr:sp>
    <xdr:clientData/>
  </xdr:twoCellAnchor>
  <xdr:twoCellAnchor>
    <xdr:from>
      <xdr:col>2</xdr:col>
      <xdr:colOff>2667000</xdr:colOff>
      <xdr:row>0</xdr:row>
      <xdr:rowOff>146050</xdr:rowOff>
    </xdr:from>
    <xdr:to>
      <xdr:col>2</xdr:col>
      <xdr:colOff>3346450</xdr:colOff>
      <xdr:row>0</xdr:row>
      <xdr:rowOff>444500</xdr:rowOff>
    </xdr:to>
    <xdr:sp macro="[0]!_xludf.Copy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A87EBCDC-AE04-162B-2DFA-96525E816418}"/>
            </a:ext>
          </a:extLst>
        </xdr:cNvPr>
        <xdr:cNvSpPr/>
      </xdr:nvSpPr>
      <xdr:spPr>
        <a:xfrm>
          <a:off x="5778500" y="146050"/>
          <a:ext cx="679450" cy="298450"/>
        </a:xfrm>
        <a:prstGeom prst="bevel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copy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1276350</xdr:colOff>
      <xdr:row>0</xdr:row>
      <xdr:rowOff>50800</xdr:rowOff>
    </xdr:from>
    <xdr:to>
      <xdr:col>10</xdr:col>
      <xdr:colOff>6350</xdr:colOff>
      <xdr:row>0</xdr:row>
      <xdr:rowOff>425450</xdr:rowOff>
    </xdr:to>
    <xdr:sp macro="[0]!一行複写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FFE376E4-075E-A7B7-D366-E6D37D685DCF}"/>
            </a:ext>
          </a:extLst>
        </xdr:cNvPr>
        <xdr:cNvSpPr/>
      </xdr:nvSpPr>
      <xdr:spPr>
        <a:xfrm>
          <a:off x="9271000" y="50800"/>
          <a:ext cx="958850" cy="3746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１行複写</a:t>
          </a:r>
        </a:p>
      </xdr:txBody>
    </xdr:sp>
    <xdr:clientData/>
  </xdr:twoCellAnchor>
  <xdr:twoCellAnchor>
    <xdr:from>
      <xdr:col>11</xdr:col>
      <xdr:colOff>44450</xdr:colOff>
      <xdr:row>0</xdr:row>
      <xdr:rowOff>38100</xdr:rowOff>
    </xdr:from>
    <xdr:to>
      <xdr:col>12</xdr:col>
      <xdr:colOff>444500</xdr:colOff>
      <xdr:row>0</xdr:row>
      <xdr:rowOff>412750</xdr:rowOff>
    </xdr:to>
    <xdr:sp macro="[0]!指定行複写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FC9987B9-AF0E-4E84-81AB-FA76B956BF36}"/>
            </a:ext>
          </a:extLst>
        </xdr:cNvPr>
        <xdr:cNvSpPr/>
      </xdr:nvSpPr>
      <xdr:spPr>
        <a:xfrm>
          <a:off x="10267950" y="38100"/>
          <a:ext cx="1263650" cy="3746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指定行複写</a:t>
          </a:r>
        </a:p>
      </xdr:txBody>
    </xdr:sp>
    <xdr:clientData/>
  </xdr:twoCellAnchor>
  <xdr:twoCellAnchor>
    <xdr:from>
      <xdr:col>0</xdr:col>
      <xdr:colOff>196850</xdr:colOff>
      <xdr:row>0</xdr:row>
      <xdr:rowOff>152400</xdr:rowOff>
    </xdr:from>
    <xdr:to>
      <xdr:col>0</xdr:col>
      <xdr:colOff>1162050</xdr:colOff>
      <xdr:row>0</xdr:row>
      <xdr:rowOff>450850</xdr:rowOff>
    </xdr:to>
    <xdr:sp macro="[0]!Hidden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1818FA25-9653-4D12-8452-7AADC2AD09D4}"/>
            </a:ext>
          </a:extLst>
        </xdr:cNvPr>
        <xdr:cNvSpPr/>
      </xdr:nvSpPr>
      <xdr:spPr>
        <a:xfrm>
          <a:off x="196850" y="152400"/>
          <a:ext cx="96520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HiddenOff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1206500</xdr:colOff>
      <xdr:row>0</xdr:row>
      <xdr:rowOff>152400</xdr:rowOff>
    </xdr:from>
    <xdr:to>
      <xdr:col>1</xdr:col>
      <xdr:colOff>381000</xdr:colOff>
      <xdr:row>0</xdr:row>
      <xdr:rowOff>450850</xdr:rowOff>
    </xdr:to>
    <xdr:sp macro="[0]!購買品Copy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A67919D-293E-82C1-4F63-9023CC755A4A}"/>
            </a:ext>
          </a:extLst>
        </xdr:cNvPr>
        <xdr:cNvSpPr/>
      </xdr:nvSpPr>
      <xdr:spPr>
        <a:xfrm>
          <a:off x="1206500" y="152400"/>
          <a:ext cx="96520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ToFileCopy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3371850</xdr:colOff>
      <xdr:row>0</xdr:row>
      <xdr:rowOff>482600</xdr:rowOff>
    </xdr:to>
    <xdr:sp macro="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1197C2C3-98C2-04E8-3B9A-24F3F010D0E5}"/>
            </a:ext>
          </a:extLst>
        </xdr:cNvPr>
        <xdr:cNvSpPr/>
      </xdr:nvSpPr>
      <xdr:spPr>
        <a:xfrm>
          <a:off x="0" y="0"/>
          <a:ext cx="6483350" cy="4826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43"/>
  <sheetViews>
    <sheetView tabSelected="1" topLeftCell="C1" zoomScale="80" zoomScaleNormal="80" workbookViewId="0">
      <pane ySplit="2" topLeftCell="A12" activePane="bottomLeft" state="frozen"/>
      <selection pane="bottomLeft" activeCell="Q31" sqref="Q31"/>
    </sheetView>
  </sheetViews>
  <sheetFormatPr defaultRowHeight="18"/>
  <cols>
    <col min="1" max="1" width="23.5" customWidth="1"/>
    <col min="2" max="2" width="17.33203125" bestFit="1" customWidth="1"/>
    <col min="3" max="3" width="45.08203125" bestFit="1" customWidth="1"/>
    <col min="4" max="5" width="9.5" style="11" customWidth="1"/>
    <col min="6" max="6" width="9.5" customWidth="1"/>
    <col min="7" max="7" width="18.25" bestFit="1" customWidth="1"/>
    <col min="8" max="8" width="11" bestFit="1" customWidth="1"/>
    <col min="9" max="9" width="11" customWidth="1"/>
    <col min="10" max="10" width="15.08203125" customWidth="1"/>
    <col min="11" max="11" width="21.33203125" customWidth="1"/>
    <col min="12" max="13" width="11.33203125" style="4" customWidth="1"/>
    <col min="14" max="14" width="21.33203125" customWidth="1"/>
    <col min="16" max="16" width="21.33203125" customWidth="1"/>
    <col min="18" max="18" width="13.25" style="6" customWidth="1"/>
    <col min="19" max="19" width="8.58203125" style="6"/>
    <col min="20" max="20" width="21.33203125" customWidth="1"/>
    <col min="21" max="21" width="13.5" customWidth="1"/>
    <col min="22" max="22" width="8.58203125" customWidth="1"/>
    <col min="23" max="23" width="25.5" customWidth="1"/>
    <col min="24" max="24" width="17.25" customWidth="1"/>
    <col min="25" max="25" width="21.33203125" customWidth="1"/>
    <col min="26" max="26" width="23.5" customWidth="1"/>
    <col min="27" max="29" width="15.08203125" bestFit="1" customWidth="1"/>
    <col min="30" max="30" width="15.08203125" customWidth="1"/>
    <col min="31" max="31" width="7.08203125" customWidth="1"/>
    <col min="32" max="32" width="11" bestFit="1" customWidth="1"/>
    <col min="33" max="33" width="15.08203125" customWidth="1"/>
    <col min="34" max="35" width="13" customWidth="1"/>
    <col min="36" max="36" width="25.5" bestFit="1" customWidth="1"/>
    <col min="37" max="37" width="21.33203125" customWidth="1"/>
    <col min="38" max="38" width="15.08203125" customWidth="1"/>
    <col min="39" max="39" width="14.08203125" customWidth="1"/>
    <col min="40" max="40" width="21.33203125" customWidth="1"/>
    <col min="41" max="41" width="16.25" customWidth="1"/>
    <col min="42" max="42" width="15.33203125" customWidth="1"/>
    <col min="43" max="43" width="13.33203125" customWidth="1"/>
    <col min="44" max="44" width="15.83203125" customWidth="1"/>
    <col min="45" max="45" width="13" customWidth="1"/>
    <col min="46" max="46" width="33.83203125" customWidth="1"/>
    <col min="47" max="47" width="12.83203125" bestFit="1" customWidth="1"/>
    <col min="48" max="48" width="13.5" customWidth="1"/>
    <col min="49" max="49" width="15.08203125" customWidth="1"/>
    <col min="50" max="50" width="13.5" customWidth="1"/>
    <col min="51" max="51" width="15.08203125" customWidth="1"/>
    <col min="52" max="52" width="12.33203125" customWidth="1"/>
    <col min="53" max="55" width="11" customWidth="1"/>
    <col min="56" max="56" width="13" bestFit="1" customWidth="1"/>
    <col min="57" max="57" width="9.83203125" customWidth="1"/>
    <col min="58" max="60" width="7.75" customWidth="1"/>
    <col min="61" max="61" width="8.58203125" customWidth="1"/>
    <col min="62" max="62" width="15.08203125" customWidth="1"/>
    <col min="63" max="63" width="12.08203125" customWidth="1"/>
    <col min="64" max="64" width="35.58203125" customWidth="1"/>
  </cols>
  <sheetData>
    <row r="1" spans="1:65" ht="42.65" customHeight="1">
      <c r="A1" t="s">
        <v>117</v>
      </c>
      <c r="B1" t="s">
        <v>0</v>
      </c>
      <c r="C1" s="6">
        <v>5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116</v>
      </c>
      <c r="L1" s="4" t="s">
        <v>8</v>
      </c>
      <c r="M1" s="4" t="s">
        <v>9</v>
      </c>
      <c r="N1" t="s">
        <v>10</v>
      </c>
      <c r="O1" t="s">
        <v>11</v>
      </c>
      <c r="P1" t="s">
        <v>12</v>
      </c>
      <c r="Q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29</v>
      </c>
      <c r="AJ1" t="s">
        <v>30</v>
      </c>
      <c r="AK1" t="s">
        <v>31</v>
      </c>
      <c r="AL1" t="s">
        <v>32</v>
      </c>
      <c r="AM1" t="s">
        <v>33</v>
      </c>
      <c r="AN1" t="s">
        <v>34</v>
      </c>
      <c r="AO1" t="s">
        <v>35</v>
      </c>
      <c r="AP1" t="s">
        <v>36</v>
      </c>
      <c r="AQ1" t="s">
        <v>37</v>
      </c>
      <c r="AR1" t="s">
        <v>38</v>
      </c>
      <c r="AS1" t="s">
        <v>118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</row>
    <row r="2" spans="1:65">
      <c r="A2" s="1" t="s">
        <v>56</v>
      </c>
      <c r="B2" s="2" t="s">
        <v>57</v>
      </c>
      <c r="C2" s="2" t="s">
        <v>120</v>
      </c>
      <c r="D2" s="2" t="s">
        <v>125</v>
      </c>
      <c r="E2" s="2" t="s">
        <v>126</v>
      </c>
      <c r="F2" s="2" t="s">
        <v>60</v>
      </c>
      <c r="G2" s="1" t="s">
        <v>121</v>
      </c>
      <c r="H2" s="1" t="s">
        <v>122</v>
      </c>
      <c r="I2" t="s">
        <v>63</v>
      </c>
      <c r="J2" s="2" t="s">
        <v>64</v>
      </c>
      <c r="K2" s="5" t="s">
        <v>65</v>
      </c>
      <c r="L2" s="5" t="s">
        <v>66</v>
      </c>
      <c r="M2" s="5" t="s">
        <v>67</v>
      </c>
      <c r="N2" s="5" t="s">
        <v>68</v>
      </c>
      <c r="O2" s="5" t="s">
        <v>69</v>
      </c>
      <c r="P2" t="s">
        <v>70</v>
      </c>
      <c r="Q2" s="5" t="s">
        <v>71</v>
      </c>
      <c r="R2" s="12" t="s">
        <v>127</v>
      </c>
      <c r="S2" s="12" t="s">
        <v>128</v>
      </c>
      <c r="T2" t="s">
        <v>72</v>
      </c>
      <c r="U2" s="2" t="s">
        <v>73</v>
      </c>
      <c r="V2" t="s">
        <v>74</v>
      </c>
      <c r="W2" s="2" t="s">
        <v>75</v>
      </c>
      <c r="X2" t="s">
        <v>76</v>
      </c>
      <c r="Y2" t="s">
        <v>77</v>
      </c>
      <c r="Z2" t="s">
        <v>78</v>
      </c>
      <c r="AA2" s="1" t="s">
        <v>79</v>
      </c>
      <c r="AB2" s="1" t="s">
        <v>80</v>
      </c>
      <c r="AC2" s="1" t="s">
        <v>81</v>
      </c>
      <c r="AD2" s="2" t="s">
        <v>82</v>
      </c>
      <c r="AE2" s="2" t="s">
        <v>83</v>
      </c>
      <c r="AF2" s="1" t="s">
        <v>84</v>
      </c>
      <c r="AG2" t="s">
        <v>85</v>
      </c>
      <c r="AH2" t="s">
        <v>86</v>
      </c>
      <c r="AI2" s="2" t="s">
        <v>87</v>
      </c>
      <c r="AJ2" s="9" t="s">
        <v>88</v>
      </c>
      <c r="AK2" s="1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1" t="s">
        <v>119</v>
      </c>
      <c r="AT2" s="2" t="s">
        <v>98</v>
      </c>
      <c r="AU2" s="1" t="s">
        <v>99</v>
      </c>
      <c r="AV2" t="s">
        <v>100</v>
      </c>
      <c r="AW2" t="s">
        <v>101</v>
      </c>
      <c r="AX2" t="s">
        <v>102</v>
      </c>
      <c r="AY2" t="s">
        <v>103</v>
      </c>
      <c r="AZ2" s="9" t="s">
        <v>104</v>
      </c>
      <c r="BA2" s="2" t="s">
        <v>105</v>
      </c>
      <c r="BB2" s="2" t="s">
        <v>106</v>
      </c>
      <c r="BC2" s="2" t="s">
        <v>107</v>
      </c>
      <c r="BD2" s="1" t="s">
        <v>108</v>
      </c>
      <c r="BE2" t="s">
        <v>109</v>
      </c>
      <c r="BF2" t="s">
        <v>110</v>
      </c>
      <c r="BG2" t="s">
        <v>111</v>
      </c>
      <c r="BH2" t="s">
        <v>112</v>
      </c>
      <c r="BI2" t="s">
        <v>113</v>
      </c>
      <c r="BJ2" t="s">
        <v>114</v>
      </c>
      <c r="BK2" t="s">
        <v>123</v>
      </c>
      <c r="BL2" t="s">
        <v>124</v>
      </c>
    </row>
    <row r="3" spans="1:65">
      <c r="A3" s="2" t="str">
        <f t="shared" ref="A3:A43" si="0">IF(B3="","","WG01")</f>
        <v>WG01</v>
      </c>
      <c r="B3" s="2" t="s">
        <v>129</v>
      </c>
      <c r="C3" s="2" t="s">
        <v>141</v>
      </c>
      <c r="D3" s="10" t="str">
        <f t="shared" ref="D3:D21" si="1">BK3</f>
        <v>E394050_01</v>
      </c>
      <c r="E3" s="10">
        <f t="shared" ref="E3:E21" si="2">BL3</f>
        <v>0</v>
      </c>
      <c r="F3" s="2"/>
      <c r="G3" s="3" t="s">
        <v>192</v>
      </c>
      <c r="H3" s="3" t="str" cm="1">
        <f t="array" ref="H3">IFERROR(_xlfn.IFS(B3="","",AND(B3="",G3=""),"",G3="","記載要"),"")</f>
        <v/>
      </c>
      <c r="I3" s="2" t="s">
        <v>115</v>
      </c>
      <c r="J3" s="2" t="s">
        <v>115</v>
      </c>
      <c r="K3" s="2" t="str">
        <f t="shared" ref="K3:K43" si="3">IF(G3="","","11"&amp;G3&amp;RIGHT(B3,5))</f>
        <v>11WP01099824</v>
      </c>
      <c r="L3" s="7" t="str">
        <f t="shared" ref="L3:L43" si="4">IF(B3="","","2001/01/01")</f>
        <v>2001/01/01</v>
      </c>
      <c r="M3" s="7" t="str">
        <f t="shared" ref="M3:M43" si="5">IF(C3="","","2199/12/31")</f>
        <v>2199/12/31</v>
      </c>
      <c r="N3" s="2" t="str">
        <f>IF(LEFT(G3,1)="W",K3,"")</f>
        <v>11WP01099824</v>
      </c>
      <c r="O3" s="13">
        <v>15</v>
      </c>
      <c r="P3" s="15"/>
      <c r="Q3" s="13" t="str" cm="1">
        <f t="array" ref="Q3">_xlfn.IFS(AND(C3="",G3=""),"",LEFT(G3,1)="L","記載要",LEFT(G3,1)="W","",AND(C3,G3=""),"記載要")</f>
        <v/>
      </c>
      <c r="R3" s="18" t="str">
        <f>IF(H3="","","記載要")</f>
        <v/>
      </c>
      <c r="S3" s="18"/>
      <c r="T3" s="2"/>
      <c r="U3" s="2"/>
      <c r="V3" s="2"/>
      <c r="W3" s="2"/>
      <c r="X3" s="2"/>
      <c r="Y3" s="2"/>
      <c r="Z3" s="2"/>
      <c r="AA3" s="13">
        <v>1</v>
      </c>
      <c r="AB3" s="13">
        <f t="shared" ref="AB3:AB43" si="6">IF(B3="","",0)</f>
        <v>0</v>
      </c>
      <c r="AC3" s="13">
        <f t="shared" ref="AC3:AC43" si="7">IF(B3="","",0)</f>
        <v>0</v>
      </c>
      <c r="AD3" s="15" t="s">
        <v>115</v>
      </c>
      <c r="AE3" s="15" t="s">
        <v>115</v>
      </c>
      <c r="AF3" s="13" t="str">
        <f t="shared" ref="AF3:AF43" si="8">IF(B3="","","1")</f>
        <v>1</v>
      </c>
      <c r="AG3" s="15" t="s">
        <v>115</v>
      </c>
      <c r="AH3" s="15" t="s">
        <v>115</v>
      </c>
      <c r="AI3" s="15" t="s">
        <v>115</v>
      </c>
      <c r="AJ3" s="14" t="s">
        <v>115</v>
      </c>
      <c r="AK3" s="15" cm="1">
        <f t="array" ref="AK3">_xlfn.IFS(B3="","",LEFT(G3,1)="L",1,LEFT(G3,1)="W",1,AND(LEFT(B3,1)="H",G3=""),0)</f>
        <v>1</v>
      </c>
      <c r="AL3" s="15" t="s">
        <v>115</v>
      </c>
      <c r="AM3" s="15" t="s">
        <v>115</v>
      </c>
      <c r="AN3" s="15" t="s">
        <v>115</v>
      </c>
      <c r="AO3" s="15" t="s">
        <v>115</v>
      </c>
      <c r="AP3" s="15" t="s">
        <v>115</v>
      </c>
      <c r="AQ3" s="15" t="s">
        <v>115</v>
      </c>
      <c r="AR3" s="15" t="s">
        <v>115</v>
      </c>
      <c r="AS3" s="15" t="str">
        <f>IF(Q3="","",1)</f>
        <v/>
      </c>
      <c r="AT3" s="15" t="s">
        <v>115</v>
      </c>
      <c r="AU3" s="13" t="str">
        <f t="shared" ref="AU3:AU43" si="9">IF(B3="","","0")</f>
        <v>0</v>
      </c>
      <c r="AV3" s="15" t="s">
        <v>115</v>
      </c>
      <c r="AW3" s="15" t="s">
        <v>115</v>
      </c>
      <c r="AX3" s="15" t="s">
        <v>115</v>
      </c>
      <c r="AY3" s="15" t="s">
        <v>115</v>
      </c>
      <c r="AZ3" s="14" t="s">
        <v>115</v>
      </c>
      <c r="BA3" s="15" t="s">
        <v>115</v>
      </c>
      <c r="BB3" s="15" t="s">
        <v>115</v>
      </c>
      <c r="BC3" s="15" t="s">
        <v>115</v>
      </c>
      <c r="BD3" s="13" t="str">
        <f t="shared" ref="BD3:BD43" si="10">IF(B3="","","0")</f>
        <v>0</v>
      </c>
      <c r="BE3" s="2" t="s">
        <v>115</v>
      </c>
      <c r="BF3" s="2" t="s">
        <v>115</v>
      </c>
      <c r="BG3" s="2" t="s">
        <v>115</v>
      </c>
      <c r="BH3" s="2" t="s">
        <v>115</v>
      </c>
      <c r="BI3" s="2" t="s">
        <v>115</v>
      </c>
      <c r="BJ3" s="2" t="s">
        <v>115</v>
      </c>
      <c r="BK3" s="2" t="s">
        <v>153</v>
      </c>
      <c r="BL3" s="10"/>
      <c r="BM3" t="str" cm="1">
        <f t="array" ref="BM3">_xlfn.IFS(LEFT(G3,1)="L","外注品",LEFT(G3,1)="W","内製品",G3="","購買品")</f>
        <v>内製品</v>
      </c>
    </row>
    <row r="4" spans="1:65">
      <c r="A4" s="2" t="str">
        <f t="shared" si="0"/>
        <v>WG01</v>
      </c>
      <c r="B4" s="2" t="s">
        <v>130</v>
      </c>
      <c r="C4" s="2" t="s">
        <v>142</v>
      </c>
      <c r="D4" s="10" t="str">
        <f t="shared" ref="D4:E7" si="11">BK4</f>
        <v>E365600_01</v>
      </c>
      <c r="E4" s="10">
        <f t="shared" si="11"/>
        <v>0</v>
      </c>
      <c r="F4" s="2"/>
      <c r="G4" s="3"/>
      <c r="H4" s="3" t="s">
        <v>191</v>
      </c>
      <c r="I4" s="2" t="s">
        <v>115</v>
      </c>
      <c r="J4" s="2" t="s">
        <v>115</v>
      </c>
      <c r="K4" s="2" t="str">
        <f t="shared" ref="K4:K6" si="12">IF(G4="","","11"&amp;G4&amp;RIGHT(B4,5))</f>
        <v/>
      </c>
      <c r="L4" s="7" t="str">
        <f t="shared" ref="L4:L6" si="13">IF(B4="","","2001/01/01")</f>
        <v>2001/01/01</v>
      </c>
      <c r="M4" s="7" t="str">
        <f t="shared" ref="M4:M6" si="14">IF(C4="","","2199/12/31")</f>
        <v>2199/12/31</v>
      </c>
      <c r="N4" s="2" t="str">
        <f t="shared" ref="N4:N6" si="15">IF(LEFT(G4,1)="W",K4,"")</f>
        <v/>
      </c>
      <c r="O4" s="13" t="str">
        <f t="shared" ref="O4:O6" si="16">IF(G4="","","記載要")</f>
        <v/>
      </c>
      <c r="P4" s="15"/>
      <c r="Q4" s="13">
        <v>15</v>
      </c>
      <c r="R4" s="18">
        <v>100000000</v>
      </c>
      <c r="S4" s="18" t="str" cm="1">
        <f t="array" ref="S4">_xlfn.IFS(LEFT(G4,1)="L","記載要",LEFT(G4,1)="W","記載要",G4="","")</f>
        <v/>
      </c>
      <c r="T4" s="2"/>
      <c r="U4" s="2"/>
      <c r="V4" s="2"/>
      <c r="W4" s="2"/>
      <c r="X4" s="2"/>
      <c r="Y4" s="2"/>
      <c r="Z4" s="2"/>
      <c r="AA4" s="13">
        <v>1</v>
      </c>
      <c r="AB4" s="13">
        <f t="shared" ref="AB4:AB6" si="17">IF(B4="","",0)</f>
        <v>0</v>
      </c>
      <c r="AC4" s="13">
        <f t="shared" ref="AC4:AC6" si="18">IF(B4="","",0)</f>
        <v>0</v>
      </c>
      <c r="AD4" s="15" t="s">
        <v>115</v>
      </c>
      <c r="AE4" s="15" t="s">
        <v>115</v>
      </c>
      <c r="AF4" s="13" t="str">
        <f t="shared" ref="AF4:AF5" si="19">IF(B4="","","1")</f>
        <v>1</v>
      </c>
      <c r="AG4" s="15" t="s">
        <v>115</v>
      </c>
      <c r="AH4" s="15" t="s">
        <v>115</v>
      </c>
      <c r="AI4" s="15" t="s">
        <v>115</v>
      </c>
      <c r="AJ4" s="14" t="s">
        <v>115</v>
      </c>
      <c r="AK4" s="15" cm="1">
        <f t="array" ref="AK4">_xlfn.IFS(B4="","",LEFT(G4,1)="L",1,LEFT(G4,1)="W",1,AND(LEFT(B4,1)="H",G4=""),0)</f>
        <v>0</v>
      </c>
      <c r="AL4" s="15" t="s">
        <v>115</v>
      </c>
      <c r="AM4" s="15" t="s">
        <v>115</v>
      </c>
      <c r="AN4" s="15" t="s">
        <v>115</v>
      </c>
      <c r="AO4" s="15" t="s">
        <v>115</v>
      </c>
      <c r="AP4" s="15" t="s">
        <v>115</v>
      </c>
      <c r="AQ4" s="15" t="s">
        <v>115</v>
      </c>
      <c r="AR4" s="15" t="s">
        <v>115</v>
      </c>
      <c r="AS4" s="15">
        <f t="shared" ref="AS4:AS6" si="20">IF(Q4="","",1)</f>
        <v>1</v>
      </c>
      <c r="AT4" s="15" t="s">
        <v>115</v>
      </c>
      <c r="AU4" s="13" t="str">
        <f t="shared" ref="AU4:AU6" si="21">IF(B4="","","0")</f>
        <v>0</v>
      </c>
      <c r="AV4" s="15" t="s">
        <v>115</v>
      </c>
      <c r="AW4" s="15" t="s">
        <v>115</v>
      </c>
      <c r="AX4" s="15" t="s">
        <v>115</v>
      </c>
      <c r="AY4" s="15" t="s">
        <v>115</v>
      </c>
      <c r="AZ4" s="14" t="s">
        <v>115</v>
      </c>
      <c r="BA4" s="15" t="s">
        <v>115</v>
      </c>
      <c r="BB4" s="15" t="s">
        <v>115</v>
      </c>
      <c r="BC4" s="15" t="s">
        <v>115</v>
      </c>
      <c r="BD4" s="13" t="str">
        <f t="shared" ref="BD4:BD6" si="22">IF(B4="","","0")</f>
        <v>0</v>
      </c>
      <c r="BE4" s="2" t="s">
        <v>115</v>
      </c>
      <c r="BF4" s="2" t="s">
        <v>115</v>
      </c>
      <c r="BG4" s="2" t="s">
        <v>115</v>
      </c>
      <c r="BH4" s="2" t="s">
        <v>115</v>
      </c>
      <c r="BI4" s="2" t="s">
        <v>115</v>
      </c>
      <c r="BJ4" s="2" t="s">
        <v>115</v>
      </c>
      <c r="BK4" s="2" t="s">
        <v>154</v>
      </c>
      <c r="BL4" s="10"/>
      <c r="BM4" t="str" cm="1">
        <f t="array" ref="BM4">_xlfn.IFS(LEFT(G4,1)="L","外注品",LEFT(G4,1)="W","内製品",G4="","購買品")</f>
        <v>購買品</v>
      </c>
    </row>
    <row r="5" spans="1:65">
      <c r="A5" s="2" t="str">
        <f t="shared" si="0"/>
        <v>WG01</v>
      </c>
      <c r="B5" s="2" t="s">
        <v>130</v>
      </c>
      <c r="C5" s="2" t="s">
        <v>142</v>
      </c>
      <c r="D5" s="10" t="str">
        <f t="shared" si="11"/>
        <v>E365600_01</v>
      </c>
      <c r="E5" s="10">
        <f t="shared" si="11"/>
        <v>0</v>
      </c>
      <c r="F5" s="2"/>
      <c r="G5" s="3"/>
      <c r="H5" s="3">
        <v>43453</v>
      </c>
      <c r="I5" s="2" t="s">
        <v>115</v>
      </c>
      <c r="J5" s="2" t="s">
        <v>115</v>
      </c>
      <c r="K5" s="2" t="str">
        <f t="shared" si="12"/>
        <v/>
      </c>
      <c r="L5" s="7" t="str">
        <f t="shared" si="13"/>
        <v>2001/01/01</v>
      </c>
      <c r="M5" s="7" t="str">
        <f t="shared" si="14"/>
        <v>2199/12/31</v>
      </c>
      <c r="N5" s="2" t="str">
        <f t="shared" si="15"/>
        <v/>
      </c>
      <c r="O5" s="13" t="str">
        <f t="shared" si="16"/>
        <v/>
      </c>
      <c r="P5" s="15"/>
      <c r="Q5" s="13">
        <v>15</v>
      </c>
      <c r="R5" s="18">
        <v>100000000</v>
      </c>
      <c r="S5" s="18" t="str" cm="1">
        <f t="array" ref="S5">_xlfn.IFS(LEFT(G5,1)="L","記載要",LEFT(G5,1)="W","記載要",G5="","")</f>
        <v/>
      </c>
      <c r="T5" s="2"/>
      <c r="U5" s="2"/>
      <c r="V5" s="2"/>
      <c r="W5" s="2"/>
      <c r="X5" s="2"/>
      <c r="Y5" s="2"/>
      <c r="Z5" s="2"/>
      <c r="AA5" s="13">
        <v>1</v>
      </c>
      <c r="AB5" s="13">
        <f t="shared" si="17"/>
        <v>0</v>
      </c>
      <c r="AC5" s="13">
        <f t="shared" si="18"/>
        <v>0</v>
      </c>
      <c r="AD5" s="15" t="s">
        <v>115</v>
      </c>
      <c r="AE5" s="15" t="s">
        <v>115</v>
      </c>
      <c r="AF5" s="13" t="str">
        <f t="shared" si="19"/>
        <v>1</v>
      </c>
      <c r="AG5" s="15" t="s">
        <v>115</v>
      </c>
      <c r="AH5" s="15" t="s">
        <v>115</v>
      </c>
      <c r="AI5" s="15" t="s">
        <v>115</v>
      </c>
      <c r="AJ5" s="14" t="s">
        <v>115</v>
      </c>
      <c r="AK5" s="15" cm="1">
        <f t="array" ref="AK5">_xlfn.IFS(B5="","",LEFT(G5,1)="L",1,LEFT(G5,1)="W",1,AND(LEFT(B5,1)="H",G5=""),0)</f>
        <v>0</v>
      </c>
      <c r="AL5" s="15" t="s">
        <v>115</v>
      </c>
      <c r="AM5" s="15" t="s">
        <v>115</v>
      </c>
      <c r="AN5" s="15" t="s">
        <v>115</v>
      </c>
      <c r="AO5" s="15" t="s">
        <v>115</v>
      </c>
      <c r="AP5" s="15" t="s">
        <v>115</v>
      </c>
      <c r="AQ5" s="15" t="s">
        <v>115</v>
      </c>
      <c r="AR5" s="15" t="s">
        <v>115</v>
      </c>
      <c r="AS5" s="15">
        <f t="shared" si="20"/>
        <v>1</v>
      </c>
      <c r="AT5" s="15" t="s">
        <v>115</v>
      </c>
      <c r="AU5" s="13" t="str">
        <f t="shared" si="21"/>
        <v>0</v>
      </c>
      <c r="AV5" s="15" t="s">
        <v>115</v>
      </c>
      <c r="AW5" s="15" t="s">
        <v>115</v>
      </c>
      <c r="AX5" s="15" t="s">
        <v>115</v>
      </c>
      <c r="AY5" s="15" t="s">
        <v>115</v>
      </c>
      <c r="AZ5" s="14" t="s">
        <v>115</v>
      </c>
      <c r="BA5" s="15" t="s">
        <v>115</v>
      </c>
      <c r="BB5" s="15" t="s">
        <v>115</v>
      </c>
      <c r="BC5" s="15" t="s">
        <v>115</v>
      </c>
      <c r="BD5" s="13" t="str">
        <f t="shared" si="22"/>
        <v>0</v>
      </c>
      <c r="BE5" s="2" t="s">
        <v>115</v>
      </c>
      <c r="BF5" s="2" t="s">
        <v>115</v>
      </c>
      <c r="BG5" s="2" t="s">
        <v>115</v>
      </c>
      <c r="BH5" s="2" t="s">
        <v>115</v>
      </c>
      <c r="BI5" s="2" t="s">
        <v>115</v>
      </c>
      <c r="BJ5" s="2" t="s">
        <v>115</v>
      </c>
      <c r="BK5" s="2" t="s">
        <v>154</v>
      </c>
      <c r="BL5" s="10"/>
      <c r="BM5" t="str" cm="1">
        <f t="array" ref="BM5">_xlfn.IFS(LEFT(G5,1)="L","外注品",LEFT(G5,1)="W","内製品",G5="","購買品")</f>
        <v>購買品</v>
      </c>
    </row>
    <row r="6" spans="1:65">
      <c r="A6" s="2" t="str">
        <f t="shared" si="0"/>
        <v>WG01</v>
      </c>
      <c r="B6" s="2" t="s">
        <v>130</v>
      </c>
      <c r="C6" s="2" t="s">
        <v>142</v>
      </c>
      <c r="D6" s="10" t="str">
        <f t="shared" si="11"/>
        <v>E365600_01</v>
      </c>
      <c r="E6" s="10">
        <f t="shared" si="11"/>
        <v>0</v>
      </c>
      <c r="F6" s="2"/>
      <c r="G6" s="3"/>
      <c r="H6" s="3">
        <v>47081</v>
      </c>
      <c r="I6" s="2" t="s">
        <v>115</v>
      </c>
      <c r="J6" s="2" t="s">
        <v>115</v>
      </c>
      <c r="K6" s="2" t="str">
        <f t="shared" si="12"/>
        <v/>
      </c>
      <c r="L6" s="7" t="str">
        <f t="shared" si="13"/>
        <v>2001/01/01</v>
      </c>
      <c r="M6" s="7" t="str">
        <f t="shared" si="14"/>
        <v>2199/12/31</v>
      </c>
      <c r="N6" s="2" t="str">
        <f t="shared" si="15"/>
        <v/>
      </c>
      <c r="O6" s="13" t="str">
        <f t="shared" si="16"/>
        <v/>
      </c>
      <c r="P6" s="15"/>
      <c r="Q6" s="13">
        <v>15</v>
      </c>
      <c r="R6" s="18">
        <v>100000000</v>
      </c>
      <c r="S6" s="18" t="str" cm="1">
        <f t="array" ref="S6">_xlfn.IFS(LEFT(G6,1)="L","記載要",LEFT(G6,1)="W","記載要",G6="","")</f>
        <v/>
      </c>
      <c r="T6" s="2"/>
      <c r="U6" s="2"/>
      <c r="V6" s="2"/>
      <c r="W6" s="2"/>
      <c r="X6" s="2"/>
      <c r="Y6" s="2"/>
      <c r="Z6" s="2"/>
      <c r="AA6" s="13">
        <v>1</v>
      </c>
      <c r="AB6" s="13">
        <f t="shared" si="17"/>
        <v>0</v>
      </c>
      <c r="AC6" s="13">
        <f t="shared" si="18"/>
        <v>0</v>
      </c>
      <c r="AD6" s="15" t="s">
        <v>115</v>
      </c>
      <c r="AE6" s="15" t="s">
        <v>115</v>
      </c>
      <c r="AF6" s="13">
        <v>0</v>
      </c>
      <c r="AG6" s="15" t="s">
        <v>115</v>
      </c>
      <c r="AH6" s="15" t="s">
        <v>115</v>
      </c>
      <c r="AI6" s="15" t="s">
        <v>115</v>
      </c>
      <c r="AJ6" s="14" t="s">
        <v>115</v>
      </c>
      <c r="AK6" s="15" cm="1">
        <f t="array" ref="AK6">_xlfn.IFS(B6="","",LEFT(G6,1)="L",1,LEFT(G6,1)="W",1,AND(LEFT(B6,1)="H",G6=""),0)</f>
        <v>0</v>
      </c>
      <c r="AL6" s="15" t="s">
        <v>115</v>
      </c>
      <c r="AM6" s="15" t="s">
        <v>115</v>
      </c>
      <c r="AN6" s="15" t="s">
        <v>115</v>
      </c>
      <c r="AO6" s="15" t="s">
        <v>115</v>
      </c>
      <c r="AP6" s="15" t="s">
        <v>115</v>
      </c>
      <c r="AQ6" s="15" t="s">
        <v>115</v>
      </c>
      <c r="AR6" s="15" t="s">
        <v>115</v>
      </c>
      <c r="AS6" s="15">
        <f t="shared" si="20"/>
        <v>1</v>
      </c>
      <c r="AT6" s="15" t="s">
        <v>115</v>
      </c>
      <c r="AU6" s="13" t="str">
        <f t="shared" si="21"/>
        <v>0</v>
      </c>
      <c r="AV6" s="15" t="s">
        <v>115</v>
      </c>
      <c r="AW6" s="15" t="s">
        <v>115</v>
      </c>
      <c r="AX6" s="15" t="s">
        <v>115</v>
      </c>
      <c r="AY6" s="15" t="s">
        <v>115</v>
      </c>
      <c r="AZ6" s="14" t="s">
        <v>115</v>
      </c>
      <c r="BA6" s="15" t="s">
        <v>115</v>
      </c>
      <c r="BB6" s="15" t="s">
        <v>115</v>
      </c>
      <c r="BC6" s="15" t="s">
        <v>115</v>
      </c>
      <c r="BD6" s="13" t="str">
        <f t="shared" si="22"/>
        <v>0</v>
      </c>
      <c r="BE6" s="2" t="s">
        <v>115</v>
      </c>
      <c r="BF6" s="2" t="s">
        <v>115</v>
      </c>
      <c r="BG6" s="2" t="s">
        <v>115</v>
      </c>
      <c r="BH6" s="2" t="s">
        <v>115</v>
      </c>
      <c r="BI6" s="2" t="s">
        <v>115</v>
      </c>
      <c r="BJ6" s="2" t="s">
        <v>115</v>
      </c>
      <c r="BK6" s="2" t="s">
        <v>154</v>
      </c>
      <c r="BL6" s="10"/>
      <c r="BM6" t="str" cm="1">
        <f t="array" ref="BM6">_xlfn.IFS(LEFT(G6,1)="L","外注品",LEFT(G6,1)="W","内製品",G6="","購買品")</f>
        <v>購買品</v>
      </c>
    </row>
    <row r="7" spans="1:65">
      <c r="A7" s="2" t="str">
        <f t="shared" ref="A7" si="23">IF(B7="","","WG01")</f>
        <v>WG01</v>
      </c>
      <c r="B7" s="2" t="s">
        <v>130</v>
      </c>
      <c r="C7" s="2" t="s">
        <v>142</v>
      </c>
      <c r="D7" s="10" t="str">
        <f t="shared" si="11"/>
        <v>E365600_01</v>
      </c>
      <c r="E7" s="10">
        <f t="shared" si="11"/>
        <v>0</v>
      </c>
      <c r="F7" s="2"/>
      <c r="G7" s="3"/>
      <c r="H7" s="3">
        <v>27616</v>
      </c>
      <c r="I7" s="2" t="s">
        <v>115</v>
      </c>
      <c r="J7" s="2" t="s">
        <v>115</v>
      </c>
      <c r="K7" s="2" t="str">
        <f t="shared" si="3"/>
        <v/>
      </c>
      <c r="L7" s="7" t="str">
        <f t="shared" si="4"/>
        <v>2001/01/01</v>
      </c>
      <c r="M7" s="7" t="str">
        <f t="shared" si="5"/>
        <v>2199/12/31</v>
      </c>
      <c r="N7" s="2" t="str">
        <f t="shared" ref="N7" si="24">IF(LEFT(G7,1)="W",K7,"")</f>
        <v/>
      </c>
      <c r="O7" s="13" t="str">
        <f t="shared" ref="O7" si="25">IF(G7="","","記載要")</f>
        <v/>
      </c>
      <c r="P7" s="15"/>
      <c r="Q7" s="13">
        <v>15</v>
      </c>
      <c r="R7" s="18">
        <v>100000000</v>
      </c>
      <c r="S7" s="18" t="str" cm="1">
        <f t="array" ref="S7">_xlfn.IFS(LEFT(G7,1)="L","記載要",LEFT(G7,1)="W","記載要",G7="","")</f>
        <v/>
      </c>
      <c r="T7" s="2"/>
      <c r="U7" s="2"/>
      <c r="V7" s="2"/>
      <c r="W7" s="2"/>
      <c r="X7" s="2"/>
      <c r="Y7" s="2"/>
      <c r="Z7" s="2"/>
      <c r="AA7" s="13">
        <v>1</v>
      </c>
      <c r="AB7" s="13">
        <f t="shared" si="6"/>
        <v>0</v>
      </c>
      <c r="AC7" s="13">
        <f t="shared" si="7"/>
        <v>0</v>
      </c>
      <c r="AD7" s="15" t="s">
        <v>115</v>
      </c>
      <c r="AE7" s="15" t="s">
        <v>115</v>
      </c>
      <c r="AF7" s="13" t="str">
        <f t="shared" si="8"/>
        <v>1</v>
      </c>
      <c r="AG7" s="15" t="s">
        <v>115</v>
      </c>
      <c r="AH7" s="15" t="s">
        <v>115</v>
      </c>
      <c r="AI7" s="15" t="s">
        <v>115</v>
      </c>
      <c r="AJ7" s="14" t="s">
        <v>115</v>
      </c>
      <c r="AK7" s="15" cm="1">
        <f t="array" ref="AK7">_xlfn.IFS(B7="","",LEFT(G7,1)="L",1,LEFT(G7,1)="W",1,AND(LEFT(B7,1)="H",G7=""),0)</f>
        <v>0</v>
      </c>
      <c r="AL7" s="15" t="s">
        <v>115</v>
      </c>
      <c r="AM7" s="15" t="s">
        <v>115</v>
      </c>
      <c r="AN7" s="15" t="s">
        <v>115</v>
      </c>
      <c r="AO7" s="15" t="s">
        <v>115</v>
      </c>
      <c r="AP7" s="15" t="s">
        <v>115</v>
      </c>
      <c r="AQ7" s="15" t="s">
        <v>115</v>
      </c>
      <c r="AR7" s="15" t="s">
        <v>115</v>
      </c>
      <c r="AS7" s="15">
        <f t="shared" ref="AS7" si="26">IF(Q7="","",1)</f>
        <v>1</v>
      </c>
      <c r="AT7" s="15" t="s">
        <v>115</v>
      </c>
      <c r="AU7" s="13" t="str">
        <f t="shared" si="9"/>
        <v>0</v>
      </c>
      <c r="AV7" s="15" t="s">
        <v>115</v>
      </c>
      <c r="AW7" s="15" t="s">
        <v>115</v>
      </c>
      <c r="AX7" s="15" t="s">
        <v>115</v>
      </c>
      <c r="AY7" s="15" t="s">
        <v>115</v>
      </c>
      <c r="AZ7" s="14" t="s">
        <v>115</v>
      </c>
      <c r="BA7" s="15" t="s">
        <v>115</v>
      </c>
      <c r="BB7" s="15" t="s">
        <v>115</v>
      </c>
      <c r="BC7" s="15" t="s">
        <v>115</v>
      </c>
      <c r="BD7" s="13" t="str">
        <f t="shared" si="10"/>
        <v>0</v>
      </c>
      <c r="BE7" s="2" t="s">
        <v>115</v>
      </c>
      <c r="BF7" s="2" t="s">
        <v>115</v>
      </c>
      <c r="BG7" s="2" t="s">
        <v>115</v>
      </c>
      <c r="BH7" s="2" t="s">
        <v>115</v>
      </c>
      <c r="BI7" s="2" t="s">
        <v>115</v>
      </c>
      <c r="BJ7" s="2" t="s">
        <v>115</v>
      </c>
      <c r="BK7" s="2" t="s">
        <v>154</v>
      </c>
      <c r="BL7" s="10"/>
      <c r="BM7" t="str" cm="1">
        <f t="array" ref="BM7">_xlfn.IFS(LEFT(G7,1)="L","外注品",LEFT(G7,1)="W","内製品",G7="","購買品")</f>
        <v>購買品</v>
      </c>
    </row>
    <row r="8" spans="1:65">
      <c r="A8" s="2" t="str">
        <f t="shared" si="0"/>
        <v>WG01</v>
      </c>
      <c r="B8" s="2" t="s">
        <v>131</v>
      </c>
      <c r="C8" s="2" t="s">
        <v>143</v>
      </c>
      <c r="D8" s="10" t="str">
        <f t="shared" si="1"/>
        <v>E393428_01</v>
      </c>
      <c r="E8" s="10">
        <f t="shared" si="2"/>
        <v>0</v>
      </c>
      <c r="F8" s="2"/>
      <c r="G8" s="3" t="s">
        <v>192</v>
      </c>
      <c r="H8" s="3" t="str" cm="1">
        <f t="array" ref="H8">IFERROR(_xlfn.IFS(B8="","",AND(B8="",G8=""),"",G8="","記載要"),"")</f>
        <v/>
      </c>
      <c r="I8" s="2" t="s">
        <v>115</v>
      </c>
      <c r="J8" s="2" t="s">
        <v>115</v>
      </c>
      <c r="K8" s="2" t="str">
        <f t="shared" si="3"/>
        <v>11WP01099826</v>
      </c>
      <c r="L8" s="7" t="str">
        <f t="shared" si="4"/>
        <v>2001/01/01</v>
      </c>
      <c r="M8" s="7" t="str">
        <f t="shared" si="5"/>
        <v>2199/12/31</v>
      </c>
      <c r="N8" s="2" t="str">
        <f t="shared" ref="N8:N43" si="27">IF(LEFT(G8,1)="W",K8,"")</f>
        <v>11WP01099826</v>
      </c>
      <c r="O8" s="13">
        <v>15</v>
      </c>
      <c r="P8" s="15"/>
      <c r="Q8" s="13" t="str" cm="1">
        <f t="array" ref="Q8">_xlfn.IFS(AND(C8="",G8=""),"",LEFT(G8,1)="L","記載要",LEFT(G8,1)="W","",AND(C8,G8=""),"記載要")</f>
        <v/>
      </c>
      <c r="R8" s="18" t="str">
        <f t="shared" ref="R8:R43" si="28">IF(H8="","","記載要")</f>
        <v/>
      </c>
      <c r="S8" s="18"/>
      <c r="T8" s="2"/>
      <c r="U8" s="2"/>
      <c r="V8" s="2"/>
      <c r="W8" s="2"/>
      <c r="X8" s="2"/>
      <c r="Y8" s="2"/>
      <c r="Z8" s="2"/>
      <c r="AA8" s="13">
        <v>1</v>
      </c>
      <c r="AB8" s="13">
        <f t="shared" si="6"/>
        <v>0</v>
      </c>
      <c r="AC8" s="13">
        <f t="shared" si="7"/>
        <v>0</v>
      </c>
      <c r="AD8" s="15" t="s">
        <v>115</v>
      </c>
      <c r="AE8" s="15" t="s">
        <v>115</v>
      </c>
      <c r="AF8" s="13" t="str">
        <f t="shared" si="8"/>
        <v>1</v>
      </c>
      <c r="AG8" s="15" t="s">
        <v>115</v>
      </c>
      <c r="AH8" s="15" t="s">
        <v>115</v>
      </c>
      <c r="AI8" s="15" t="s">
        <v>115</v>
      </c>
      <c r="AJ8" s="14" t="s">
        <v>115</v>
      </c>
      <c r="AK8" s="15" cm="1">
        <f t="array" ref="AK8">_xlfn.IFS(B8="","",LEFT(G8,1)="L",1,LEFT(G8,1)="W",1,AND(LEFT(B8,1)="H",G8=""),0)</f>
        <v>1</v>
      </c>
      <c r="AL8" s="15" t="s">
        <v>115</v>
      </c>
      <c r="AM8" s="15" t="s">
        <v>115</v>
      </c>
      <c r="AN8" s="15" t="s">
        <v>115</v>
      </c>
      <c r="AO8" s="15" t="s">
        <v>115</v>
      </c>
      <c r="AP8" s="15" t="s">
        <v>115</v>
      </c>
      <c r="AQ8" s="15" t="s">
        <v>115</v>
      </c>
      <c r="AR8" s="15" t="s">
        <v>115</v>
      </c>
      <c r="AS8" s="15" t="str">
        <f t="shared" ref="AS8:AS43" si="29">IF(Q8="","",1)</f>
        <v/>
      </c>
      <c r="AT8" s="15" t="s">
        <v>115</v>
      </c>
      <c r="AU8" s="13" t="str">
        <f t="shared" si="9"/>
        <v>0</v>
      </c>
      <c r="AV8" s="15" t="s">
        <v>115</v>
      </c>
      <c r="AW8" s="15" t="s">
        <v>115</v>
      </c>
      <c r="AX8" s="15" t="s">
        <v>115</v>
      </c>
      <c r="AY8" s="15" t="s">
        <v>115</v>
      </c>
      <c r="AZ8" s="14" t="s">
        <v>115</v>
      </c>
      <c r="BA8" s="15" t="s">
        <v>115</v>
      </c>
      <c r="BB8" s="15" t="s">
        <v>115</v>
      </c>
      <c r="BC8" s="15" t="s">
        <v>115</v>
      </c>
      <c r="BD8" s="13" t="str">
        <f t="shared" si="10"/>
        <v>0</v>
      </c>
      <c r="BE8" s="2" t="s">
        <v>115</v>
      </c>
      <c r="BF8" s="2" t="s">
        <v>115</v>
      </c>
      <c r="BG8" s="2" t="s">
        <v>115</v>
      </c>
      <c r="BH8" s="2" t="s">
        <v>115</v>
      </c>
      <c r="BI8" s="2" t="s">
        <v>115</v>
      </c>
      <c r="BJ8" s="2" t="s">
        <v>115</v>
      </c>
      <c r="BK8" s="2" t="s">
        <v>155</v>
      </c>
      <c r="BL8" s="10"/>
      <c r="BM8" t="str" cm="1">
        <f t="array" ref="BM8">_xlfn.IFS(LEFT(G8,1)="L","外注品",LEFT(G8,1)="W","内製品",G8="","購買品")</f>
        <v>内製品</v>
      </c>
    </row>
    <row r="9" spans="1:65">
      <c r="A9" s="2" t="str">
        <f t="shared" si="0"/>
        <v>WG01</v>
      </c>
      <c r="B9" s="2" t="s">
        <v>132</v>
      </c>
      <c r="C9" s="2" t="s">
        <v>144</v>
      </c>
      <c r="D9" s="10" t="str">
        <f t="shared" si="1"/>
        <v>E393428_01</v>
      </c>
      <c r="E9" s="10">
        <f t="shared" si="2"/>
        <v>0</v>
      </c>
      <c r="F9" s="2"/>
      <c r="G9" s="3"/>
      <c r="H9" s="3" t="s">
        <v>191</v>
      </c>
      <c r="I9" s="2"/>
      <c r="J9" s="2"/>
      <c r="K9" s="2" t="str">
        <f t="shared" ref="K9:K11" si="30">IF(G9="","","11"&amp;G9&amp;RIGHT(B9,5))</f>
        <v/>
      </c>
      <c r="L9" s="7" t="str">
        <f t="shared" ref="L9:L11" si="31">IF(B9="","","2001/01/01")</f>
        <v>2001/01/01</v>
      </c>
      <c r="M9" s="7" t="str">
        <f t="shared" ref="M9:M11" si="32">IF(C9="","","2199/12/31")</f>
        <v>2199/12/31</v>
      </c>
      <c r="N9" s="2" t="str">
        <f t="shared" si="27"/>
        <v/>
      </c>
      <c r="O9" s="13" t="str">
        <f t="shared" ref="O9:O43" si="33">IF(G9="","","記載要")</f>
        <v/>
      </c>
      <c r="P9" s="15"/>
      <c r="Q9" s="13">
        <v>15</v>
      </c>
      <c r="R9" s="18">
        <v>100000000</v>
      </c>
      <c r="S9" s="18" t="str" cm="1">
        <f t="array" ref="S9">_xlfn.IFS(LEFT(G9,1)="L","記載要",LEFT(G9,1)="W","記載要",G9="","")</f>
        <v/>
      </c>
      <c r="T9" s="2"/>
      <c r="U9" s="2"/>
      <c r="V9" s="2"/>
      <c r="W9" s="2"/>
      <c r="X9" s="2"/>
      <c r="Y9" s="2"/>
      <c r="Z9" s="2"/>
      <c r="AA9" s="13">
        <v>1</v>
      </c>
      <c r="AB9" s="13">
        <f t="shared" ref="AB9:AB11" si="34">IF(B9="","",0)</f>
        <v>0</v>
      </c>
      <c r="AC9" s="13">
        <f t="shared" ref="AC9:AC11" si="35">IF(B9="","",0)</f>
        <v>0</v>
      </c>
      <c r="AD9" s="15"/>
      <c r="AE9" s="15"/>
      <c r="AF9" s="13" t="str">
        <f t="shared" ref="AF9:AF10" si="36">IF(B9="","","1")</f>
        <v>1</v>
      </c>
      <c r="AG9" s="15"/>
      <c r="AH9" s="15"/>
      <c r="AI9" s="15"/>
      <c r="AJ9" s="14"/>
      <c r="AK9" s="15" cm="1">
        <f t="array" ref="AK9">_xlfn.IFS(B9="","",LEFT(G9,1)="L",1,LEFT(G9,1)="W",1,AND(LEFT(B9,1)="H",G9=""),0)</f>
        <v>0</v>
      </c>
      <c r="AL9" s="15"/>
      <c r="AM9" s="15"/>
      <c r="AN9" s="15"/>
      <c r="AO9" s="15"/>
      <c r="AP9" s="15"/>
      <c r="AQ9" s="15"/>
      <c r="AR9" s="15"/>
      <c r="AS9" s="15">
        <f t="shared" si="29"/>
        <v>1</v>
      </c>
      <c r="AT9" s="15" t="s">
        <v>115</v>
      </c>
      <c r="AU9" s="13" t="str">
        <f t="shared" ref="AU9:AU11" si="37">IF(B9="","","0")</f>
        <v>0</v>
      </c>
      <c r="AV9" s="15"/>
      <c r="AW9" s="15"/>
      <c r="AX9" s="15"/>
      <c r="AY9" s="15"/>
      <c r="AZ9" s="14"/>
      <c r="BA9" s="15"/>
      <c r="BB9" s="15"/>
      <c r="BC9" s="15"/>
      <c r="BD9" s="13" t="str">
        <f t="shared" ref="BD9:BD11" si="38">IF(B9="","","0")</f>
        <v>0</v>
      </c>
      <c r="BE9" s="2"/>
      <c r="BF9" s="2"/>
      <c r="BG9" s="2"/>
      <c r="BH9" s="2"/>
      <c r="BI9" s="2"/>
      <c r="BJ9" s="2"/>
      <c r="BK9" s="2" t="s">
        <v>155</v>
      </c>
      <c r="BL9" s="10"/>
      <c r="BM9" t="str" cm="1">
        <f t="array" ref="BM9">_xlfn.IFS(LEFT(G9,1)="L","外注品",LEFT(G9,1)="W","内製品",G9="","購買品")</f>
        <v>購買品</v>
      </c>
    </row>
    <row r="10" spans="1:65">
      <c r="A10" s="2" t="str">
        <f t="shared" si="0"/>
        <v>WG01</v>
      </c>
      <c r="B10" s="2" t="s">
        <v>132</v>
      </c>
      <c r="C10" s="2" t="s">
        <v>144</v>
      </c>
      <c r="D10" s="10" t="str">
        <f t="shared" si="1"/>
        <v>E393428_01</v>
      </c>
      <c r="E10" s="10">
        <f t="shared" si="2"/>
        <v>0</v>
      </c>
      <c r="F10" s="2"/>
      <c r="G10" s="3"/>
      <c r="H10" s="3">
        <v>43453</v>
      </c>
      <c r="I10" s="2"/>
      <c r="J10" s="2"/>
      <c r="K10" s="2" t="str">
        <f t="shared" si="30"/>
        <v/>
      </c>
      <c r="L10" s="7" t="str">
        <f t="shared" si="31"/>
        <v>2001/01/01</v>
      </c>
      <c r="M10" s="7" t="str">
        <f t="shared" si="32"/>
        <v>2199/12/31</v>
      </c>
      <c r="N10" s="2" t="str">
        <f t="shared" si="27"/>
        <v/>
      </c>
      <c r="O10" s="13" t="str">
        <f t="shared" si="33"/>
        <v/>
      </c>
      <c r="P10" s="15"/>
      <c r="Q10" s="13">
        <v>15</v>
      </c>
      <c r="R10" s="18">
        <v>100000000</v>
      </c>
      <c r="S10" s="18" t="str" cm="1">
        <f t="array" ref="S10">_xlfn.IFS(LEFT(G10,1)="L","記載要",LEFT(G10,1)="W","記載要",G10="","")</f>
        <v/>
      </c>
      <c r="T10" s="2"/>
      <c r="U10" s="2"/>
      <c r="V10" s="2"/>
      <c r="W10" s="2"/>
      <c r="X10" s="2"/>
      <c r="Y10" s="2"/>
      <c r="Z10" s="2"/>
      <c r="AA10" s="13">
        <v>1</v>
      </c>
      <c r="AB10" s="13">
        <f t="shared" si="34"/>
        <v>0</v>
      </c>
      <c r="AC10" s="13">
        <f t="shared" si="35"/>
        <v>0</v>
      </c>
      <c r="AD10" s="15"/>
      <c r="AE10" s="15"/>
      <c r="AF10" s="13" t="str">
        <f t="shared" si="36"/>
        <v>1</v>
      </c>
      <c r="AG10" s="15"/>
      <c r="AH10" s="15"/>
      <c r="AI10" s="15"/>
      <c r="AJ10" s="14"/>
      <c r="AK10" s="15" cm="1">
        <f t="array" ref="AK10">_xlfn.IFS(B10="","",LEFT(G10,1)="L",1,LEFT(G10,1)="W",1,AND(LEFT(B10,1)="H",G10=""),0)</f>
        <v>0</v>
      </c>
      <c r="AL10" s="15"/>
      <c r="AM10" s="15"/>
      <c r="AN10" s="15"/>
      <c r="AO10" s="15"/>
      <c r="AP10" s="15"/>
      <c r="AQ10" s="15"/>
      <c r="AR10" s="15"/>
      <c r="AS10" s="15">
        <f t="shared" si="29"/>
        <v>1</v>
      </c>
      <c r="AT10" s="15" t="s">
        <v>115</v>
      </c>
      <c r="AU10" s="13" t="str">
        <f t="shared" si="37"/>
        <v>0</v>
      </c>
      <c r="AV10" s="15"/>
      <c r="AW10" s="15"/>
      <c r="AX10" s="15"/>
      <c r="AY10" s="15"/>
      <c r="AZ10" s="14"/>
      <c r="BA10" s="15"/>
      <c r="BB10" s="15"/>
      <c r="BC10" s="15"/>
      <c r="BD10" s="13" t="str">
        <f t="shared" si="38"/>
        <v>0</v>
      </c>
      <c r="BE10" s="2"/>
      <c r="BF10" s="2"/>
      <c r="BG10" s="2"/>
      <c r="BH10" s="2"/>
      <c r="BI10" s="2"/>
      <c r="BJ10" s="2"/>
      <c r="BK10" s="2" t="s">
        <v>155</v>
      </c>
      <c r="BL10" s="10"/>
      <c r="BM10" t="str" cm="1">
        <f t="array" ref="BM10">_xlfn.IFS(LEFT(G10,1)="L","外注品",LEFT(G10,1)="W","内製品",G10="","購買品")</f>
        <v>購買品</v>
      </c>
    </row>
    <row r="11" spans="1:65">
      <c r="A11" s="2" t="str">
        <f t="shared" si="0"/>
        <v>WG01</v>
      </c>
      <c r="B11" s="2" t="s">
        <v>132</v>
      </c>
      <c r="C11" s="2" t="s">
        <v>144</v>
      </c>
      <c r="D11" s="10" t="str">
        <f t="shared" si="1"/>
        <v>E393428_01</v>
      </c>
      <c r="E11" s="10">
        <f t="shared" si="2"/>
        <v>0</v>
      </c>
      <c r="F11" s="2"/>
      <c r="G11" s="3"/>
      <c r="H11" s="3">
        <v>47081</v>
      </c>
      <c r="I11" s="2"/>
      <c r="J11" s="2"/>
      <c r="K11" s="2" t="str">
        <f t="shared" si="30"/>
        <v/>
      </c>
      <c r="L11" s="7" t="str">
        <f t="shared" si="31"/>
        <v>2001/01/01</v>
      </c>
      <c r="M11" s="7" t="str">
        <f t="shared" si="32"/>
        <v>2199/12/31</v>
      </c>
      <c r="N11" s="2" t="str">
        <f t="shared" si="27"/>
        <v/>
      </c>
      <c r="O11" s="13" t="str">
        <f t="shared" si="33"/>
        <v/>
      </c>
      <c r="P11" s="15"/>
      <c r="Q11" s="13">
        <v>15</v>
      </c>
      <c r="R11" s="18">
        <v>100000000</v>
      </c>
      <c r="S11" s="18" t="str" cm="1">
        <f t="array" ref="S11">_xlfn.IFS(LEFT(G11,1)="L","記載要",LEFT(G11,1)="W","記載要",G11="","")</f>
        <v/>
      </c>
      <c r="T11" s="2"/>
      <c r="U11" s="2"/>
      <c r="V11" s="2"/>
      <c r="W11" s="2"/>
      <c r="X11" s="2"/>
      <c r="Y11" s="2"/>
      <c r="Z11" s="2"/>
      <c r="AA11" s="13">
        <v>1</v>
      </c>
      <c r="AB11" s="13">
        <f t="shared" si="34"/>
        <v>0</v>
      </c>
      <c r="AC11" s="13">
        <f t="shared" si="35"/>
        <v>0</v>
      </c>
      <c r="AD11" s="15"/>
      <c r="AE11" s="15"/>
      <c r="AF11" s="13">
        <v>0</v>
      </c>
      <c r="AG11" s="15"/>
      <c r="AH11" s="15"/>
      <c r="AI11" s="15"/>
      <c r="AJ11" s="14"/>
      <c r="AK11" s="15" cm="1">
        <f t="array" ref="AK11">_xlfn.IFS(B11="","",LEFT(G11,1)="L",1,LEFT(G11,1)="W",1,AND(LEFT(B11,1)="H",G11=""),0)</f>
        <v>0</v>
      </c>
      <c r="AL11" s="15"/>
      <c r="AM11" s="15"/>
      <c r="AN11" s="15"/>
      <c r="AO11" s="15"/>
      <c r="AP11" s="15"/>
      <c r="AQ11" s="15"/>
      <c r="AR11" s="15"/>
      <c r="AS11" s="15">
        <f t="shared" si="29"/>
        <v>1</v>
      </c>
      <c r="AT11" s="15" t="s">
        <v>115</v>
      </c>
      <c r="AU11" s="13" t="str">
        <f t="shared" si="37"/>
        <v>0</v>
      </c>
      <c r="AV11" s="15"/>
      <c r="AW11" s="15"/>
      <c r="AX11" s="15"/>
      <c r="AY11" s="15"/>
      <c r="AZ11" s="14"/>
      <c r="BA11" s="15"/>
      <c r="BB11" s="15"/>
      <c r="BC11" s="15"/>
      <c r="BD11" s="13" t="str">
        <f t="shared" si="38"/>
        <v>0</v>
      </c>
      <c r="BE11" s="2"/>
      <c r="BF11" s="2"/>
      <c r="BG11" s="2"/>
      <c r="BH11" s="2"/>
      <c r="BI11" s="2"/>
      <c r="BJ11" s="2"/>
      <c r="BK11" s="2" t="s">
        <v>155</v>
      </c>
      <c r="BL11" s="10"/>
      <c r="BM11" t="str" cm="1">
        <f t="array" ref="BM11">_xlfn.IFS(LEFT(G11,1)="L","外注品",LEFT(G11,1)="W","内製品",G11="","購買品")</f>
        <v>購買品</v>
      </c>
    </row>
    <row r="12" spans="1:65">
      <c r="A12" s="2" t="str">
        <f t="shared" ref="A12" si="39">IF(B12="","","WG01")</f>
        <v>WG01</v>
      </c>
      <c r="B12" s="2" t="s">
        <v>132</v>
      </c>
      <c r="C12" s="2" t="s">
        <v>144</v>
      </c>
      <c r="D12" s="10" t="str">
        <f t="shared" ref="D12" si="40">BK12</f>
        <v>E393428_01</v>
      </c>
      <c r="E12" s="10">
        <f t="shared" ref="E12" si="41">BL12</f>
        <v>0</v>
      </c>
      <c r="F12" s="2"/>
      <c r="G12" s="3"/>
      <c r="H12" s="3">
        <v>27616</v>
      </c>
      <c r="I12" s="2"/>
      <c r="J12" s="2"/>
      <c r="K12" s="2" t="str">
        <f t="shared" si="3"/>
        <v/>
      </c>
      <c r="L12" s="7" t="str">
        <f t="shared" si="4"/>
        <v>2001/01/01</v>
      </c>
      <c r="M12" s="7" t="str">
        <f t="shared" si="5"/>
        <v>2199/12/31</v>
      </c>
      <c r="N12" s="2" t="str">
        <f t="shared" ref="N12" si="42">IF(LEFT(G12,1)="W",K12,"")</f>
        <v/>
      </c>
      <c r="O12" s="13" t="str">
        <f t="shared" ref="O12" si="43">IF(G12="","","記載要")</f>
        <v/>
      </c>
      <c r="P12" s="15"/>
      <c r="Q12" s="13">
        <v>15</v>
      </c>
      <c r="R12" s="18">
        <v>100000000</v>
      </c>
      <c r="S12" s="18" t="str" cm="1">
        <f t="array" ref="S12">_xlfn.IFS(LEFT(G12,1)="L","記載要",LEFT(G12,1)="W","記載要",G12="","")</f>
        <v/>
      </c>
      <c r="T12" s="2"/>
      <c r="U12" s="2"/>
      <c r="V12" s="2"/>
      <c r="W12" s="2"/>
      <c r="X12" s="2"/>
      <c r="Y12" s="2"/>
      <c r="Z12" s="2"/>
      <c r="AA12" s="13">
        <v>1</v>
      </c>
      <c r="AB12" s="13">
        <f t="shared" si="6"/>
        <v>0</v>
      </c>
      <c r="AC12" s="13">
        <f t="shared" si="7"/>
        <v>0</v>
      </c>
      <c r="AD12" s="15"/>
      <c r="AE12" s="15"/>
      <c r="AF12" s="13" t="str">
        <f t="shared" si="8"/>
        <v>1</v>
      </c>
      <c r="AG12" s="15"/>
      <c r="AH12" s="15"/>
      <c r="AI12" s="15"/>
      <c r="AJ12" s="14"/>
      <c r="AK12" s="15" cm="1">
        <f t="array" ref="AK12">_xlfn.IFS(B12="","",LEFT(G12,1)="L",1,LEFT(G12,1)="W",1,AND(LEFT(B12,1)="H",G12=""),0)</f>
        <v>0</v>
      </c>
      <c r="AL12" s="15"/>
      <c r="AM12" s="15"/>
      <c r="AN12" s="15"/>
      <c r="AO12" s="15"/>
      <c r="AP12" s="15"/>
      <c r="AQ12" s="15"/>
      <c r="AR12" s="15"/>
      <c r="AS12" s="15">
        <f t="shared" ref="AS12" si="44">IF(Q12="","",1)</f>
        <v>1</v>
      </c>
      <c r="AT12" s="15" t="s">
        <v>115</v>
      </c>
      <c r="AU12" s="13" t="str">
        <f t="shared" si="9"/>
        <v>0</v>
      </c>
      <c r="AV12" s="15"/>
      <c r="AW12" s="15"/>
      <c r="AX12" s="15"/>
      <c r="AY12" s="15"/>
      <c r="AZ12" s="14"/>
      <c r="BA12" s="15"/>
      <c r="BB12" s="15"/>
      <c r="BC12" s="15"/>
      <c r="BD12" s="13" t="str">
        <f t="shared" si="10"/>
        <v>0</v>
      </c>
      <c r="BE12" s="2"/>
      <c r="BF12" s="2"/>
      <c r="BG12" s="2"/>
      <c r="BH12" s="2"/>
      <c r="BI12" s="2"/>
      <c r="BJ12" s="2"/>
      <c r="BK12" s="2" t="s">
        <v>155</v>
      </c>
      <c r="BL12" s="10"/>
      <c r="BM12" t="str" cm="1">
        <f t="array" ref="BM12">_xlfn.IFS(LEFT(G12,1)="L","外注品",LEFT(G12,1)="W","内製品",G12="","購買品")</f>
        <v>購買品</v>
      </c>
    </row>
    <row r="13" spans="1:65">
      <c r="A13" s="2" t="str">
        <f t="shared" si="0"/>
        <v>WG01</v>
      </c>
      <c r="B13" s="2" t="s">
        <v>133</v>
      </c>
      <c r="C13" s="2" t="s">
        <v>145</v>
      </c>
      <c r="D13" s="10" t="str">
        <f t="shared" si="1"/>
        <v>E394128_01</v>
      </c>
      <c r="E13" s="10">
        <f t="shared" si="2"/>
        <v>0</v>
      </c>
      <c r="F13" s="2"/>
      <c r="G13" s="3" t="s">
        <v>192</v>
      </c>
      <c r="H13" s="3" t="str" cm="1">
        <f t="array" ref="H13">IFERROR(_xlfn.IFS(B13="","",AND(B13="",G13=""),"",G13="","記載要"),"")</f>
        <v/>
      </c>
      <c r="I13" s="2"/>
      <c r="J13" s="2"/>
      <c r="K13" s="2" t="str">
        <f t="shared" si="3"/>
        <v>11WP01099828</v>
      </c>
      <c r="L13" s="7" t="str">
        <f t="shared" si="4"/>
        <v>2001/01/01</v>
      </c>
      <c r="M13" s="7" t="str">
        <f t="shared" si="5"/>
        <v>2199/12/31</v>
      </c>
      <c r="N13" s="2" t="str">
        <f t="shared" si="27"/>
        <v>11WP01099828</v>
      </c>
      <c r="O13" s="13">
        <v>15</v>
      </c>
      <c r="P13" s="15"/>
      <c r="Q13" s="13" t="str" cm="1">
        <f t="array" ref="Q13">_xlfn.IFS(AND(C13="",G13=""),"",LEFT(G13,1)="L","記載要",LEFT(G13,1)="W","",AND(C13,G13=""),"記載要")</f>
        <v/>
      </c>
      <c r="R13" s="18" t="str">
        <f t="shared" si="28"/>
        <v/>
      </c>
      <c r="S13" s="18"/>
      <c r="T13" s="2"/>
      <c r="U13" s="2"/>
      <c r="V13" s="2"/>
      <c r="W13" s="2"/>
      <c r="X13" s="2"/>
      <c r="Y13" s="2"/>
      <c r="Z13" s="2"/>
      <c r="AA13" s="13">
        <v>1</v>
      </c>
      <c r="AB13" s="13">
        <f t="shared" si="6"/>
        <v>0</v>
      </c>
      <c r="AC13" s="13">
        <f t="shared" si="7"/>
        <v>0</v>
      </c>
      <c r="AD13" s="15"/>
      <c r="AE13" s="15"/>
      <c r="AF13" s="13" t="str">
        <f t="shared" si="8"/>
        <v>1</v>
      </c>
      <c r="AG13" s="15"/>
      <c r="AH13" s="15"/>
      <c r="AI13" s="15"/>
      <c r="AJ13" s="14"/>
      <c r="AK13" s="15" cm="1">
        <f t="array" ref="AK13">_xlfn.IFS(B13="","",LEFT(G13,1)="L",1,LEFT(G13,1)="W",1,AND(LEFT(B13,1)="H",G13=""),0)</f>
        <v>1</v>
      </c>
      <c r="AL13" s="15"/>
      <c r="AM13" s="15"/>
      <c r="AN13" s="15"/>
      <c r="AO13" s="15"/>
      <c r="AP13" s="15"/>
      <c r="AQ13" s="15"/>
      <c r="AR13" s="15"/>
      <c r="AS13" s="15" t="str">
        <f t="shared" si="29"/>
        <v/>
      </c>
      <c r="AT13" s="15" t="s">
        <v>115</v>
      </c>
      <c r="AU13" s="13" t="str">
        <f t="shared" si="9"/>
        <v>0</v>
      </c>
      <c r="AV13" s="15"/>
      <c r="AW13" s="15"/>
      <c r="AX13" s="15"/>
      <c r="AY13" s="15"/>
      <c r="AZ13" s="14"/>
      <c r="BA13" s="15"/>
      <c r="BB13" s="15"/>
      <c r="BC13" s="15"/>
      <c r="BD13" s="13" t="str">
        <f t="shared" si="10"/>
        <v>0</v>
      </c>
      <c r="BE13" s="2"/>
      <c r="BF13" s="2"/>
      <c r="BG13" s="2"/>
      <c r="BH13" s="2"/>
      <c r="BI13" s="2"/>
      <c r="BJ13" s="2"/>
      <c r="BK13" s="2" t="s">
        <v>156</v>
      </c>
      <c r="BL13" s="10"/>
      <c r="BM13" t="str" cm="1">
        <f t="array" ref="BM13">_xlfn.IFS(LEFT(G13,1)="L","外注品",LEFT(G13,1)="W","内製品",G13="","購買品")</f>
        <v>内製品</v>
      </c>
    </row>
    <row r="14" spans="1:65">
      <c r="A14" s="2" t="str">
        <f t="shared" si="0"/>
        <v>WG01</v>
      </c>
      <c r="B14" s="2" t="s">
        <v>134</v>
      </c>
      <c r="C14" s="2" t="s">
        <v>146</v>
      </c>
      <c r="D14" s="10" t="str">
        <f t="shared" si="1"/>
        <v>E364913_01</v>
      </c>
      <c r="E14" s="10">
        <f t="shared" si="2"/>
        <v>0</v>
      </c>
      <c r="F14" s="2"/>
      <c r="G14" s="3"/>
      <c r="H14" s="3" t="s">
        <v>191</v>
      </c>
      <c r="I14" s="2"/>
      <c r="J14" s="2"/>
      <c r="K14" s="2" t="str">
        <f t="shared" ref="K14:K16" si="45">IF(G14="","","11"&amp;G14&amp;RIGHT(B14,5))</f>
        <v/>
      </c>
      <c r="L14" s="7" t="str">
        <f t="shared" ref="L14:L16" si="46">IF(B14="","","2001/01/01")</f>
        <v>2001/01/01</v>
      </c>
      <c r="M14" s="7" t="str">
        <f t="shared" ref="M14:M16" si="47">IF(C14="","","2199/12/31")</f>
        <v>2199/12/31</v>
      </c>
      <c r="N14" s="2" t="str">
        <f t="shared" si="27"/>
        <v/>
      </c>
      <c r="O14" s="13" t="str">
        <f t="shared" si="33"/>
        <v/>
      </c>
      <c r="P14" s="15"/>
      <c r="Q14" s="13">
        <v>15</v>
      </c>
      <c r="R14" s="18">
        <v>100000000</v>
      </c>
      <c r="S14" s="18" t="str" cm="1">
        <f t="array" ref="S14">_xlfn.IFS(LEFT(G14,1)="L","記載要",LEFT(G14,1)="W","記載要",G14="","")</f>
        <v/>
      </c>
      <c r="T14" s="2"/>
      <c r="U14" s="2"/>
      <c r="V14" s="2"/>
      <c r="W14" s="2"/>
      <c r="X14" s="2"/>
      <c r="Y14" s="2"/>
      <c r="Z14" s="2"/>
      <c r="AA14" s="13">
        <v>1</v>
      </c>
      <c r="AB14" s="13">
        <f t="shared" ref="AB14:AB16" si="48">IF(B14="","",0)</f>
        <v>0</v>
      </c>
      <c r="AC14" s="13">
        <f t="shared" ref="AC14:AC16" si="49">IF(B14="","",0)</f>
        <v>0</v>
      </c>
      <c r="AD14" s="15"/>
      <c r="AE14" s="15"/>
      <c r="AF14" s="13" t="str">
        <f t="shared" ref="AF14:AF15" si="50">IF(B14="","","1")</f>
        <v>1</v>
      </c>
      <c r="AG14" s="15"/>
      <c r="AH14" s="15"/>
      <c r="AI14" s="15"/>
      <c r="AJ14" s="14"/>
      <c r="AK14" s="15" cm="1">
        <f t="array" ref="AK14">_xlfn.IFS(B14="","",LEFT(G14,1)="L",1,LEFT(G14,1)="W",1,AND(LEFT(B14,1)="H",G14=""),0)</f>
        <v>0</v>
      </c>
      <c r="AL14" s="15"/>
      <c r="AM14" s="15"/>
      <c r="AN14" s="15"/>
      <c r="AO14" s="15"/>
      <c r="AP14" s="15"/>
      <c r="AQ14" s="15"/>
      <c r="AR14" s="15"/>
      <c r="AS14" s="15">
        <f t="shared" si="29"/>
        <v>1</v>
      </c>
      <c r="AT14" s="15" t="s">
        <v>115</v>
      </c>
      <c r="AU14" s="13" t="str">
        <f t="shared" ref="AU14:AU16" si="51">IF(B14="","","0")</f>
        <v>0</v>
      </c>
      <c r="AV14" s="15"/>
      <c r="AW14" s="15"/>
      <c r="AX14" s="15"/>
      <c r="AY14" s="15"/>
      <c r="AZ14" s="14"/>
      <c r="BA14" s="15"/>
      <c r="BB14" s="15"/>
      <c r="BC14" s="15"/>
      <c r="BD14" s="13" t="str">
        <f t="shared" ref="BD14:BD16" si="52">IF(B14="","","0")</f>
        <v>0</v>
      </c>
      <c r="BE14" s="2"/>
      <c r="BF14" s="2"/>
      <c r="BG14" s="2"/>
      <c r="BH14" s="2"/>
      <c r="BI14" s="2"/>
      <c r="BJ14" s="2"/>
      <c r="BK14" s="2" t="s">
        <v>157</v>
      </c>
      <c r="BL14" s="10"/>
      <c r="BM14" t="str" cm="1">
        <f t="array" ref="BM14">_xlfn.IFS(LEFT(G14,1)="L","外注品",LEFT(G14,1)="W","内製品",G14="","購買品")</f>
        <v>購買品</v>
      </c>
    </row>
    <row r="15" spans="1:65">
      <c r="A15" s="2" t="str">
        <f t="shared" si="0"/>
        <v>WG01</v>
      </c>
      <c r="B15" s="2" t="s">
        <v>134</v>
      </c>
      <c r="C15" s="2" t="s">
        <v>146</v>
      </c>
      <c r="D15" s="10" t="str">
        <f t="shared" si="1"/>
        <v>E364913_01</v>
      </c>
      <c r="E15" s="10">
        <f t="shared" si="2"/>
        <v>0</v>
      </c>
      <c r="F15" s="2"/>
      <c r="G15" s="3"/>
      <c r="H15" s="3">
        <v>43453</v>
      </c>
      <c r="I15" s="2"/>
      <c r="J15" s="2"/>
      <c r="K15" s="2" t="str">
        <f t="shared" si="45"/>
        <v/>
      </c>
      <c r="L15" s="7" t="str">
        <f t="shared" si="46"/>
        <v>2001/01/01</v>
      </c>
      <c r="M15" s="7" t="str">
        <f t="shared" si="47"/>
        <v>2199/12/31</v>
      </c>
      <c r="N15" s="2" t="str">
        <f t="shared" si="27"/>
        <v/>
      </c>
      <c r="O15" s="13" t="str">
        <f t="shared" si="33"/>
        <v/>
      </c>
      <c r="P15" s="15"/>
      <c r="Q15" s="13">
        <v>15</v>
      </c>
      <c r="R15" s="18">
        <v>100000000</v>
      </c>
      <c r="S15" s="18" t="str" cm="1">
        <f t="array" ref="S15">_xlfn.IFS(LEFT(G15,1)="L","記載要",LEFT(G15,1)="W","記載要",G15="","")</f>
        <v/>
      </c>
      <c r="T15" s="2"/>
      <c r="U15" s="2"/>
      <c r="V15" s="2"/>
      <c r="W15" s="2"/>
      <c r="X15" s="2"/>
      <c r="Y15" s="2"/>
      <c r="Z15" s="2"/>
      <c r="AA15" s="13">
        <v>1</v>
      </c>
      <c r="AB15" s="13">
        <f t="shared" si="48"/>
        <v>0</v>
      </c>
      <c r="AC15" s="13">
        <f t="shared" si="49"/>
        <v>0</v>
      </c>
      <c r="AD15" s="15"/>
      <c r="AE15" s="15"/>
      <c r="AF15" s="13" t="str">
        <f t="shared" si="50"/>
        <v>1</v>
      </c>
      <c r="AG15" s="15"/>
      <c r="AH15" s="15"/>
      <c r="AI15" s="15"/>
      <c r="AJ15" s="14"/>
      <c r="AK15" s="15" cm="1">
        <f t="array" ref="AK15">_xlfn.IFS(B15="","",LEFT(G15,1)="L",1,LEFT(G15,1)="W",1,AND(LEFT(B15,1)="H",G15=""),0)</f>
        <v>0</v>
      </c>
      <c r="AL15" s="15"/>
      <c r="AM15" s="15"/>
      <c r="AN15" s="15"/>
      <c r="AO15" s="15"/>
      <c r="AP15" s="15"/>
      <c r="AQ15" s="15"/>
      <c r="AR15" s="15"/>
      <c r="AS15" s="15">
        <f t="shared" si="29"/>
        <v>1</v>
      </c>
      <c r="AT15" s="15" t="s">
        <v>115</v>
      </c>
      <c r="AU15" s="13" t="str">
        <f t="shared" si="51"/>
        <v>0</v>
      </c>
      <c r="AV15" s="15"/>
      <c r="AW15" s="15"/>
      <c r="AX15" s="15"/>
      <c r="AY15" s="15"/>
      <c r="AZ15" s="14"/>
      <c r="BA15" s="15"/>
      <c r="BB15" s="15"/>
      <c r="BC15" s="15"/>
      <c r="BD15" s="13" t="str">
        <f t="shared" si="52"/>
        <v>0</v>
      </c>
      <c r="BE15" s="2"/>
      <c r="BF15" s="2"/>
      <c r="BG15" s="2"/>
      <c r="BH15" s="2"/>
      <c r="BI15" s="2"/>
      <c r="BJ15" s="2"/>
      <c r="BK15" s="2" t="s">
        <v>157</v>
      </c>
      <c r="BL15" s="10"/>
      <c r="BM15" t="str" cm="1">
        <f t="array" ref="BM15">_xlfn.IFS(LEFT(G15,1)="L","外注品",LEFT(G15,1)="W","内製品",G15="","購買品")</f>
        <v>購買品</v>
      </c>
    </row>
    <row r="16" spans="1:65">
      <c r="A16" s="2" t="str">
        <f t="shared" si="0"/>
        <v>WG01</v>
      </c>
      <c r="B16" s="2" t="s">
        <v>134</v>
      </c>
      <c r="C16" s="2" t="s">
        <v>146</v>
      </c>
      <c r="D16" s="10" t="str">
        <f t="shared" si="1"/>
        <v>E364913_01</v>
      </c>
      <c r="E16" s="10">
        <f t="shared" si="2"/>
        <v>0</v>
      </c>
      <c r="F16" s="2"/>
      <c r="G16" s="3"/>
      <c r="H16" s="3">
        <v>47081</v>
      </c>
      <c r="I16" s="2"/>
      <c r="J16" s="2"/>
      <c r="K16" s="2" t="str">
        <f t="shared" si="45"/>
        <v/>
      </c>
      <c r="L16" s="7" t="str">
        <f t="shared" si="46"/>
        <v>2001/01/01</v>
      </c>
      <c r="M16" s="7" t="str">
        <f t="shared" si="47"/>
        <v>2199/12/31</v>
      </c>
      <c r="N16" s="2" t="str">
        <f t="shared" si="27"/>
        <v/>
      </c>
      <c r="O16" s="13" t="str">
        <f t="shared" si="33"/>
        <v/>
      </c>
      <c r="P16" s="15"/>
      <c r="Q16" s="13">
        <v>15</v>
      </c>
      <c r="R16" s="18">
        <v>100000000</v>
      </c>
      <c r="S16" s="18" t="str" cm="1">
        <f t="array" ref="S16">_xlfn.IFS(LEFT(G16,1)="L","記載要",LEFT(G16,1)="W","記載要",G16="","")</f>
        <v/>
      </c>
      <c r="T16" s="2"/>
      <c r="U16" s="2"/>
      <c r="V16" s="2"/>
      <c r="W16" s="2"/>
      <c r="X16" s="2"/>
      <c r="Y16" s="2"/>
      <c r="Z16" s="2"/>
      <c r="AA16" s="13">
        <v>1</v>
      </c>
      <c r="AB16" s="13">
        <f t="shared" si="48"/>
        <v>0</v>
      </c>
      <c r="AC16" s="13">
        <f t="shared" si="49"/>
        <v>0</v>
      </c>
      <c r="AD16" s="15"/>
      <c r="AE16" s="15"/>
      <c r="AF16" s="13">
        <v>0</v>
      </c>
      <c r="AG16" s="15"/>
      <c r="AH16" s="15"/>
      <c r="AI16" s="15"/>
      <c r="AJ16" s="14"/>
      <c r="AK16" s="15" cm="1">
        <f t="array" ref="AK16">_xlfn.IFS(B16="","",LEFT(G16,1)="L",1,LEFT(G16,1)="W",1,AND(LEFT(B16,1)="H",G16=""),0)</f>
        <v>0</v>
      </c>
      <c r="AL16" s="15"/>
      <c r="AM16" s="15"/>
      <c r="AN16" s="15"/>
      <c r="AO16" s="15"/>
      <c r="AP16" s="15"/>
      <c r="AQ16" s="15"/>
      <c r="AR16" s="15"/>
      <c r="AS16" s="15">
        <f t="shared" si="29"/>
        <v>1</v>
      </c>
      <c r="AT16" s="15" t="s">
        <v>115</v>
      </c>
      <c r="AU16" s="13" t="str">
        <f t="shared" si="51"/>
        <v>0</v>
      </c>
      <c r="AV16" s="15"/>
      <c r="AW16" s="15"/>
      <c r="AX16" s="15"/>
      <c r="AY16" s="15"/>
      <c r="AZ16" s="14"/>
      <c r="BA16" s="15"/>
      <c r="BB16" s="15"/>
      <c r="BC16" s="15"/>
      <c r="BD16" s="13" t="str">
        <f t="shared" si="52"/>
        <v>0</v>
      </c>
      <c r="BE16" s="2"/>
      <c r="BF16" s="2"/>
      <c r="BG16" s="2"/>
      <c r="BH16" s="2"/>
      <c r="BI16" s="2"/>
      <c r="BJ16" s="2"/>
      <c r="BK16" s="2" t="s">
        <v>157</v>
      </c>
      <c r="BL16" s="10"/>
      <c r="BM16" t="str" cm="1">
        <f t="array" ref="BM16">_xlfn.IFS(LEFT(G16,1)="L","外注品",LEFT(G16,1)="W","内製品",G16="","購買品")</f>
        <v>購買品</v>
      </c>
    </row>
    <row r="17" spans="1:65">
      <c r="A17" s="2" t="str">
        <f t="shared" ref="A17" si="53">IF(B17="","","WG01")</f>
        <v>WG01</v>
      </c>
      <c r="B17" s="2" t="s">
        <v>134</v>
      </c>
      <c r="C17" s="2" t="s">
        <v>146</v>
      </c>
      <c r="D17" s="10" t="str">
        <f t="shared" ref="D17" si="54">BK17</f>
        <v>E364913_01</v>
      </c>
      <c r="E17" s="10">
        <f t="shared" ref="E17" si="55">BL17</f>
        <v>0</v>
      </c>
      <c r="F17" s="2"/>
      <c r="G17" s="3"/>
      <c r="H17" s="3">
        <v>27616</v>
      </c>
      <c r="I17" s="2"/>
      <c r="J17" s="2"/>
      <c r="K17" s="2" t="str">
        <f t="shared" si="3"/>
        <v/>
      </c>
      <c r="L17" s="7" t="str">
        <f t="shared" si="4"/>
        <v>2001/01/01</v>
      </c>
      <c r="M17" s="7" t="str">
        <f t="shared" si="5"/>
        <v>2199/12/31</v>
      </c>
      <c r="N17" s="2" t="str">
        <f t="shared" ref="N17" si="56">IF(LEFT(G17,1)="W",K17,"")</f>
        <v/>
      </c>
      <c r="O17" s="13" t="str">
        <f t="shared" ref="O17" si="57">IF(G17="","","記載要")</f>
        <v/>
      </c>
      <c r="P17" s="15"/>
      <c r="Q17" s="13">
        <v>15</v>
      </c>
      <c r="R17" s="18">
        <v>100000000</v>
      </c>
      <c r="S17" s="18" t="str" cm="1">
        <f t="array" ref="S17">_xlfn.IFS(LEFT(G17,1)="L","記載要",LEFT(G17,1)="W","記載要",G17="","")</f>
        <v/>
      </c>
      <c r="T17" s="2"/>
      <c r="U17" s="2"/>
      <c r="V17" s="2"/>
      <c r="W17" s="2"/>
      <c r="X17" s="2"/>
      <c r="Y17" s="2"/>
      <c r="Z17" s="2"/>
      <c r="AA17" s="13">
        <v>1</v>
      </c>
      <c r="AB17" s="13">
        <f t="shared" si="6"/>
        <v>0</v>
      </c>
      <c r="AC17" s="13">
        <f t="shared" si="7"/>
        <v>0</v>
      </c>
      <c r="AD17" s="15"/>
      <c r="AE17" s="15"/>
      <c r="AF17" s="13" t="str">
        <f t="shared" si="8"/>
        <v>1</v>
      </c>
      <c r="AG17" s="15"/>
      <c r="AH17" s="15"/>
      <c r="AI17" s="15"/>
      <c r="AJ17" s="14"/>
      <c r="AK17" s="15" cm="1">
        <f t="array" ref="AK17">_xlfn.IFS(B17="","",LEFT(G17,1)="L",1,LEFT(G17,1)="W",1,AND(LEFT(B17,1)="H",G17=""),0)</f>
        <v>0</v>
      </c>
      <c r="AL17" s="15"/>
      <c r="AM17" s="15"/>
      <c r="AN17" s="15"/>
      <c r="AO17" s="15"/>
      <c r="AP17" s="15"/>
      <c r="AQ17" s="15"/>
      <c r="AR17" s="15"/>
      <c r="AS17" s="15">
        <f t="shared" ref="AS17" si="58">IF(Q17="","",1)</f>
        <v>1</v>
      </c>
      <c r="AT17" s="15" t="s">
        <v>115</v>
      </c>
      <c r="AU17" s="13" t="str">
        <f t="shared" si="9"/>
        <v>0</v>
      </c>
      <c r="AV17" s="15"/>
      <c r="AW17" s="15"/>
      <c r="AX17" s="15"/>
      <c r="AY17" s="15"/>
      <c r="AZ17" s="14"/>
      <c r="BA17" s="15"/>
      <c r="BB17" s="15"/>
      <c r="BC17" s="15"/>
      <c r="BD17" s="13" t="str">
        <f t="shared" si="10"/>
        <v>0</v>
      </c>
      <c r="BE17" s="2"/>
      <c r="BF17" s="2"/>
      <c r="BG17" s="2"/>
      <c r="BH17" s="2"/>
      <c r="BI17" s="2"/>
      <c r="BJ17" s="2"/>
      <c r="BK17" s="2" t="s">
        <v>157</v>
      </c>
      <c r="BL17" s="10"/>
      <c r="BM17" t="str" cm="1">
        <f t="array" ref="BM17">_xlfn.IFS(LEFT(G17,1)="L","外注品",LEFT(G17,1)="W","内製品",G17="","購買品")</f>
        <v>購買品</v>
      </c>
    </row>
    <row r="18" spans="1:65">
      <c r="A18" s="2" t="str">
        <f t="shared" si="0"/>
        <v>WG01</v>
      </c>
      <c r="B18" s="2" t="s">
        <v>135</v>
      </c>
      <c r="C18" s="2" t="s">
        <v>147</v>
      </c>
      <c r="D18" s="10" t="str">
        <f t="shared" si="1"/>
        <v>E394318_01</v>
      </c>
      <c r="E18" s="10">
        <f t="shared" si="2"/>
        <v>0</v>
      </c>
      <c r="F18" s="2"/>
      <c r="G18" s="3" t="s">
        <v>192</v>
      </c>
      <c r="H18" s="3" t="str" cm="1">
        <f t="array" ref="H18">IFERROR(_xlfn.IFS(B18="","",AND(B18="",G18=""),"",G18="","記載要"),"")</f>
        <v/>
      </c>
      <c r="I18" s="2"/>
      <c r="J18" s="2"/>
      <c r="K18" s="2" t="str">
        <f t="shared" si="3"/>
        <v>11WP01099830</v>
      </c>
      <c r="L18" s="7" t="str">
        <f t="shared" si="4"/>
        <v>2001/01/01</v>
      </c>
      <c r="M18" s="7" t="str">
        <f t="shared" si="5"/>
        <v>2199/12/31</v>
      </c>
      <c r="N18" s="2" t="str">
        <f t="shared" si="27"/>
        <v>11WP01099830</v>
      </c>
      <c r="O18" s="13">
        <v>15</v>
      </c>
      <c r="P18" s="15"/>
      <c r="Q18" s="13" t="str" cm="1">
        <f t="array" ref="Q18">_xlfn.IFS(AND(C18="",G18=""),"",LEFT(G18,1)="L","記載要",LEFT(G18,1)="W","",AND(C18,G18=""),"記載要")</f>
        <v/>
      </c>
      <c r="R18" s="18" t="str">
        <f t="shared" si="28"/>
        <v/>
      </c>
      <c r="S18" s="18"/>
      <c r="T18" s="2"/>
      <c r="U18" s="2"/>
      <c r="V18" s="2"/>
      <c r="W18" s="2"/>
      <c r="X18" s="2"/>
      <c r="Y18" s="2"/>
      <c r="Z18" s="2"/>
      <c r="AA18" s="13">
        <v>1</v>
      </c>
      <c r="AB18" s="13">
        <f t="shared" si="6"/>
        <v>0</v>
      </c>
      <c r="AC18" s="13">
        <f t="shared" si="7"/>
        <v>0</v>
      </c>
      <c r="AD18" s="15"/>
      <c r="AE18" s="15"/>
      <c r="AF18" s="13" t="str">
        <f t="shared" si="8"/>
        <v>1</v>
      </c>
      <c r="AG18" s="15"/>
      <c r="AH18" s="15"/>
      <c r="AI18" s="15"/>
      <c r="AJ18" s="14"/>
      <c r="AK18" s="15" cm="1">
        <f t="array" ref="AK18">_xlfn.IFS(B18="","",LEFT(G18,1)="L",1,LEFT(G18,1)="W",1,AND(LEFT(B18,1)="H",G18=""),0)</f>
        <v>1</v>
      </c>
      <c r="AL18" s="15"/>
      <c r="AM18" s="15"/>
      <c r="AN18" s="15"/>
      <c r="AO18" s="15"/>
      <c r="AP18" s="15"/>
      <c r="AQ18" s="15"/>
      <c r="AR18" s="15"/>
      <c r="AS18" s="15" t="str">
        <f t="shared" si="29"/>
        <v/>
      </c>
      <c r="AT18" s="15" t="s">
        <v>115</v>
      </c>
      <c r="AU18" s="13" t="str">
        <f t="shared" si="9"/>
        <v>0</v>
      </c>
      <c r="AV18" s="15"/>
      <c r="AW18" s="15"/>
      <c r="AX18" s="15"/>
      <c r="AY18" s="15"/>
      <c r="AZ18" s="14"/>
      <c r="BA18" s="15"/>
      <c r="BB18" s="15"/>
      <c r="BC18" s="15"/>
      <c r="BD18" s="13" t="str">
        <f t="shared" si="10"/>
        <v>0</v>
      </c>
      <c r="BE18" s="2"/>
      <c r="BF18" s="2"/>
      <c r="BG18" s="2"/>
      <c r="BH18" s="2"/>
      <c r="BI18" s="2"/>
      <c r="BJ18" s="2"/>
      <c r="BK18" s="2" t="s">
        <v>158</v>
      </c>
      <c r="BL18" s="10"/>
      <c r="BM18" t="str" cm="1">
        <f t="array" ref="BM18">_xlfn.IFS(LEFT(G18,1)="L","外注品",LEFT(G18,1)="W","内製品",G18="","購買品")</f>
        <v>内製品</v>
      </c>
    </row>
    <row r="19" spans="1:65">
      <c r="A19" s="2" t="str">
        <f t="shared" ref="A19:A21" si="59">IF(B19="","","WG01")</f>
        <v>WG01</v>
      </c>
      <c r="B19" s="2" t="s">
        <v>136</v>
      </c>
      <c r="C19" s="2" t="s">
        <v>148</v>
      </c>
      <c r="D19" s="10" t="str">
        <f t="shared" si="1"/>
        <v>E364589_01</v>
      </c>
      <c r="E19" s="10">
        <f t="shared" si="2"/>
        <v>0</v>
      </c>
      <c r="F19" s="2"/>
      <c r="G19" s="3"/>
      <c r="H19" s="3" t="s">
        <v>191</v>
      </c>
      <c r="I19" s="2"/>
      <c r="J19" s="2"/>
      <c r="K19" s="2" t="str">
        <f t="shared" ref="K19:K21" si="60">IF(G19="","","11"&amp;G19&amp;RIGHT(B19,5))</f>
        <v/>
      </c>
      <c r="L19" s="7" t="str">
        <f t="shared" ref="L19:L21" si="61">IF(B19="","","2001/01/01")</f>
        <v>2001/01/01</v>
      </c>
      <c r="M19" s="7" t="str">
        <f t="shared" ref="M19:M21" si="62">IF(C19="","","2199/12/31")</f>
        <v>2199/12/31</v>
      </c>
      <c r="N19" s="2" t="str">
        <f t="shared" ref="N19:N21" si="63">IF(LEFT(G19,1)="W",K19,"")</f>
        <v/>
      </c>
      <c r="O19" s="13" t="str">
        <f t="shared" ref="O19:O21" si="64">IF(G19="","","記載要")</f>
        <v/>
      </c>
      <c r="P19" s="15"/>
      <c r="Q19" s="13">
        <v>15</v>
      </c>
      <c r="R19" s="18">
        <v>100000000</v>
      </c>
      <c r="S19" s="18" t="str" cm="1">
        <f t="array" ref="S19">_xlfn.IFS(LEFT(G19,1)="L","記載要",LEFT(G19,1)="W","記載要",G19="","")</f>
        <v/>
      </c>
      <c r="T19" s="2"/>
      <c r="U19" s="2"/>
      <c r="V19" s="2"/>
      <c r="W19" s="2"/>
      <c r="X19" s="2"/>
      <c r="Y19" s="2"/>
      <c r="Z19" s="2"/>
      <c r="AA19" s="13">
        <v>1</v>
      </c>
      <c r="AB19" s="13">
        <f t="shared" ref="AB19:AB21" si="65">IF(B19="","",0)</f>
        <v>0</v>
      </c>
      <c r="AC19" s="13">
        <f t="shared" ref="AC19:AC21" si="66">IF(B19="","",0)</f>
        <v>0</v>
      </c>
      <c r="AD19" s="15"/>
      <c r="AE19" s="15"/>
      <c r="AF19" s="13" t="str">
        <f t="shared" ref="AF19:AF20" si="67">IF(B19="","","1")</f>
        <v>1</v>
      </c>
      <c r="AG19" s="15"/>
      <c r="AH19" s="15"/>
      <c r="AI19" s="15"/>
      <c r="AJ19" s="14"/>
      <c r="AK19" s="15" cm="1">
        <f t="array" ref="AK19">_xlfn.IFS(B19="","",LEFT(G19,1)="L",1,LEFT(G19,1)="W",1,AND(LEFT(B19,1)="H",G19=""),0)</f>
        <v>0</v>
      </c>
      <c r="AL19" s="15"/>
      <c r="AM19" s="15"/>
      <c r="AN19" s="15"/>
      <c r="AO19" s="15"/>
      <c r="AP19" s="15"/>
      <c r="AQ19" s="15"/>
      <c r="AR19" s="15"/>
      <c r="AS19" s="15">
        <f t="shared" ref="AS19:AS21" si="68">IF(Q19="","",1)</f>
        <v>1</v>
      </c>
      <c r="AT19" s="15" t="s">
        <v>115</v>
      </c>
      <c r="AU19" s="13" t="str">
        <f t="shared" ref="AU19:AU21" si="69">IF(B19="","","0")</f>
        <v>0</v>
      </c>
      <c r="AV19" s="15"/>
      <c r="AW19" s="15"/>
      <c r="AX19" s="15"/>
      <c r="AY19" s="15"/>
      <c r="AZ19" s="14"/>
      <c r="BA19" s="15"/>
      <c r="BB19" s="15"/>
      <c r="BC19" s="15"/>
      <c r="BD19" s="13" t="str">
        <f t="shared" ref="BD19:BD21" si="70">IF(B19="","","0")</f>
        <v>0</v>
      </c>
      <c r="BE19" s="2"/>
      <c r="BF19" s="2"/>
      <c r="BG19" s="2"/>
      <c r="BH19" s="2"/>
      <c r="BI19" s="2"/>
      <c r="BJ19" s="2"/>
      <c r="BK19" s="2" t="s">
        <v>159</v>
      </c>
      <c r="BL19" s="10"/>
      <c r="BM19" t="str" cm="1">
        <f t="array" ref="BM19">_xlfn.IFS(LEFT(G19,1)="L","外注品",LEFT(G19,1)="W","内製品",G19="","購買品")</f>
        <v>購買品</v>
      </c>
    </row>
    <row r="20" spans="1:65">
      <c r="A20" s="2" t="str">
        <f t="shared" si="59"/>
        <v>WG01</v>
      </c>
      <c r="B20" s="2" t="s">
        <v>136</v>
      </c>
      <c r="C20" s="2" t="s">
        <v>148</v>
      </c>
      <c r="D20" s="10" t="str">
        <f t="shared" si="1"/>
        <v>E364589_01</v>
      </c>
      <c r="E20" s="10">
        <f t="shared" si="2"/>
        <v>0</v>
      </c>
      <c r="F20" s="2"/>
      <c r="G20" s="3"/>
      <c r="H20" s="3">
        <v>43453</v>
      </c>
      <c r="I20" s="2"/>
      <c r="J20" s="2"/>
      <c r="K20" s="2" t="str">
        <f t="shared" si="60"/>
        <v/>
      </c>
      <c r="L20" s="7" t="str">
        <f t="shared" si="61"/>
        <v>2001/01/01</v>
      </c>
      <c r="M20" s="7" t="str">
        <f t="shared" si="62"/>
        <v>2199/12/31</v>
      </c>
      <c r="N20" s="2" t="str">
        <f t="shared" si="63"/>
        <v/>
      </c>
      <c r="O20" s="13" t="str">
        <f t="shared" si="64"/>
        <v/>
      </c>
      <c r="P20" s="15"/>
      <c r="Q20" s="13">
        <v>15</v>
      </c>
      <c r="R20" s="18">
        <v>100000000</v>
      </c>
      <c r="S20" s="18" t="str" cm="1">
        <f t="array" ref="S20">_xlfn.IFS(LEFT(G20,1)="L","記載要",LEFT(G20,1)="W","記載要",G20="","")</f>
        <v/>
      </c>
      <c r="T20" s="2"/>
      <c r="U20" s="2"/>
      <c r="V20" s="2"/>
      <c r="W20" s="2"/>
      <c r="X20" s="2"/>
      <c r="Y20" s="2"/>
      <c r="Z20" s="2"/>
      <c r="AA20" s="13">
        <v>1</v>
      </c>
      <c r="AB20" s="13">
        <f t="shared" si="65"/>
        <v>0</v>
      </c>
      <c r="AC20" s="13">
        <f t="shared" si="66"/>
        <v>0</v>
      </c>
      <c r="AD20" s="15"/>
      <c r="AE20" s="15"/>
      <c r="AF20" s="13" t="str">
        <f t="shared" si="67"/>
        <v>1</v>
      </c>
      <c r="AG20" s="15"/>
      <c r="AH20" s="15"/>
      <c r="AI20" s="15"/>
      <c r="AJ20" s="14"/>
      <c r="AK20" s="15" cm="1">
        <f t="array" ref="AK20">_xlfn.IFS(B20="","",LEFT(G20,1)="L",1,LEFT(G20,1)="W",1,AND(LEFT(B20,1)="H",G20=""),0)</f>
        <v>0</v>
      </c>
      <c r="AL20" s="15"/>
      <c r="AM20" s="15"/>
      <c r="AN20" s="15"/>
      <c r="AO20" s="15"/>
      <c r="AP20" s="15"/>
      <c r="AQ20" s="15"/>
      <c r="AR20" s="15"/>
      <c r="AS20" s="15">
        <f t="shared" si="68"/>
        <v>1</v>
      </c>
      <c r="AT20" s="15" t="s">
        <v>115</v>
      </c>
      <c r="AU20" s="13" t="str">
        <f t="shared" si="69"/>
        <v>0</v>
      </c>
      <c r="AV20" s="15"/>
      <c r="AW20" s="15"/>
      <c r="AX20" s="15"/>
      <c r="AY20" s="15"/>
      <c r="AZ20" s="14"/>
      <c r="BA20" s="15"/>
      <c r="BB20" s="15"/>
      <c r="BC20" s="15"/>
      <c r="BD20" s="13" t="str">
        <f t="shared" si="70"/>
        <v>0</v>
      </c>
      <c r="BE20" s="2"/>
      <c r="BF20" s="2"/>
      <c r="BG20" s="2"/>
      <c r="BH20" s="2"/>
      <c r="BI20" s="2"/>
      <c r="BJ20" s="2"/>
      <c r="BK20" s="2" t="s">
        <v>159</v>
      </c>
      <c r="BL20" s="10"/>
      <c r="BM20" t="str" cm="1">
        <f t="array" ref="BM20">_xlfn.IFS(LEFT(G20,1)="L","外注品",LEFT(G20,1)="W","内製品",G20="","購買品")</f>
        <v>購買品</v>
      </c>
    </row>
    <row r="21" spans="1:65">
      <c r="A21" s="2" t="str">
        <f t="shared" si="59"/>
        <v>WG01</v>
      </c>
      <c r="B21" s="2" t="s">
        <v>136</v>
      </c>
      <c r="C21" s="2" t="s">
        <v>148</v>
      </c>
      <c r="D21" s="10" t="str">
        <f t="shared" si="1"/>
        <v>E364589_01</v>
      </c>
      <c r="E21" s="10">
        <f t="shared" si="2"/>
        <v>0</v>
      </c>
      <c r="F21" s="2"/>
      <c r="G21" s="3"/>
      <c r="H21" s="3">
        <v>47081</v>
      </c>
      <c r="I21" s="2"/>
      <c r="J21" s="2"/>
      <c r="K21" s="2" t="str">
        <f t="shared" si="60"/>
        <v/>
      </c>
      <c r="L21" s="7" t="str">
        <f t="shared" si="61"/>
        <v>2001/01/01</v>
      </c>
      <c r="M21" s="7" t="str">
        <f t="shared" si="62"/>
        <v>2199/12/31</v>
      </c>
      <c r="N21" s="2" t="str">
        <f t="shared" si="63"/>
        <v/>
      </c>
      <c r="O21" s="13" t="str">
        <f t="shared" si="64"/>
        <v/>
      </c>
      <c r="P21" s="15"/>
      <c r="Q21" s="13">
        <v>15</v>
      </c>
      <c r="R21" s="18">
        <v>100000000</v>
      </c>
      <c r="S21" s="18" t="str" cm="1">
        <f t="array" ref="S21">_xlfn.IFS(LEFT(G21,1)="L","記載要",LEFT(G21,1)="W","記載要",G21="","")</f>
        <v/>
      </c>
      <c r="T21" s="2"/>
      <c r="U21" s="2"/>
      <c r="V21" s="2"/>
      <c r="W21" s="2"/>
      <c r="X21" s="2"/>
      <c r="Y21" s="2"/>
      <c r="Z21" s="2"/>
      <c r="AA21" s="13">
        <v>1</v>
      </c>
      <c r="AB21" s="13">
        <f t="shared" si="65"/>
        <v>0</v>
      </c>
      <c r="AC21" s="13">
        <f t="shared" si="66"/>
        <v>0</v>
      </c>
      <c r="AD21" s="15"/>
      <c r="AE21" s="15"/>
      <c r="AF21" s="13">
        <v>0</v>
      </c>
      <c r="AG21" s="15"/>
      <c r="AH21" s="15"/>
      <c r="AI21" s="15"/>
      <c r="AJ21" s="14"/>
      <c r="AK21" s="15" cm="1">
        <f t="array" ref="AK21">_xlfn.IFS(B21="","",LEFT(G21,1)="L",1,LEFT(G21,1)="W",1,AND(LEFT(B21,1)="H",G21=""),0)</f>
        <v>0</v>
      </c>
      <c r="AL21" s="15"/>
      <c r="AM21" s="15"/>
      <c r="AN21" s="15"/>
      <c r="AO21" s="15"/>
      <c r="AP21" s="15"/>
      <c r="AQ21" s="15"/>
      <c r="AR21" s="15"/>
      <c r="AS21" s="15">
        <f t="shared" si="68"/>
        <v>1</v>
      </c>
      <c r="AT21" s="15" t="s">
        <v>115</v>
      </c>
      <c r="AU21" s="13" t="str">
        <f t="shared" si="69"/>
        <v>0</v>
      </c>
      <c r="AV21" s="15"/>
      <c r="AW21" s="15"/>
      <c r="AX21" s="15"/>
      <c r="AY21" s="15"/>
      <c r="AZ21" s="14"/>
      <c r="BA21" s="15"/>
      <c r="BB21" s="15"/>
      <c r="BC21" s="15"/>
      <c r="BD21" s="13" t="str">
        <f t="shared" si="70"/>
        <v>0</v>
      </c>
      <c r="BE21" s="2"/>
      <c r="BF21" s="2"/>
      <c r="BG21" s="2"/>
      <c r="BH21" s="2"/>
      <c r="BI21" s="2"/>
      <c r="BJ21" s="2"/>
      <c r="BK21" s="2" t="s">
        <v>159</v>
      </c>
      <c r="BL21" s="10"/>
      <c r="BM21" t="str" cm="1">
        <f t="array" ref="BM21">_xlfn.IFS(LEFT(G21,1)="L","外注品",LEFT(G21,1)="W","内製品",G21="","購買品")</f>
        <v>購買品</v>
      </c>
    </row>
    <row r="22" spans="1:65">
      <c r="A22" s="2" t="str">
        <f t="shared" si="0"/>
        <v>WG01</v>
      </c>
      <c r="B22" s="2" t="s">
        <v>136</v>
      </c>
      <c r="C22" s="2" t="s">
        <v>148</v>
      </c>
      <c r="D22" s="10" t="str">
        <f t="shared" ref="D22:D43" si="71">BK22</f>
        <v>E364589_01</v>
      </c>
      <c r="E22" s="10">
        <f t="shared" ref="E22:E43" si="72">BL22</f>
        <v>0</v>
      </c>
      <c r="F22" s="2"/>
      <c r="G22" s="3"/>
      <c r="H22" s="3">
        <v>27616</v>
      </c>
      <c r="I22" s="2"/>
      <c r="J22" s="2"/>
      <c r="K22" s="2" t="str">
        <f t="shared" si="3"/>
        <v/>
      </c>
      <c r="L22" s="7" t="str">
        <f t="shared" si="4"/>
        <v>2001/01/01</v>
      </c>
      <c r="M22" s="7" t="str">
        <f t="shared" si="5"/>
        <v>2199/12/31</v>
      </c>
      <c r="N22" s="2" t="str">
        <f t="shared" si="27"/>
        <v/>
      </c>
      <c r="O22" s="13" t="str">
        <f t="shared" si="33"/>
        <v/>
      </c>
      <c r="P22" s="15"/>
      <c r="Q22" s="13">
        <v>15</v>
      </c>
      <c r="R22" s="18">
        <v>100000000</v>
      </c>
      <c r="S22" s="18" t="str" cm="1">
        <f t="array" ref="S22">_xlfn.IFS(LEFT(G22,1)="L","記載要",LEFT(G22,1)="W","記載要",G22="","")</f>
        <v/>
      </c>
      <c r="T22" s="2"/>
      <c r="U22" s="2"/>
      <c r="V22" s="2"/>
      <c r="W22" s="2"/>
      <c r="X22" s="2"/>
      <c r="Y22" s="2"/>
      <c r="Z22" s="2"/>
      <c r="AA22" s="13">
        <v>1</v>
      </c>
      <c r="AB22" s="13">
        <f t="shared" si="6"/>
        <v>0</v>
      </c>
      <c r="AC22" s="13">
        <f t="shared" si="7"/>
        <v>0</v>
      </c>
      <c r="AD22" s="15"/>
      <c r="AE22" s="15"/>
      <c r="AF22" s="13" t="str">
        <f t="shared" si="8"/>
        <v>1</v>
      </c>
      <c r="AG22" s="15"/>
      <c r="AH22" s="15"/>
      <c r="AI22" s="15"/>
      <c r="AJ22" s="14"/>
      <c r="AK22" s="15" cm="1">
        <f t="array" ref="AK22">_xlfn.IFS(B22="","",LEFT(G22,1)="L",1,LEFT(G22,1)="W",1,AND(LEFT(B22,1)="H",G22=""),0)</f>
        <v>0</v>
      </c>
      <c r="AL22" s="15"/>
      <c r="AM22" s="15"/>
      <c r="AN22" s="15"/>
      <c r="AO22" s="15"/>
      <c r="AP22" s="15"/>
      <c r="AQ22" s="15"/>
      <c r="AR22" s="15"/>
      <c r="AS22" s="15">
        <f t="shared" si="29"/>
        <v>1</v>
      </c>
      <c r="AT22" s="15" t="s">
        <v>115</v>
      </c>
      <c r="AU22" s="13" t="str">
        <f t="shared" si="9"/>
        <v>0</v>
      </c>
      <c r="AV22" s="15"/>
      <c r="AW22" s="15"/>
      <c r="AX22" s="15"/>
      <c r="AY22" s="15"/>
      <c r="AZ22" s="14"/>
      <c r="BA22" s="15"/>
      <c r="BB22" s="15"/>
      <c r="BC22" s="15"/>
      <c r="BD22" s="13" t="str">
        <f t="shared" si="10"/>
        <v>0</v>
      </c>
      <c r="BE22" s="2"/>
      <c r="BF22" s="2"/>
      <c r="BG22" s="2"/>
      <c r="BH22" s="2"/>
      <c r="BI22" s="2"/>
      <c r="BJ22" s="2"/>
      <c r="BK22" s="2" t="s">
        <v>159</v>
      </c>
      <c r="BL22" s="10"/>
      <c r="BM22" t="str" cm="1">
        <f t="array" ref="BM22">_xlfn.IFS(LEFT(G22,1)="L","外注品",LEFT(G22,1)="W","内製品",G22="","購買品")</f>
        <v>購買品</v>
      </c>
    </row>
    <row r="23" spans="1:65">
      <c r="A23" s="2" t="str">
        <f t="shared" ref="A23:A25" si="73">IF(B23="","","WG01")</f>
        <v>WG01</v>
      </c>
      <c r="B23" s="2" t="s">
        <v>137</v>
      </c>
      <c r="C23" s="2" t="s">
        <v>149</v>
      </c>
      <c r="D23" s="10" t="str">
        <f t="shared" ref="D23:D25" si="74">BK23</f>
        <v>E364477_01</v>
      </c>
      <c r="E23" s="10">
        <f t="shared" ref="E23:E25" si="75">BL23</f>
        <v>0</v>
      </c>
      <c r="F23" s="2"/>
      <c r="G23" s="3"/>
      <c r="H23" s="3" t="s">
        <v>191</v>
      </c>
      <c r="I23" s="2"/>
      <c r="J23" s="2"/>
      <c r="K23" s="2" t="str">
        <f t="shared" ref="K23:K25" si="76">IF(G23="","","11"&amp;G23&amp;RIGHT(B23,5))</f>
        <v/>
      </c>
      <c r="L23" s="7" t="str">
        <f t="shared" ref="L23:L25" si="77">IF(B23="","","2001/01/01")</f>
        <v>2001/01/01</v>
      </c>
      <c r="M23" s="7" t="str">
        <f t="shared" ref="M23:M25" si="78">IF(C23="","","2199/12/31")</f>
        <v>2199/12/31</v>
      </c>
      <c r="N23" s="2" t="str">
        <f t="shared" ref="N23:N25" si="79">IF(LEFT(G23,1)="W",K23,"")</f>
        <v/>
      </c>
      <c r="O23" s="13" t="str">
        <f t="shared" ref="O23:O25" si="80">IF(G23="","","記載要")</f>
        <v/>
      </c>
      <c r="P23" s="15"/>
      <c r="Q23" s="13">
        <v>15</v>
      </c>
      <c r="R23" s="18">
        <v>100000000</v>
      </c>
      <c r="S23" s="18" t="str" cm="1">
        <f t="array" ref="S23">_xlfn.IFS(LEFT(G23,1)="L","記載要",LEFT(G23,1)="W","記載要",G23="","")</f>
        <v/>
      </c>
      <c r="T23" s="2"/>
      <c r="U23" s="2"/>
      <c r="V23" s="2"/>
      <c r="W23" s="2"/>
      <c r="X23" s="2"/>
      <c r="Y23" s="2"/>
      <c r="Z23" s="2"/>
      <c r="AA23" s="13">
        <v>1</v>
      </c>
      <c r="AB23" s="13">
        <f t="shared" ref="AB23:AB25" si="81">IF(B23="","",0)</f>
        <v>0</v>
      </c>
      <c r="AC23" s="13">
        <f t="shared" ref="AC23:AC25" si="82">IF(B23="","",0)</f>
        <v>0</v>
      </c>
      <c r="AD23" s="15"/>
      <c r="AE23" s="15"/>
      <c r="AF23" s="13" t="str">
        <f t="shared" ref="AF23:AF24" si="83">IF(B23="","","1")</f>
        <v>1</v>
      </c>
      <c r="AG23" s="15"/>
      <c r="AH23" s="15"/>
      <c r="AI23" s="15"/>
      <c r="AJ23" s="14"/>
      <c r="AK23" s="15" cm="1">
        <f t="array" ref="AK23">_xlfn.IFS(B23="","",LEFT(G23,1)="L",1,LEFT(G23,1)="W",1,AND(LEFT(B23,1)="H",G23=""),0)</f>
        <v>0</v>
      </c>
      <c r="AL23" s="15"/>
      <c r="AM23" s="15"/>
      <c r="AN23" s="15"/>
      <c r="AO23" s="15"/>
      <c r="AP23" s="15"/>
      <c r="AQ23" s="15"/>
      <c r="AR23" s="15"/>
      <c r="AS23" s="15">
        <f t="shared" ref="AS23:AS25" si="84">IF(Q23="","",1)</f>
        <v>1</v>
      </c>
      <c r="AT23" s="15" t="s">
        <v>115</v>
      </c>
      <c r="AU23" s="13" t="str">
        <f t="shared" ref="AU23:AU25" si="85">IF(B23="","","0")</f>
        <v>0</v>
      </c>
      <c r="AV23" s="15"/>
      <c r="AW23" s="15"/>
      <c r="AX23" s="15"/>
      <c r="AY23" s="15"/>
      <c r="AZ23" s="14"/>
      <c r="BA23" s="15"/>
      <c r="BB23" s="15"/>
      <c r="BC23" s="15"/>
      <c r="BD23" s="13" t="str">
        <f t="shared" ref="BD23:BD25" si="86">IF(B23="","","0")</f>
        <v>0</v>
      </c>
      <c r="BE23" s="2"/>
      <c r="BF23" s="2"/>
      <c r="BG23" s="2"/>
      <c r="BH23" s="2"/>
      <c r="BI23" s="2"/>
      <c r="BJ23" s="2"/>
      <c r="BK23" s="2" t="s">
        <v>160</v>
      </c>
      <c r="BL23" s="10"/>
      <c r="BM23" t="str" cm="1">
        <f t="array" ref="BM23">_xlfn.IFS(LEFT(G23,1)="L","外注品",LEFT(G23,1)="W","内製品",G23="","購買品")</f>
        <v>購買品</v>
      </c>
    </row>
    <row r="24" spans="1:65">
      <c r="A24" s="2" t="str">
        <f t="shared" si="73"/>
        <v>WG01</v>
      </c>
      <c r="B24" s="2" t="s">
        <v>137</v>
      </c>
      <c r="C24" s="2" t="s">
        <v>149</v>
      </c>
      <c r="D24" s="10" t="str">
        <f t="shared" si="74"/>
        <v>E364477_01</v>
      </c>
      <c r="E24" s="10">
        <f t="shared" si="75"/>
        <v>0</v>
      </c>
      <c r="F24" s="2"/>
      <c r="G24" s="3"/>
      <c r="H24" s="3">
        <v>43453</v>
      </c>
      <c r="I24" s="2"/>
      <c r="J24" s="2"/>
      <c r="K24" s="2" t="str">
        <f t="shared" si="76"/>
        <v/>
      </c>
      <c r="L24" s="7" t="str">
        <f t="shared" si="77"/>
        <v>2001/01/01</v>
      </c>
      <c r="M24" s="7" t="str">
        <f t="shared" si="78"/>
        <v>2199/12/31</v>
      </c>
      <c r="N24" s="2" t="str">
        <f t="shared" si="79"/>
        <v/>
      </c>
      <c r="O24" s="13" t="str">
        <f t="shared" si="80"/>
        <v/>
      </c>
      <c r="P24" s="15"/>
      <c r="Q24" s="13">
        <v>15</v>
      </c>
      <c r="R24" s="18">
        <v>100000000</v>
      </c>
      <c r="S24" s="18" t="str" cm="1">
        <f t="array" ref="S24">_xlfn.IFS(LEFT(G24,1)="L","記載要",LEFT(G24,1)="W","記載要",G24="","")</f>
        <v/>
      </c>
      <c r="T24" s="2"/>
      <c r="U24" s="2"/>
      <c r="V24" s="2"/>
      <c r="W24" s="2"/>
      <c r="X24" s="2"/>
      <c r="Y24" s="2"/>
      <c r="Z24" s="2"/>
      <c r="AA24" s="13">
        <v>1</v>
      </c>
      <c r="AB24" s="13">
        <f t="shared" si="81"/>
        <v>0</v>
      </c>
      <c r="AC24" s="13">
        <f t="shared" si="82"/>
        <v>0</v>
      </c>
      <c r="AD24" s="15"/>
      <c r="AE24" s="15"/>
      <c r="AF24" s="13" t="str">
        <f t="shared" si="83"/>
        <v>1</v>
      </c>
      <c r="AG24" s="15"/>
      <c r="AH24" s="15"/>
      <c r="AI24" s="15"/>
      <c r="AJ24" s="14"/>
      <c r="AK24" s="15" cm="1">
        <f t="array" ref="AK24">_xlfn.IFS(B24="","",LEFT(G24,1)="L",1,LEFT(G24,1)="W",1,AND(LEFT(B24,1)="H",G24=""),0)</f>
        <v>0</v>
      </c>
      <c r="AL24" s="15"/>
      <c r="AM24" s="15"/>
      <c r="AN24" s="15"/>
      <c r="AO24" s="15"/>
      <c r="AP24" s="15"/>
      <c r="AQ24" s="15"/>
      <c r="AR24" s="15"/>
      <c r="AS24" s="15">
        <f t="shared" si="84"/>
        <v>1</v>
      </c>
      <c r="AT24" s="15" t="s">
        <v>115</v>
      </c>
      <c r="AU24" s="13" t="str">
        <f t="shared" si="85"/>
        <v>0</v>
      </c>
      <c r="AV24" s="15"/>
      <c r="AW24" s="15"/>
      <c r="AX24" s="15"/>
      <c r="AY24" s="15"/>
      <c r="AZ24" s="14"/>
      <c r="BA24" s="15"/>
      <c r="BB24" s="15"/>
      <c r="BC24" s="15"/>
      <c r="BD24" s="13" t="str">
        <f t="shared" si="86"/>
        <v>0</v>
      </c>
      <c r="BE24" s="2"/>
      <c r="BF24" s="2"/>
      <c r="BG24" s="2"/>
      <c r="BH24" s="2"/>
      <c r="BI24" s="2"/>
      <c r="BJ24" s="2"/>
      <c r="BK24" s="2" t="s">
        <v>160</v>
      </c>
      <c r="BL24" s="10"/>
      <c r="BM24" t="str" cm="1">
        <f t="array" ref="BM24">_xlfn.IFS(LEFT(G24,1)="L","外注品",LEFT(G24,1)="W","内製品",G24="","購買品")</f>
        <v>購買品</v>
      </c>
    </row>
    <row r="25" spans="1:65">
      <c r="A25" s="2" t="str">
        <f t="shared" si="73"/>
        <v>WG01</v>
      </c>
      <c r="B25" s="2" t="s">
        <v>137</v>
      </c>
      <c r="C25" s="2" t="s">
        <v>149</v>
      </c>
      <c r="D25" s="10" t="str">
        <f t="shared" si="74"/>
        <v>E364477_01</v>
      </c>
      <c r="E25" s="10">
        <f t="shared" si="75"/>
        <v>0</v>
      </c>
      <c r="F25" s="2"/>
      <c r="G25" s="3"/>
      <c r="H25" s="3">
        <v>47081</v>
      </c>
      <c r="I25" s="2"/>
      <c r="J25" s="2"/>
      <c r="K25" s="2" t="str">
        <f t="shared" si="76"/>
        <v/>
      </c>
      <c r="L25" s="7" t="str">
        <f t="shared" si="77"/>
        <v>2001/01/01</v>
      </c>
      <c r="M25" s="7" t="str">
        <f t="shared" si="78"/>
        <v>2199/12/31</v>
      </c>
      <c r="N25" s="2" t="str">
        <f t="shared" si="79"/>
        <v/>
      </c>
      <c r="O25" s="13" t="str">
        <f t="shared" si="80"/>
        <v/>
      </c>
      <c r="P25" s="15"/>
      <c r="Q25" s="13">
        <v>15</v>
      </c>
      <c r="R25" s="18">
        <v>100000000</v>
      </c>
      <c r="S25" s="18" t="str" cm="1">
        <f t="array" ref="S25">_xlfn.IFS(LEFT(G25,1)="L","記載要",LEFT(G25,1)="W","記載要",G25="","")</f>
        <v/>
      </c>
      <c r="T25" s="2"/>
      <c r="U25" s="2"/>
      <c r="V25" s="2"/>
      <c r="W25" s="2"/>
      <c r="X25" s="2"/>
      <c r="Y25" s="2"/>
      <c r="Z25" s="2"/>
      <c r="AA25" s="13">
        <v>1</v>
      </c>
      <c r="AB25" s="13">
        <f t="shared" si="81"/>
        <v>0</v>
      </c>
      <c r="AC25" s="13">
        <f t="shared" si="82"/>
        <v>0</v>
      </c>
      <c r="AD25" s="15"/>
      <c r="AE25" s="15"/>
      <c r="AF25" s="13">
        <v>0</v>
      </c>
      <c r="AG25" s="15"/>
      <c r="AH25" s="15"/>
      <c r="AI25" s="15"/>
      <c r="AJ25" s="14"/>
      <c r="AK25" s="15" cm="1">
        <f t="array" ref="AK25">_xlfn.IFS(B25="","",LEFT(G25,1)="L",1,LEFT(G25,1)="W",1,AND(LEFT(B25,1)="H",G25=""),0)</f>
        <v>0</v>
      </c>
      <c r="AL25" s="15"/>
      <c r="AM25" s="15"/>
      <c r="AN25" s="15"/>
      <c r="AO25" s="15"/>
      <c r="AP25" s="15"/>
      <c r="AQ25" s="15"/>
      <c r="AR25" s="15"/>
      <c r="AS25" s="15">
        <f t="shared" si="84"/>
        <v>1</v>
      </c>
      <c r="AT25" s="15" t="s">
        <v>115</v>
      </c>
      <c r="AU25" s="13" t="str">
        <f t="shared" si="85"/>
        <v>0</v>
      </c>
      <c r="AV25" s="15"/>
      <c r="AW25" s="15"/>
      <c r="AX25" s="15"/>
      <c r="AY25" s="15"/>
      <c r="AZ25" s="14"/>
      <c r="BA25" s="15"/>
      <c r="BB25" s="15"/>
      <c r="BC25" s="15"/>
      <c r="BD25" s="13" t="str">
        <f t="shared" si="86"/>
        <v>0</v>
      </c>
      <c r="BE25" s="2"/>
      <c r="BF25" s="2"/>
      <c r="BG25" s="2"/>
      <c r="BH25" s="2"/>
      <c r="BI25" s="2"/>
      <c r="BJ25" s="2"/>
      <c r="BK25" s="2" t="s">
        <v>160</v>
      </c>
      <c r="BL25" s="10"/>
      <c r="BM25" t="str" cm="1">
        <f t="array" ref="BM25">_xlfn.IFS(LEFT(G25,1)="L","外注品",LEFT(G25,1)="W","内製品",G25="","購買品")</f>
        <v>購買品</v>
      </c>
    </row>
    <row r="26" spans="1:65">
      <c r="A26" s="2" t="str">
        <f t="shared" si="0"/>
        <v>WG01</v>
      </c>
      <c r="B26" s="2" t="s">
        <v>137</v>
      </c>
      <c r="C26" s="2" t="s">
        <v>149</v>
      </c>
      <c r="D26" s="10" t="str">
        <f t="shared" si="71"/>
        <v>E364477_01</v>
      </c>
      <c r="E26" s="10">
        <f t="shared" si="72"/>
        <v>0</v>
      </c>
      <c r="F26" s="2"/>
      <c r="G26" s="3"/>
      <c r="H26" s="3">
        <v>27616</v>
      </c>
      <c r="I26" s="2"/>
      <c r="J26" s="2"/>
      <c r="K26" s="2" t="str">
        <f t="shared" si="3"/>
        <v/>
      </c>
      <c r="L26" s="7" t="str">
        <f t="shared" si="4"/>
        <v>2001/01/01</v>
      </c>
      <c r="M26" s="7" t="str">
        <f t="shared" si="5"/>
        <v>2199/12/31</v>
      </c>
      <c r="N26" s="2" t="str">
        <f t="shared" si="27"/>
        <v/>
      </c>
      <c r="O26" s="13" t="str">
        <f t="shared" si="33"/>
        <v/>
      </c>
      <c r="P26" s="15"/>
      <c r="Q26" s="13">
        <v>15</v>
      </c>
      <c r="R26" s="18">
        <v>100000000</v>
      </c>
      <c r="S26" s="18" t="str" cm="1">
        <f t="array" ref="S26">_xlfn.IFS(LEFT(G26,1)="L","記載要",LEFT(G26,1)="W","記載要",G26="","")</f>
        <v/>
      </c>
      <c r="T26" s="2"/>
      <c r="U26" s="2"/>
      <c r="V26" s="2"/>
      <c r="W26" s="2"/>
      <c r="X26" s="2"/>
      <c r="Y26" s="2"/>
      <c r="Z26" s="2"/>
      <c r="AA26" s="13">
        <v>1</v>
      </c>
      <c r="AB26" s="13">
        <f t="shared" si="6"/>
        <v>0</v>
      </c>
      <c r="AC26" s="13">
        <f t="shared" si="7"/>
        <v>0</v>
      </c>
      <c r="AD26" s="15"/>
      <c r="AE26" s="15"/>
      <c r="AF26" s="13" t="str">
        <f t="shared" si="8"/>
        <v>1</v>
      </c>
      <c r="AG26" s="15"/>
      <c r="AH26" s="15"/>
      <c r="AI26" s="15"/>
      <c r="AJ26" s="14"/>
      <c r="AK26" s="15" cm="1">
        <f t="array" ref="AK26">_xlfn.IFS(B26="","",LEFT(G26,1)="L",1,LEFT(G26,1)="W",1,AND(LEFT(B26,1)="H",G26=""),0)</f>
        <v>0</v>
      </c>
      <c r="AL26" s="15"/>
      <c r="AM26" s="15"/>
      <c r="AN26" s="15"/>
      <c r="AO26" s="15"/>
      <c r="AP26" s="15"/>
      <c r="AQ26" s="15"/>
      <c r="AR26" s="15"/>
      <c r="AS26" s="15">
        <f t="shared" si="29"/>
        <v>1</v>
      </c>
      <c r="AT26" s="15" t="s">
        <v>115</v>
      </c>
      <c r="AU26" s="13" t="str">
        <f t="shared" si="9"/>
        <v>0</v>
      </c>
      <c r="AV26" s="15"/>
      <c r="AW26" s="15"/>
      <c r="AX26" s="15"/>
      <c r="AY26" s="15"/>
      <c r="AZ26" s="14"/>
      <c r="BA26" s="15"/>
      <c r="BB26" s="15"/>
      <c r="BC26" s="15"/>
      <c r="BD26" s="13" t="str">
        <f t="shared" si="10"/>
        <v>0</v>
      </c>
      <c r="BE26" s="2"/>
      <c r="BF26" s="2"/>
      <c r="BG26" s="2"/>
      <c r="BH26" s="2"/>
      <c r="BI26" s="2"/>
      <c r="BJ26" s="2"/>
      <c r="BK26" s="2" t="s">
        <v>160</v>
      </c>
      <c r="BL26" s="10"/>
      <c r="BM26" t="str" cm="1">
        <f t="array" ref="BM26">_xlfn.IFS(LEFT(G26,1)="L","外注品",LEFT(G26,1)="W","内製品",G26="","購買品")</f>
        <v>購買品</v>
      </c>
    </row>
    <row r="27" spans="1:65">
      <c r="A27" s="2" t="str">
        <f t="shared" ref="A27:A29" si="87">IF(B27="","","WG01")</f>
        <v>WG01</v>
      </c>
      <c r="B27" s="2" t="s">
        <v>138</v>
      </c>
      <c r="C27" s="2" t="s">
        <v>150</v>
      </c>
      <c r="D27" s="10" t="str">
        <f t="shared" ref="D27:D29" si="88">BK27</f>
        <v>E384862_01</v>
      </c>
      <c r="E27" s="10" t="str">
        <f t="shared" ref="E27:E29" si="89">BL27</f>
        <v>RX-00B</v>
      </c>
      <c r="F27" s="2"/>
      <c r="G27" s="3" t="s">
        <v>194</v>
      </c>
      <c r="H27" s="3" t="str" cm="1">
        <f t="array" ref="H27">IFERROR(_xlfn.IFS(B27="","",AND(B27="",G27=""),"",G27="","記載要"),"")</f>
        <v/>
      </c>
      <c r="I27" s="2"/>
      <c r="J27" s="2"/>
      <c r="K27" s="2" t="str">
        <f t="shared" ref="K27:K29" si="90">IF(G27="","","11"&amp;G27&amp;RIGHT(B27,5))</f>
        <v>11L0004699833</v>
      </c>
      <c r="L27" s="7" t="str">
        <f t="shared" ref="L27:L29" si="91">IF(B27="","","2001/01/01")</f>
        <v>2001/01/01</v>
      </c>
      <c r="M27" s="7" t="str">
        <f t="shared" ref="M27:M29" si="92">IF(C27="","","2199/12/31")</f>
        <v>2199/12/31</v>
      </c>
      <c r="N27" s="2" t="str">
        <f t="shared" ref="N27:N29" si="93">IF(LEFT(G27,1)="W",K27,"")</f>
        <v/>
      </c>
      <c r="O27" s="13">
        <v>15</v>
      </c>
      <c r="P27" s="15"/>
      <c r="Q27" s="13">
        <v>0</v>
      </c>
      <c r="R27" s="18" t="str">
        <f t="shared" ref="R27:R29" si="94">IF(H27="","","記載要")</f>
        <v/>
      </c>
      <c r="S27" s="18" t="str" cm="1">
        <f t="array" ref="S27">_xlfn.IFS(LEFT(G27,1)="L","記載要",LEFT(G27,1)="W","記載要",G27="","")</f>
        <v>記載要</v>
      </c>
      <c r="T27" s="2"/>
      <c r="U27" s="2"/>
      <c r="V27" s="2"/>
      <c r="W27" s="2"/>
      <c r="X27" s="2"/>
      <c r="Y27" s="2"/>
      <c r="Z27" s="2"/>
      <c r="AA27" s="13">
        <v>1</v>
      </c>
      <c r="AB27" s="13">
        <f t="shared" ref="AB27:AB29" si="95">IF(B27="","",0)</f>
        <v>0</v>
      </c>
      <c r="AC27" s="13">
        <f t="shared" ref="AC27:AC29" si="96">IF(B27="","",0)</f>
        <v>0</v>
      </c>
      <c r="AD27" s="15"/>
      <c r="AE27" s="15"/>
      <c r="AF27" s="13" t="str">
        <f t="shared" ref="AF27:AF29" si="97">IF(B27="","","1")</f>
        <v>1</v>
      </c>
      <c r="AG27" s="15"/>
      <c r="AH27" s="15"/>
      <c r="AI27" s="15"/>
      <c r="AJ27" s="14"/>
      <c r="AK27" s="15" cm="1">
        <f t="array" ref="AK27">_xlfn.IFS(B27="","",LEFT(G27,1)="L",1,LEFT(G27,1)="W",1,AND(LEFT(B27,1)="H",G27=""),0)</f>
        <v>1</v>
      </c>
      <c r="AL27" s="15"/>
      <c r="AM27" s="15"/>
      <c r="AN27" s="15"/>
      <c r="AO27" s="15"/>
      <c r="AP27" s="15"/>
      <c r="AQ27" s="15"/>
      <c r="AR27" s="15"/>
      <c r="AS27" s="15">
        <f t="shared" ref="AS27:AS29" si="98">IF(Q27="","",1)</f>
        <v>1</v>
      </c>
      <c r="AT27" s="15" t="s">
        <v>115</v>
      </c>
      <c r="AU27" s="13" t="str">
        <f t="shared" ref="AU27:AU29" si="99">IF(B27="","","0")</f>
        <v>0</v>
      </c>
      <c r="AV27" s="15"/>
      <c r="AW27" s="15"/>
      <c r="AX27" s="15"/>
      <c r="AY27" s="15"/>
      <c r="AZ27" s="14"/>
      <c r="BA27" s="15"/>
      <c r="BB27" s="15"/>
      <c r="BC27" s="15"/>
      <c r="BD27" s="13" t="str">
        <f t="shared" ref="BD27:BD29" si="100">IF(B27="","","0")</f>
        <v>0</v>
      </c>
      <c r="BE27" s="2"/>
      <c r="BF27" s="2"/>
      <c r="BG27" s="2"/>
      <c r="BH27" s="2"/>
      <c r="BI27" s="2"/>
      <c r="BJ27" s="2"/>
      <c r="BK27" s="2" t="s">
        <v>161</v>
      </c>
      <c r="BL27" s="10" t="s">
        <v>164</v>
      </c>
      <c r="BM27" t="str" cm="1">
        <f t="array" ref="BM27">_xlfn.IFS(LEFT(G27,1)="L","外注品",LEFT(G27,1)="W","内製品",G27="","購買品")</f>
        <v>外注品</v>
      </c>
    </row>
    <row r="28" spans="1:65">
      <c r="A28" s="2" t="str">
        <f t="shared" si="87"/>
        <v>WG01</v>
      </c>
      <c r="B28" s="2" t="s">
        <v>138</v>
      </c>
      <c r="C28" s="2" t="s">
        <v>150</v>
      </c>
      <c r="D28" s="10" t="str">
        <f t="shared" si="88"/>
        <v>E384862_01</v>
      </c>
      <c r="E28" s="10" t="str">
        <f t="shared" si="89"/>
        <v>RX-00B</v>
      </c>
      <c r="F28" s="2"/>
      <c r="G28" s="3" t="s">
        <v>195</v>
      </c>
      <c r="H28" s="3" t="str" cm="1">
        <f t="array" ref="H28">IFERROR(_xlfn.IFS(B28="","",AND(B28="",G28=""),"",G28="","記載要"),"")</f>
        <v/>
      </c>
      <c r="I28" s="2"/>
      <c r="J28" s="2"/>
      <c r="K28" s="2" t="str">
        <f t="shared" si="90"/>
        <v>11L0004799833</v>
      </c>
      <c r="L28" s="7" t="str">
        <f t="shared" si="91"/>
        <v>2001/01/01</v>
      </c>
      <c r="M28" s="7" t="str">
        <f t="shared" si="92"/>
        <v>2199/12/31</v>
      </c>
      <c r="N28" s="2" t="str">
        <f t="shared" si="93"/>
        <v/>
      </c>
      <c r="O28" s="13">
        <v>15</v>
      </c>
      <c r="P28" s="15"/>
      <c r="Q28" s="13">
        <v>0</v>
      </c>
      <c r="R28" s="18" t="str">
        <f t="shared" si="94"/>
        <v/>
      </c>
      <c r="S28" s="18" t="str" cm="1">
        <f t="array" ref="S28">_xlfn.IFS(LEFT(G28,1)="L","記載要",LEFT(G28,1)="W","記載要",G28="","")</f>
        <v>記載要</v>
      </c>
      <c r="T28" s="2"/>
      <c r="U28" s="2"/>
      <c r="V28" s="2"/>
      <c r="W28" s="2"/>
      <c r="X28" s="2"/>
      <c r="Y28" s="2"/>
      <c r="Z28" s="2"/>
      <c r="AA28" s="13">
        <v>1</v>
      </c>
      <c r="AB28" s="13">
        <f t="shared" si="95"/>
        <v>0</v>
      </c>
      <c r="AC28" s="13">
        <f t="shared" si="96"/>
        <v>0</v>
      </c>
      <c r="AD28" s="15"/>
      <c r="AE28" s="15"/>
      <c r="AF28" s="13" t="str">
        <f t="shared" si="97"/>
        <v>1</v>
      </c>
      <c r="AG28" s="15"/>
      <c r="AH28" s="15"/>
      <c r="AI28" s="15"/>
      <c r="AJ28" s="14"/>
      <c r="AK28" s="15" cm="1">
        <f t="array" ref="AK28">_xlfn.IFS(B28="","",LEFT(G28,1)="L",1,LEFT(G28,1)="W",1,AND(LEFT(B28,1)="H",G28=""),0)</f>
        <v>1</v>
      </c>
      <c r="AL28" s="15"/>
      <c r="AM28" s="15"/>
      <c r="AN28" s="15"/>
      <c r="AO28" s="15"/>
      <c r="AP28" s="15"/>
      <c r="AQ28" s="15"/>
      <c r="AR28" s="15"/>
      <c r="AS28" s="15">
        <f t="shared" si="98"/>
        <v>1</v>
      </c>
      <c r="AT28" s="15" t="s">
        <v>115</v>
      </c>
      <c r="AU28" s="13" t="str">
        <f t="shared" si="99"/>
        <v>0</v>
      </c>
      <c r="AV28" s="15"/>
      <c r="AW28" s="15"/>
      <c r="AX28" s="15"/>
      <c r="AY28" s="15"/>
      <c r="AZ28" s="14"/>
      <c r="BA28" s="15"/>
      <c r="BB28" s="15"/>
      <c r="BC28" s="15"/>
      <c r="BD28" s="13" t="str">
        <f t="shared" si="100"/>
        <v>0</v>
      </c>
      <c r="BE28" s="2"/>
      <c r="BF28" s="2"/>
      <c r="BG28" s="2"/>
      <c r="BH28" s="2"/>
      <c r="BI28" s="2"/>
      <c r="BJ28" s="2"/>
      <c r="BK28" s="2" t="s">
        <v>161</v>
      </c>
      <c r="BL28" s="10" t="s">
        <v>164</v>
      </c>
      <c r="BM28" t="str" cm="1">
        <f t="array" ref="BM28">_xlfn.IFS(LEFT(G28,1)="L","外注品",LEFT(G28,1)="W","内製品",G28="","購買品")</f>
        <v>外注品</v>
      </c>
    </row>
    <row r="29" spans="1:65">
      <c r="A29" s="2" t="str">
        <f t="shared" si="87"/>
        <v>WG01</v>
      </c>
      <c r="B29" s="2" t="s">
        <v>138</v>
      </c>
      <c r="C29" s="2" t="s">
        <v>150</v>
      </c>
      <c r="D29" s="10" t="str">
        <f t="shared" si="88"/>
        <v>E384862_01</v>
      </c>
      <c r="E29" s="10" t="str">
        <f t="shared" si="89"/>
        <v>RX-00B</v>
      </c>
      <c r="F29" s="2"/>
      <c r="G29" s="3" t="s">
        <v>196</v>
      </c>
      <c r="H29" s="3" t="str" cm="1">
        <f t="array" ref="H29">IFERROR(_xlfn.IFS(B29="","",AND(B29="",G29=""),"",G29="","記載要"),"")</f>
        <v/>
      </c>
      <c r="I29" s="2"/>
      <c r="J29" s="2"/>
      <c r="K29" s="2" t="str">
        <f t="shared" si="90"/>
        <v>11L0004999833</v>
      </c>
      <c r="L29" s="7" t="str">
        <f t="shared" si="91"/>
        <v>2001/01/01</v>
      </c>
      <c r="M29" s="7" t="str">
        <f t="shared" si="92"/>
        <v>2199/12/31</v>
      </c>
      <c r="N29" s="2" t="str">
        <f t="shared" si="93"/>
        <v/>
      </c>
      <c r="O29" s="13">
        <v>15</v>
      </c>
      <c r="P29" s="15"/>
      <c r="Q29" s="13">
        <v>0</v>
      </c>
      <c r="R29" s="18" t="str">
        <f t="shared" si="94"/>
        <v/>
      </c>
      <c r="S29" s="18" t="str" cm="1">
        <f t="array" ref="S29">_xlfn.IFS(LEFT(G29,1)="L","記載要",LEFT(G29,1)="W","記載要",G29="","")</f>
        <v>記載要</v>
      </c>
      <c r="T29" s="2"/>
      <c r="U29" s="2"/>
      <c r="V29" s="2"/>
      <c r="W29" s="2"/>
      <c r="X29" s="2"/>
      <c r="Y29" s="2"/>
      <c r="Z29" s="2"/>
      <c r="AA29" s="13">
        <v>1</v>
      </c>
      <c r="AB29" s="13">
        <f t="shared" si="95"/>
        <v>0</v>
      </c>
      <c r="AC29" s="13">
        <f t="shared" si="96"/>
        <v>0</v>
      </c>
      <c r="AD29" s="15"/>
      <c r="AE29" s="15"/>
      <c r="AF29" s="13" t="str">
        <f t="shared" si="97"/>
        <v>1</v>
      </c>
      <c r="AG29" s="15"/>
      <c r="AH29" s="15"/>
      <c r="AI29" s="15"/>
      <c r="AJ29" s="14"/>
      <c r="AK29" s="15" cm="1">
        <f t="array" ref="AK29">_xlfn.IFS(B29="","",LEFT(G29,1)="L",1,LEFT(G29,1)="W",1,AND(LEFT(B29,1)="H",G29=""),0)</f>
        <v>1</v>
      </c>
      <c r="AL29" s="15"/>
      <c r="AM29" s="15"/>
      <c r="AN29" s="15"/>
      <c r="AO29" s="15"/>
      <c r="AP29" s="15"/>
      <c r="AQ29" s="15"/>
      <c r="AR29" s="15"/>
      <c r="AS29" s="15">
        <f t="shared" si="98"/>
        <v>1</v>
      </c>
      <c r="AT29" s="15" t="s">
        <v>115</v>
      </c>
      <c r="AU29" s="13" t="str">
        <f t="shared" si="99"/>
        <v>0</v>
      </c>
      <c r="AV29" s="15"/>
      <c r="AW29" s="15"/>
      <c r="AX29" s="15"/>
      <c r="AY29" s="15"/>
      <c r="AZ29" s="14"/>
      <c r="BA29" s="15"/>
      <c r="BB29" s="15"/>
      <c r="BC29" s="15"/>
      <c r="BD29" s="13" t="str">
        <f t="shared" si="100"/>
        <v>0</v>
      </c>
      <c r="BE29" s="2"/>
      <c r="BF29" s="2"/>
      <c r="BG29" s="2"/>
      <c r="BH29" s="2"/>
      <c r="BI29" s="2"/>
      <c r="BJ29" s="2"/>
      <c r="BK29" s="2" t="s">
        <v>161</v>
      </c>
      <c r="BL29" s="10" t="s">
        <v>164</v>
      </c>
      <c r="BM29" t="str" cm="1">
        <f t="array" ref="BM29">_xlfn.IFS(LEFT(G29,1)="L","外注品",LEFT(G29,1)="W","内製品",G29="","購買品")</f>
        <v>外注品</v>
      </c>
    </row>
    <row r="30" spans="1:65">
      <c r="A30" s="2" t="str">
        <f t="shared" si="0"/>
        <v>WG01</v>
      </c>
      <c r="B30" s="2" t="s">
        <v>138</v>
      </c>
      <c r="C30" s="2" t="s">
        <v>150</v>
      </c>
      <c r="D30" s="10" t="str">
        <f t="shared" si="71"/>
        <v>E384862_01</v>
      </c>
      <c r="E30" s="10" t="str">
        <f t="shared" si="72"/>
        <v>RX-00B</v>
      </c>
      <c r="F30" s="2"/>
      <c r="G30" s="3" t="s">
        <v>197</v>
      </c>
      <c r="H30" s="3" t="str" cm="1">
        <f t="array" ref="H30">IFERROR(_xlfn.IFS(B30="","",AND(B30="",G30=""),"",G30="","記載要"),"")</f>
        <v/>
      </c>
      <c r="I30" s="2"/>
      <c r="J30" s="2"/>
      <c r="K30" s="2" t="str">
        <f t="shared" si="3"/>
        <v>11L0005199833</v>
      </c>
      <c r="L30" s="7" t="str">
        <f t="shared" si="4"/>
        <v>2001/01/01</v>
      </c>
      <c r="M30" s="7" t="str">
        <f t="shared" si="5"/>
        <v>2199/12/31</v>
      </c>
      <c r="N30" s="2" t="str">
        <f t="shared" si="27"/>
        <v/>
      </c>
      <c r="O30" s="13">
        <v>15</v>
      </c>
      <c r="P30" s="15"/>
      <c r="Q30" s="13">
        <v>0</v>
      </c>
      <c r="R30" s="18" t="str">
        <f t="shared" si="28"/>
        <v/>
      </c>
      <c r="S30" s="18" t="str" cm="1">
        <f t="array" ref="S30">_xlfn.IFS(LEFT(G30,1)="L","記載要",LEFT(G30,1)="W","記載要",G30="","")</f>
        <v>記載要</v>
      </c>
      <c r="T30" s="2"/>
      <c r="U30" s="2"/>
      <c r="V30" s="2"/>
      <c r="W30" s="2"/>
      <c r="X30" s="2"/>
      <c r="Y30" s="2"/>
      <c r="Z30" s="2"/>
      <c r="AA30" s="13">
        <v>1</v>
      </c>
      <c r="AB30" s="13">
        <f t="shared" si="6"/>
        <v>0</v>
      </c>
      <c r="AC30" s="13">
        <f t="shared" si="7"/>
        <v>0</v>
      </c>
      <c r="AD30" s="15"/>
      <c r="AE30" s="15"/>
      <c r="AF30" s="13" t="str">
        <f t="shared" si="8"/>
        <v>1</v>
      </c>
      <c r="AG30" s="15"/>
      <c r="AH30" s="15"/>
      <c r="AI30" s="15"/>
      <c r="AJ30" s="14"/>
      <c r="AK30" s="15" cm="1">
        <f t="array" ref="AK30">_xlfn.IFS(B30="","",LEFT(G30,1)="L",1,LEFT(G30,1)="W",1,AND(LEFT(B30,1)="H",G30=""),0)</f>
        <v>1</v>
      </c>
      <c r="AL30" s="15"/>
      <c r="AM30" s="15"/>
      <c r="AN30" s="15"/>
      <c r="AO30" s="15"/>
      <c r="AP30" s="15"/>
      <c r="AQ30" s="15"/>
      <c r="AR30" s="15"/>
      <c r="AS30" s="15">
        <f t="shared" si="29"/>
        <v>1</v>
      </c>
      <c r="AT30" s="15" t="s">
        <v>115</v>
      </c>
      <c r="AU30" s="13" t="str">
        <f t="shared" si="9"/>
        <v>0</v>
      </c>
      <c r="AV30" s="15"/>
      <c r="AW30" s="15"/>
      <c r="AX30" s="15"/>
      <c r="AY30" s="15"/>
      <c r="AZ30" s="14"/>
      <c r="BA30" s="15"/>
      <c r="BB30" s="15"/>
      <c r="BC30" s="15"/>
      <c r="BD30" s="13" t="str">
        <f t="shared" si="10"/>
        <v>0</v>
      </c>
      <c r="BE30" s="2"/>
      <c r="BF30" s="2"/>
      <c r="BG30" s="2"/>
      <c r="BH30" s="2"/>
      <c r="BI30" s="2"/>
      <c r="BJ30" s="2"/>
      <c r="BK30" s="2" t="s">
        <v>161</v>
      </c>
      <c r="BL30" s="10" t="s">
        <v>164</v>
      </c>
      <c r="BM30" t="str" cm="1">
        <f t="array" ref="BM30">_xlfn.IFS(LEFT(G30,1)="L","外注品",LEFT(G30,1)="W","内製品",G30="","購買品")</f>
        <v>外注品</v>
      </c>
    </row>
    <row r="31" spans="1:65">
      <c r="A31" s="2" t="str">
        <f t="shared" ref="A31" si="101">IF(B31="","","WG01")</f>
        <v>WG01</v>
      </c>
      <c r="B31" s="2" t="s">
        <v>139</v>
      </c>
      <c r="C31" s="2" t="s">
        <v>151</v>
      </c>
      <c r="D31" s="10" t="str">
        <f t="shared" ref="D31" si="102">BK31</f>
        <v>E392394_01</v>
      </c>
      <c r="E31" s="10" t="str">
        <f t="shared" ref="E31" si="103">BL31</f>
        <v>RX-00B</v>
      </c>
      <c r="F31" s="2"/>
      <c r="G31" s="3"/>
      <c r="H31" s="19" t="s">
        <v>193</v>
      </c>
      <c r="I31" s="2"/>
      <c r="J31" s="2"/>
      <c r="K31" s="2" t="str">
        <f t="shared" ref="K31" si="104">IF(G31="","","11"&amp;G31&amp;RIGHT(B31,5))</f>
        <v/>
      </c>
      <c r="L31" s="7" t="str">
        <f t="shared" ref="L31" si="105">IF(B31="","","2001/01/01")</f>
        <v>2001/01/01</v>
      </c>
      <c r="M31" s="7" t="str">
        <f t="shared" ref="M31" si="106">IF(C31="","","2199/12/31")</f>
        <v>2199/12/31</v>
      </c>
      <c r="N31" s="2" t="str">
        <f t="shared" ref="N31" si="107">IF(LEFT(G31,1)="W",K31,"")</f>
        <v/>
      </c>
      <c r="O31" s="13" t="str">
        <f t="shared" ref="O31" si="108">IF(G31="","","記載要")</f>
        <v/>
      </c>
      <c r="P31" s="15"/>
      <c r="Q31" s="13">
        <v>15</v>
      </c>
      <c r="R31" s="18">
        <v>100000000</v>
      </c>
      <c r="S31" s="18" t="str" cm="1">
        <f t="array" ref="S31">_xlfn.IFS(LEFT(G31,1)="L","記載要",LEFT(G31,1)="W","記載要",G31="","")</f>
        <v/>
      </c>
      <c r="T31" s="2"/>
      <c r="U31" s="2"/>
      <c r="V31" s="2"/>
      <c r="W31" s="2"/>
      <c r="X31" s="2"/>
      <c r="Y31" s="2"/>
      <c r="Z31" s="2"/>
      <c r="AA31" s="13">
        <v>1</v>
      </c>
      <c r="AB31" s="13">
        <f t="shared" ref="AB31" si="109">IF(B31="","",0)</f>
        <v>0</v>
      </c>
      <c r="AC31" s="13">
        <f t="shared" ref="AC31" si="110">IF(B31="","",0)</f>
        <v>0</v>
      </c>
      <c r="AD31" s="15"/>
      <c r="AE31" s="15"/>
      <c r="AF31" s="13" t="str">
        <f t="shared" ref="AF31" si="111">IF(B31="","","1")</f>
        <v>1</v>
      </c>
      <c r="AG31" s="15"/>
      <c r="AH31" s="15"/>
      <c r="AI31" s="15"/>
      <c r="AJ31" s="14"/>
      <c r="AK31" s="15" cm="1">
        <f t="array" ref="AK31">_xlfn.IFS(B31="","",LEFT(G31,1)="L",1,LEFT(G31,1)="W",1,AND(LEFT(B31,1)="H",G31=""),0)</f>
        <v>0</v>
      </c>
      <c r="AL31" s="15"/>
      <c r="AM31" s="15"/>
      <c r="AN31" s="15"/>
      <c r="AO31" s="15"/>
      <c r="AP31" s="15"/>
      <c r="AQ31" s="15"/>
      <c r="AR31" s="15"/>
      <c r="AS31" s="15">
        <f t="shared" ref="AS31" si="112">IF(Q31="","",1)</f>
        <v>1</v>
      </c>
      <c r="AT31" s="15" t="s">
        <v>115</v>
      </c>
      <c r="AU31" s="13" t="str">
        <f t="shared" ref="AU31" si="113">IF(B31="","","0")</f>
        <v>0</v>
      </c>
      <c r="AV31" s="15"/>
      <c r="AW31" s="15"/>
      <c r="AX31" s="15"/>
      <c r="AY31" s="15"/>
      <c r="AZ31" s="14"/>
      <c r="BA31" s="15"/>
      <c r="BB31" s="15"/>
      <c r="BC31" s="15"/>
      <c r="BD31" s="13" t="str">
        <f t="shared" ref="BD31" si="114">IF(B31="","","0")</f>
        <v>0</v>
      </c>
      <c r="BE31" s="2"/>
      <c r="BF31" s="2"/>
      <c r="BG31" s="2"/>
      <c r="BH31" s="2"/>
      <c r="BI31" s="2"/>
      <c r="BJ31" s="2"/>
      <c r="BK31" s="2" t="s">
        <v>162</v>
      </c>
      <c r="BL31" s="10" t="s">
        <v>164</v>
      </c>
      <c r="BM31" t="str" cm="1">
        <f t="array" ref="BM31">_xlfn.IFS(LEFT(G31,1)="L","外注品",LEFT(G31,1)="W","内製品",G31="","購買品")</f>
        <v>購買品</v>
      </c>
    </row>
    <row r="32" spans="1:65">
      <c r="A32" s="2" t="str">
        <f t="shared" si="0"/>
        <v>WG01</v>
      </c>
      <c r="B32" s="2" t="s">
        <v>140</v>
      </c>
      <c r="C32" s="2" t="s">
        <v>152</v>
      </c>
      <c r="D32" s="10" t="str">
        <f t="shared" si="71"/>
        <v>E394256_01</v>
      </c>
      <c r="E32" s="10">
        <f t="shared" si="72"/>
        <v>0</v>
      </c>
      <c r="F32" s="2"/>
      <c r="G32" s="3" t="s">
        <v>192</v>
      </c>
      <c r="H32" s="3" t="str" cm="1">
        <f t="array" ref="H32">IFERROR(_xlfn.IFS(B32="","",AND(B32="",G32=""),"",G32="","記載要"),"")</f>
        <v/>
      </c>
      <c r="I32" s="2" t="s">
        <v>115</v>
      </c>
      <c r="J32" s="2" t="s">
        <v>115</v>
      </c>
      <c r="K32" s="2" t="str">
        <f t="shared" si="3"/>
        <v>11WP01099835</v>
      </c>
      <c r="L32" s="7" t="str">
        <f t="shared" si="4"/>
        <v>2001/01/01</v>
      </c>
      <c r="M32" s="7" t="str">
        <f t="shared" si="5"/>
        <v>2199/12/31</v>
      </c>
      <c r="N32" s="2" t="str">
        <f t="shared" si="27"/>
        <v>11WP01099835</v>
      </c>
      <c r="O32" s="13">
        <v>15</v>
      </c>
      <c r="P32" s="15"/>
      <c r="Q32" s="13" t="str" cm="1">
        <f t="array" ref="Q32">_xlfn.IFS(AND(C32="",G32=""),"",LEFT(G32,1)="L","記載要",LEFT(G32,1)="W","",AND(C32,G32=""),"記載要")</f>
        <v/>
      </c>
      <c r="R32" s="18" t="str">
        <f t="shared" si="28"/>
        <v/>
      </c>
      <c r="S32" s="18"/>
      <c r="T32" s="2"/>
      <c r="U32" s="2"/>
      <c r="V32" s="2"/>
      <c r="W32" s="2"/>
      <c r="X32" s="2"/>
      <c r="Y32" s="2"/>
      <c r="Z32" s="2"/>
      <c r="AA32" s="13">
        <v>1</v>
      </c>
      <c r="AB32" s="13">
        <f t="shared" si="6"/>
        <v>0</v>
      </c>
      <c r="AC32" s="13">
        <f t="shared" si="7"/>
        <v>0</v>
      </c>
      <c r="AD32" s="16" t="s">
        <v>115</v>
      </c>
      <c r="AE32" s="15" t="s">
        <v>115</v>
      </c>
      <c r="AF32" s="13" t="str">
        <f t="shared" si="8"/>
        <v>1</v>
      </c>
      <c r="AG32" s="15" t="s">
        <v>115</v>
      </c>
      <c r="AH32" s="15" t="s">
        <v>115</v>
      </c>
      <c r="AI32" s="15" t="s">
        <v>115</v>
      </c>
      <c r="AJ32" s="14" t="s">
        <v>115</v>
      </c>
      <c r="AK32" s="15" cm="1">
        <f t="array" ref="AK32">_xlfn.IFS(B32="","",LEFT(G32,1)="L",1,LEFT(G32,1)="W",1,AND(LEFT(B32,1)="H",G32=""),0)</f>
        <v>1</v>
      </c>
      <c r="AL32" s="15" t="s">
        <v>115</v>
      </c>
      <c r="AM32" s="15" t="s">
        <v>115</v>
      </c>
      <c r="AN32" s="15" t="s">
        <v>115</v>
      </c>
      <c r="AO32" s="15" t="s">
        <v>115</v>
      </c>
      <c r="AP32" s="15" t="s">
        <v>115</v>
      </c>
      <c r="AQ32" s="15" t="s">
        <v>115</v>
      </c>
      <c r="AR32" s="15" t="s">
        <v>115</v>
      </c>
      <c r="AS32" s="15" t="str">
        <f t="shared" si="29"/>
        <v/>
      </c>
      <c r="AT32" s="15" t="s">
        <v>115</v>
      </c>
      <c r="AU32" s="13" t="str">
        <f t="shared" si="9"/>
        <v>0</v>
      </c>
      <c r="AV32" s="15" t="s">
        <v>115</v>
      </c>
      <c r="AW32" s="15" t="s">
        <v>115</v>
      </c>
      <c r="AX32" s="15" t="s">
        <v>115</v>
      </c>
      <c r="AY32" s="15" t="s">
        <v>115</v>
      </c>
      <c r="AZ32" s="14" t="s">
        <v>115</v>
      </c>
      <c r="BA32" s="15" t="s">
        <v>115</v>
      </c>
      <c r="BB32" s="15" t="s">
        <v>115</v>
      </c>
      <c r="BC32" s="15" t="s">
        <v>115</v>
      </c>
      <c r="BD32" s="13" t="str">
        <f t="shared" si="10"/>
        <v>0</v>
      </c>
      <c r="BE32" s="2" t="s">
        <v>115</v>
      </c>
      <c r="BF32" s="2" t="s">
        <v>115</v>
      </c>
      <c r="BG32" s="2" t="s">
        <v>115</v>
      </c>
      <c r="BH32" s="2" t="s">
        <v>115</v>
      </c>
      <c r="BI32" s="2" t="s">
        <v>115</v>
      </c>
      <c r="BJ32" s="2" t="s">
        <v>115</v>
      </c>
      <c r="BK32" s="2" t="s">
        <v>163</v>
      </c>
      <c r="BL32" s="10"/>
      <c r="BM32" t="str" cm="1">
        <f t="array" ref="BM32">_xlfn.IFS(LEFT(G32,1)="L","外注品",LEFT(G32,1)="W","内製品",G32="","購買品")</f>
        <v>内製品</v>
      </c>
    </row>
    <row r="33" spans="1:65">
      <c r="A33" s="2" t="str">
        <f t="shared" si="0"/>
        <v>WG01</v>
      </c>
      <c r="B33" s="2" t="s">
        <v>165</v>
      </c>
      <c r="C33" s="2" t="s">
        <v>175</v>
      </c>
      <c r="D33" s="10" t="str">
        <f t="shared" si="71"/>
        <v>E394456_01</v>
      </c>
      <c r="E33" s="10" t="str">
        <f t="shared" si="72"/>
        <v>リベット穴付き,Krea</v>
      </c>
      <c r="F33" s="2"/>
      <c r="G33" s="3" t="s">
        <v>192</v>
      </c>
      <c r="H33" s="3" t="str" cm="1">
        <f t="array" ref="H33">IFERROR(_xlfn.IFS(B33="","",AND(B33="",G33=""),"",G33="","記載要"),"")</f>
        <v/>
      </c>
      <c r="I33" s="2" t="s">
        <v>115</v>
      </c>
      <c r="J33" s="2" t="s">
        <v>115</v>
      </c>
      <c r="K33" s="2" t="str">
        <f t="shared" si="3"/>
        <v>11WP01099889</v>
      </c>
      <c r="L33" s="7" t="str">
        <f t="shared" si="4"/>
        <v>2001/01/01</v>
      </c>
      <c r="M33" s="7" t="str">
        <f t="shared" si="5"/>
        <v>2199/12/31</v>
      </c>
      <c r="N33" s="2" t="str">
        <f t="shared" si="27"/>
        <v>11WP01099889</v>
      </c>
      <c r="O33" s="13">
        <v>15</v>
      </c>
      <c r="P33" s="15"/>
      <c r="Q33" s="13" t="str" cm="1">
        <f t="array" ref="Q33">_xlfn.IFS(AND(C33="",G33=""),"",LEFT(G33,1)="L","記載要",LEFT(G33,1)="W","",AND(C33,G33=""),"記載要")</f>
        <v/>
      </c>
      <c r="R33" s="18" t="str">
        <f t="shared" si="28"/>
        <v/>
      </c>
      <c r="S33" s="18"/>
      <c r="T33" s="2"/>
      <c r="U33" s="2"/>
      <c r="V33" s="2"/>
      <c r="W33" s="2"/>
      <c r="X33" s="2"/>
      <c r="Y33" s="2"/>
      <c r="Z33" s="2"/>
      <c r="AA33" s="13">
        <v>1</v>
      </c>
      <c r="AB33" s="13">
        <f t="shared" si="6"/>
        <v>0</v>
      </c>
      <c r="AC33" s="13">
        <f t="shared" si="7"/>
        <v>0</v>
      </c>
      <c r="AD33" s="15" t="s">
        <v>115</v>
      </c>
      <c r="AE33" s="15" t="s">
        <v>115</v>
      </c>
      <c r="AF33" s="13" t="str">
        <f t="shared" si="8"/>
        <v>1</v>
      </c>
      <c r="AG33" s="15" t="s">
        <v>115</v>
      </c>
      <c r="AH33" s="15" t="s">
        <v>115</v>
      </c>
      <c r="AI33" s="15" t="s">
        <v>115</v>
      </c>
      <c r="AJ33" s="14" t="s">
        <v>115</v>
      </c>
      <c r="AK33" s="15" cm="1">
        <f t="array" ref="AK33">_xlfn.IFS(B33="","",LEFT(G33,1)="L",1,LEFT(G33,1)="W",1,AND(LEFT(B33,1)="H",G33=""),0)</f>
        <v>1</v>
      </c>
      <c r="AL33" s="15" t="s">
        <v>115</v>
      </c>
      <c r="AM33" s="15" t="s">
        <v>115</v>
      </c>
      <c r="AN33" s="15" t="s">
        <v>115</v>
      </c>
      <c r="AO33" s="15" t="s">
        <v>115</v>
      </c>
      <c r="AP33" s="15" t="s">
        <v>115</v>
      </c>
      <c r="AQ33" s="15" t="s">
        <v>115</v>
      </c>
      <c r="AR33" s="15" t="s">
        <v>115</v>
      </c>
      <c r="AS33" s="15" t="str">
        <f t="shared" si="29"/>
        <v/>
      </c>
      <c r="AT33" s="15" t="s">
        <v>115</v>
      </c>
      <c r="AU33" s="13" t="str">
        <f t="shared" si="9"/>
        <v>0</v>
      </c>
      <c r="AV33" s="15" t="s">
        <v>115</v>
      </c>
      <c r="AW33" s="15" t="s">
        <v>115</v>
      </c>
      <c r="AX33" s="15" t="s">
        <v>115</v>
      </c>
      <c r="AY33" s="15" t="s">
        <v>115</v>
      </c>
      <c r="AZ33" s="14" t="s">
        <v>115</v>
      </c>
      <c r="BA33" s="15" t="s">
        <v>115</v>
      </c>
      <c r="BB33" s="15" t="s">
        <v>115</v>
      </c>
      <c r="BC33" s="15" t="s">
        <v>115</v>
      </c>
      <c r="BD33" s="13" t="str">
        <f t="shared" si="10"/>
        <v>0</v>
      </c>
      <c r="BE33" s="2" t="s">
        <v>115</v>
      </c>
      <c r="BF33" s="2" t="s">
        <v>115</v>
      </c>
      <c r="BG33" s="2" t="s">
        <v>115</v>
      </c>
      <c r="BH33" s="2" t="s">
        <v>115</v>
      </c>
      <c r="BI33" s="2" t="s">
        <v>115</v>
      </c>
      <c r="BJ33" s="2" t="s">
        <v>115</v>
      </c>
      <c r="BK33" s="2" t="s">
        <v>179</v>
      </c>
      <c r="BL33" s="10" t="s">
        <v>186</v>
      </c>
      <c r="BM33" t="str" cm="1">
        <f t="array" ref="BM33">_xlfn.IFS(LEFT(G33,1)="L","外注品",LEFT(G33,1)="W","内製品",G33="","購買品")</f>
        <v>内製品</v>
      </c>
    </row>
    <row r="34" spans="1:65">
      <c r="A34" s="2" t="str">
        <f t="shared" si="0"/>
        <v>WG01</v>
      </c>
      <c r="B34" s="2" t="s">
        <v>166</v>
      </c>
      <c r="C34" s="2" t="s">
        <v>175</v>
      </c>
      <c r="D34" s="10" t="str">
        <f t="shared" si="71"/>
        <v>E394464_01</v>
      </c>
      <c r="E34" s="10" t="str">
        <f t="shared" si="72"/>
        <v>リベット穴付き,China</v>
      </c>
      <c r="F34" s="2"/>
      <c r="G34" s="3" t="s">
        <v>192</v>
      </c>
      <c r="H34" s="3" t="str" cm="1">
        <f t="array" ref="H34">IFERROR(_xlfn.IFS(B34="","",AND(B34="",G34=""),"",G34="","記載要"),"")</f>
        <v/>
      </c>
      <c r="I34" s="2" t="s">
        <v>115</v>
      </c>
      <c r="J34" s="2" t="s">
        <v>115</v>
      </c>
      <c r="K34" s="2" t="str">
        <f t="shared" si="3"/>
        <v>11WP01099890</v>
      </c>
      <c r="L34" s="7" t="str">
        <f t="shared" si="4"/>
        <v>2001/01/01</v>
      </c>
      <c r="M34" s="7" t="str">
        <f t="shared" si="5"/>
        <v>2199/12/31</v>
      </c>
      <c r="N34" s="2" t="str">
        <f t="shared" si="27"/>
        <v>11WP01099890</v>
      </c>
      <c r="O34" s="13">
        <v>15</v>
      </c>
      <c r="P34" s="15"/>
      <c r="Q34" s="13" t="str" cm="1">
        <f t="array" ref="Q34">_xlfn.IFS(AND(C34="",G34=""),"",LEFT(G34,1)="L","記載要",LEFT(G34,1)="W","",AND(C34,G34=""),"記載要")</f>
        <v/>
      </c>
      <c r="R34" s="18" t="str">
        <f t="shared" si="28"/>
        <v/>
      </c>
      <c r="S34" s="18"/>
      <c r="T34" s="2"/>
      <c r="U34" s="2"/>
      <c r="V34" s="2"/>
      <c r="W34" s="2"/>
      <c r="X34" s="2"/>
      <c r="Y34" s="2"/>
      <c r="Z34" s="2"/>
      <c r="AA34" s="13">
        <v>1</v>
      </c>
      <c r="AB34" s="13">
        <f t="shared" si="6"/>
        <v>0</v>
      </c>
      <c r="AC34" s="13">
        <f t="shared" si="7"/>
        <v>0</v>
      </c>
      <c r="AD34" s="15" t="s">
        <v>115</v>
      </c>
      <c r="AE34" s="15" t="s">
        <v>115</v>
      </c>
      <c r="AF34" s="13" t="str">
        <f t="shared" si="8"/>
        <v>1</v>
      </c>
      <c r="AG34" s="15" t="s">
        <v>115</v>
      </c>
      <c r="AH34" s="15" t="s">
        <v>115</v>
      </c>
      <c r="AI34" s="15" t="s">
        <v>115</v>
      </c>
      <c r="AJ34" s="14" t="s">
        <v>115</v>
      </c>
      <c r="AK34" s="15" cm="1">
        <f t="array" ref="AK34">_xlfn.IFS(B34="","",LEFT(G34,1)="L",1,LEFT(G34,1)="W",1,AND(LEFT(B34,1)="H",G34=""),0)</f>
        <v>1</v>
      </c>
      <c r="AL34" s="15" t="s">
        <v>115</v>
      </c>
      <c r="AM34" s="15" t="s">
        <v>115</v>
      </c>
      <c r="AN34" s="15" t="s">
        <v>115</v>
      </c>
      <c r="AO34" s="15" t="s">
        <v>115</v>
      </c>
      <c r="AP34" s="15" t="s">
        <v>115</v>
      </c>
      <c r="AQ34" s="15" t="s">
        <v>115</v>
      </c>
      <c r="AR34" s="15" t="s">
        <v>115</v>
      </c>
      <c r="AS34" s="15" t="str">
        <f t="shared" si="29"/>
        <v/>
      </c>
      <c r="AT34" s="15" t="s">
        <v>115</v>
      </c>
      <c r="AU34" s="13" t="str">
        <f t="shared" si="9"/>
        <v>0</v>
      </c>
      <c r="AV34" s="15" t="s">
        <v>115</v>
      </c>
      <c r="AW34" s="15" t="s">
        <v>115</v>
      </c>
      <c r="AX34" s="15" t="s">
        <v>115</v>
      </c>
      <c r="AY34" s="15" t="s">
        <v>115</v>
      </c>
      <c r="AZ34" s="14" t="s">
        <v>115</v>
      </c>
      <c r="BA34" s="15" t="s">
        <v>115</v>
      </c>
      <c r="BB34" s="15" t="s">
        <v>115</v>
      </c>
      <c r="BC34" s="15" t="s">
        <v>115</v>
      </c>
      <c r="BD34" s="13" t="str">
        <f t="shared" si="10"/>
        <v>0</v>
      </c>
      <c r="BE34" s="2" t="s">
        <v>115</v>
      </c>
      <c r="BF34" s="2" t="s">
        <v>115</v>
      </c>
      <c r="BG34" s="2" t="s">
        <v>115</v>
      </c>
      <c r="BH34" s="2" t="s">
        <v>115</v>
      </c>
      <c r="BI34" s="2" t="s">
        <v>115</v>
      </c>
      <c r="BJ34" s="2" t="s">
        <v>115</v>
      </c>
      <c r="BK34" s="2" t="s">
        <v>180</v>
      </c>
      <c r="BL34" s="10" t="s">
        <v>187</v>
      </c>
      <c r="BM34" t="str" cm="1">
        <f t="array" ref="BM34">_xlfn.IFS(LEFT(G34,1)="L","外注品",LEFT(G34,1)="W","内製品",G34="","購買品")</f>
        <v>内製品</v>
      </c>
    </row>
    <row r="35" spans="1:65">
      <c r="A35" s="2" t="str">
        <f t="shared" si="0"/>
        <v>WG01</v>
      </c>
      <c r="B35" s="2" t="s">
        <v>167</v>
      </c>
      <c r="C35" s="2" t="s">
        <v>175</v>
      </c>
      <c r="D35" s="10" t="str">
        <f t="shared" si="71"/>
        <v>E394479_01</v>
      </c>
      <c r="E35" s="10" t="str">
        <f t="shared" si="72"/>
        <v>リベット穴付き,Japan,二針圧力計付き</v>
      </c>
      <c r="F35" s="2"/>
      <c r="G35" s="3" t="s">
        <v>192</v>
      </c>
      <c r="H35" s="3" t="str" cm="1">
        <f t="array" ref="H35">IFERROR(_xlfn.IFS(B35="","",AND(B35="",G35=""),"",G35="","記載要"),"")</f>
        <v/>
      </c>
      <c r="I35" s="2" t="s">
        <v>115</v>
      </c>
      <c r="J35" s="2" t="s">
        <v>115</v>
      </c>
      <c r="K35" s="2" t="str">
        <f t="shared" si="3"/>
        <v>11WP01099891</v>
      </c>
      <c r="L35" s="7" t="str">
        <f t="shared" si="4"/>
        <v>2001/01/01</v>
      </c>
      <c r="M35" s="7" t="str">
        <f t="shared" si="5"/>
        <v>2199/12/31</v>
      </c>
      <c r="N35" s="2" t="str">
        <f t="shared" si="27"/>
        <v>11WP01099891</v>
      </c>
      <c r="O35" s="13">
        <v>15</v>
      </c>
      <c r="P35" s="15"/>
      <c r="Q35" s="13" t="str" cm="1">
        <f t="array" ref="Q35">_xlfn.IFS(AND(C35="",G35=""),"",LEFT(G35,1)="L","記載要",LEFT(G35,1)="W","",AND(C35,G35=""),"記載要")</f>
        <v/>
      </c>
      <c r="R35" s="18" t="str">
        <f t="shared" si="28"/>
        <v/>
      </c>
      <c r="S35" s="18"/>
      <c r="T35" s="2"/>
      <c r="U35" s="2"/>
      <c r="V35" s="2"/>
      <c r="W35" s="2"/>
      <c r="X35" s="2"/>
      <c r="Y35" s="2"/>
      <c r="Z35" s="2"/>
      <c r="AA35" s="13">
        <v>1</v>
      </c>
      <c r="AB35" s="13">
        <f t="shared" si="6"/>
        <v>0</v>
      </c>
      <c r="AC35" s="13">
        <f t="shared" si="7"/>
        <v>0</v>
      </c>
      <c r="AD35" s="15" t="s">
        <v>115</v>
      </c>
      <c r="AE35" s="15" t="s">
        <v>115</v>
      </c>
      <c r="AF35" s="13" t="str">
        <f t="shared" si="8"/>
        <v>1</v>
      </c>
      <c r="AG35" s="15" t="s">
        <v>115</v>
      </c>
      <c r="AH35" s="15" t="s">
        <v>115</v>
      </c>
      <c r="AI35" s="15" t="s">
        <v>115</v>
      </c>
      <c r="AJ35" s="14" t="s">
        <v>115</v>
      </c>
      <c r="AK35" s="15" cm="1">
        <f t="array" ref="AK35">_xlfn.IFS(B35="","",LEFT(G35,1)="L",1,LEFT(G35,1)="W",1,AND(LEFT(B35,1)="H",G35=""),0)</f>
        <v>1</v>
      </c>
      <c r="AL35" s="15" t="s">
        <v>115</v>
      </c>
      <c r="AM35" s="15" t="s">
        <v>115</v>
      </c>
      <c r="AN35" s="15" t="s">
        <v>115</v>
      </c>
      <c r="AO35" s="15" t="s">
        <v>115</v>
      </c>
      <c r="AP35" s="15" t="s">
        <v>115</v>
      </c>
      <c r="AQ35" s="15" t="s">
        <v>115</v>
      </c>
      <c r="AR35" s="15" t="s">
        <v>115</v>
      </c>
      <c r="AS35" s="15" t="str">
        <f t="shared" si="29"/>
        <v/>
      </c>
      <c r="AT35" s="15" t="s">
        <v>115</v>
      </c>
      <c r="AU35" s="13" t="str">
        <f t="shared" si="9"/>
        <v>0</v>
      </c>
      <c r="AV35" s="15" t="s">
        <v>115</v>
      </c>
      <c r="AW35" s="15" t="s">
        <v>115</v>
      </c>
      <c r="AX35" s="15" t="s">
        <v>115</v>
      </c>
      <c r="AY35" s="15" t="s">
        <v>115</v>
      </c>
      <c r="AZ35" s="14" t="s">
        <v>115</v>
      </c>
      <c r="BA35" s="15" t="s">
        <v>115</v>
      </c>
      <c r="BB35" s="15" t="s">
        <v>115</v>
      </c>
      <c r="BC35" s="15" t="s">
        <v>115</v>
      </c>
      <c r="BD35" s="13" t="str">
        <f t="shared" si="10"/>
        <v>0</v>
      </c>
      <c r="BE35" s="2" t="s">
        <v>115</v>
      </c>
      <c r="BF35" s="2" t="s">
        <v>115</v>
      </c>
      <c r="BG35" s="2" t="s">
        <v>115</v>
      </c>
      <c r="BH35" s="2" t="s">
        <v>115</v>
      </c>
      <c r="BI35" s="2" t="s">
        <v>115</v>
      </c>
      <c r="BJ35" s="2" t="s">
        <v>115</v>
      </c>
      <c r="BK35" s="2" t="s">
        <v>181</v>
      </c>
      <c r="BL35" s="10" t="s">
        <v>188</v>
      </c>
      <c r="BM35" t="str" cm="1">
        <f t="array" ref="BM35">_xlfn.IFS(LEFT(G35,1)="L","外注品",LEFT(G35,1)="W","内製品",G35="","購買品")</f>
        <v>内製品</v>
      </c>
    </row>
    <row r="36" spans="1:65">
      <c r="A36" s="2" t="str">
        <f t="shared" si="0"/>
        <v>WG01</v>
      </c>
      <c r="B36" s="2" t="s">
        <v>168</v>
      </c>
      <c r="C36" s="2" t="s">
        <v>176</v>
      </c>
      <c r="D36" s="10" t="str">
        <f t="shared" si="71"/>
        <v>E394455_01</v>
      </c>
      <c r="E36" s="10" t="str">
        <f t="shared" si="72"/>
        <v>リベット穴付き,Krea</v>
      </c>
      <c r="F36" s="2"/>
      <c r="G36" s="3" t="s">
        <v>192</v>
      </c>
      <c r="H36" s="3" t="str" cm="1">
        <f t="array" ref="H36">IFERROR(_xlfn.IFS(B36="","",AND(B36="",G36=""),"",G36="","記載要"),"")</f>
        <v/>
      </c>
      <c r="I36" s="2" t="s">
        <v>115</v>
      </c>
      <c r="J36" s="2" t="s">
        <v>115</v>
      </c>
      <c r="K36" s="2" t="str">
        <f t="shared" si="3"/>
        <v>11WP01099892</v>
      </c>
      <c r="L36" s="7" t="str">
        <f t="shared" si="4"/>
        <v>2001/01/01</v>
      </c>
      <c r="M36" s="7" t="str">
        <f t="shared" si="5"/>
        <v>2199/12/31</v>
      </c>
      <c r="N36" s="2" t="str">
        <f t="shared" si="27"/>
        <v>11WP01099892</v>
      </c>
      <c r="O36" s="13">
        <v>15</v>
      </c>
      <c r="P36" s="15"/>
      <c r="Q36" s="13" t="str" cm="1">
        <f t="array" ref="Q36">_xlfn.IFS(AND(C36="",G36=""),"",LEFT(G36,1)="L","記載要",LEFT(G36,1)="W","",AND(C36,G36=""),"記載要")</f>
        <v/>
      </c>
      <c r="R36" s="18" t="str">
        <f t="shared" si="28"/>
        <v/>
      </c>
      <c r="S36" s="18"/>
      <c r="T36" s="2"/>
      <c r="U36" s="2"/>
      <c r="V36" s="2"/>
      <c r="W36" s="2"/>
      <c r="X36" s="2"/>
      <c r="Y36" s="2"/>
      <c r="Z36" s="2"/>
      <c r="AA36" s="13">
        <v>1</v>
      </c>
      <c r="AB36" s="13">
        <f t="shared" si="6"/>
        <v>0</v>
      </c>
      <c r="AC36" s="13">
        <f t="shared" si="7"/>
        <v>0</v>
      </c>
      <c r="AD36" s="15" t="s">
        <v>115</v>
      </c>
      <c r="AE36" s="15" t="s">
        <v>115</v>
      </c>
      <c r="AF36" s="13" t="str">
        <f t="shared" si="8"/>
        <v>1</v>
      </c>
      <c r="AG36" s="15" t="s">
        <v>115</v>
      </c>
      <c r="AH36" s="15" t="s">
        <v>115</v>
      </c>
      <c r="AI36" s="15" t="s">
        <v>115</v>
      </c>
      <c r="AJ36" s="14" t="s">
        <v>115</v>
      </c>
      <c r="AK36" s="15" cm="1">
        <f t="array" ref="AK36">_xlfn.IFS(B36="","",LEFT(G36,1)="L",1,LEFT(G36,1)="W",1,AND(LEFT(B36,1)="H",G36=""),0)</f>
        <v>1</v>
      </c>
      <c r="AL36" s="15" t="s">
        <v>115</v>
      </c>
      <c r="AM36" s="15" t="s">
        <v>115</v>
      </c>
      <c r="AN36" s="15" t="s">
        <v>115</v>
      </c>
      <c r="AO36" s="15" t="s">
        <v>115</v>
      </c>
      <c r="AP36" s="15" t="s">
        <v>115</v>
      </c>
      <c r="AQ36" s="15" t="s">
        <v>115</v>
      </c>
      <c r="AR36" s="15" t="s">
        <v>115</v>
      </c>
      <c r="AS36" s="15" t="str">
        <f t="shared" si="29"/>
        <v/>
      </c>
      <c r="AT36" s="15" t="s">
        <v>115</v>
      </c>
      <c r="AU36" s="13" t="str">
        <f t="shared" si="9"/>
        <v>0</v>
      </c>
      <c r="AV36" s="15" t="s">
        <v>115</v>
      </c>
      <c r="AW36" s="15" t="s">
        <v>115</v>
      </c>
      <c r="AX36" s="15" t="s">
        <v>115</v>
      </c>
      <c r="AY36" s="15" t="s">
        <v>115</v>
      </c>
      <c r="AZ36" s="14" t="s">
        <v>115</v>
      </c>
      <c r="BA36" s="15" t="s">
        <v>115</v>
      </c>
      <c r="BB36" s="15" t="s">
        <v>115</v>
      </c>
      <c r="BC36" s="15" t="s">
        <v>115</v>
      </c>
      <c r="BD36" s="13" t="str">
        <f t="shared" si="10"/>
        <v>0</v>
      </c>
      <c r="BE36" s="2" t="s">
        <v>115</v>
      </c>
      <c r="BF36" s="2" t="s">
        <v>115</v>
      </c>
      <c r="BG36" s="2" t="s">
        <v>115</v>
      </c>
      <c r="BH36" s="2" t="s">
        <v>115</v>
      </c>
      <c r="BI36" s="2" t="s">
        <v>115</v>
      </c>
      <c r="BJ36" s="2" t="s">
        <v>115</v>
      </c>
      <c r="BK36" s="2" t="s">
        <v>182</v>
      </c>
      <c r="BL36" s="10" t="s">
        <v>186</v>
      </c>
      <c r="BM36" t="str" cm="1">
        <f t="array" ref="BM36">_xlfn.IFS(LEFT(G36,1)="L","外注品",LEFT(G36,1)="W","内製品",G36="","購買品")</f>
        <v>内製品</v>
      </c>
    </row>
    <row r="37" spans="1:65">
      <c r="A37" s="2" t="str">
        <f t="shared" si="0"/>
        <v>WG01</v>
      </c>
      <c r="B37" s="2" t="s">
        <v>169</v>
      </c>
      <c r="C37" s="2" t="s">
        <v>177</v>
      </c>
      <c r="D37" s="10" t="str">
        <f t="shared" si="71"/>
        <v>E394455_01</v>
      </c>
      <c r="E37" s="10" t="str">
        <f t="shared" si="72"/>
        <v>リベット穴付き,Krea</v>
      </c>
      <c r="F37" s="2"/>
      <c r="G37" s="3" t="s">
        <v>192</v>
      </c>
      <c r="H37" s="3" t="str" cm="1">
        <f t="array" ref="H37">IFERROR(_xlfn.IFS(B37="","",AND(B37="",G37=""),"",G37="","記載要"),"")</f>
        <v/>
      </c>
      <c r="I37" s="2" t="s">
        <v>115</v>
      </c>
      <c r="J37" s="2" t="s">
        <v>115</v>
      </c>
      <c r="K37" s="2" t="str">
        <f t="shared" si="3"/>
        <v>11WP01099893</v>
      </c>
      <c r="L37" s="7" t="str">
        <f t="shared" si="4"/>
        <v>2001/01/01</v>
      </c>
      <c r="M37" s="7" t="str">
        <f t="shared" si="5"/>
        <v>2199/12/31</v>
      </c>
      <c r="N37" s="2" t="str">
        <f t="shared" si="27"/>
        <v>11WP01099893</v>
      </c>
      <c r="O37" s="13">
        <v>15</v>
      </c>
      <c r="P37" s="15"/>
      <c r="Q37" s="13" t="str" cm="1">
        <f t="array" ref="Q37">_xlfn.IFS(AND(C37="",G37=""),"",LEFT(G37,1)="L","記載要",LEFT(G37,1)="W","",AND(C37,G37=""),"記載要")</f>
        <v/>
      </c>
      <c r="R37" s="18" t="str">
        <f t="shared" si="28"/>
        <v/>
      </c>
      <c r="S37" s="18"/>
      <c r="T37" s="2"/>
      <c r="U37" s="2"/>
      <c r="V37" s="2"/>
      <c r="W37" s="2"/>
      <c r="X37" s="2"/>
      <c r="Y37" s="2"/>
      <c r="Z37" s="2"/>
      <c r="AA37" s="13">
        <v>1</v>
      </c>
      <c r="AB37" s="13">
        <f t="shared" si="6"/>
        <v>0</v>
      </c>
      <c r="AC37" s="13">
        <f t="shared" si="7"/>
        <v>0</v>
      </c>
      <c r="AD37" s="15" t="s">
        <v>115</v>
      </c>
      <c r="AE37" s="15" t="s">
        <v>115</v>
      </c>
      <c r="AF37" s="13" t="str">
        <f t="shared" si="8"/>
        <v>1</v>
      </c>
      <c r="AG37" s="15" t="s">
        <v>115</v>
      </c>
      <c r="AH37" s="15" t="s">
        <v>115</v>
      </c>
      <c r="AI37" s="15" t="s">
        <v>115</v>
      </c>
      <c r="AJ37" s="14" t="s">
        <v>115</v>
      </c>
      <c r="AK37" s="15" cm="1">
        <f t="array" ref="AK37">_xlfn.IFS(B37="","",LEFT(G37,1)="L",1,LEFT(G37,1)="W",1,AND(LEFT(B37,1)="H",G37=""),0)</f>
        <v>1</v>
      </c>
      <c r="AL37" s="15" t="s">
        <v>115</v>
      </c>
      <c r="AM37" s="15" t="s">
        <v>115</v>
      </c>
      <c r="AN37" s="15" t="s">
        <v>115</v>
      </c>
      <c r="AO37" s="15" t="s">
        <v>115</v>
      </c>
      <c r="AP37" s="15" t="s">
        <v>115</v>
      </c>
      <c r="AQ37" s="15" t="s">
        <v>115</v>
      </c>
      <c r="AR37" s="15" t="s">
        <v>115</v>
      </c>
      <c r="AS37" s="15" t="str">
        <f t="shared" si="29"/>
        <v/>
      </c>
      <c r="AT37" s="15" t="s">
        <v>115</v>
      </c>
      <c r="AU37" s="13" t="str">
        <f t="shared" si="9"/>
        <v>0</v>
      </c>
      <c r="AV37" s="15" t="s">
        <v>115</v>
      </c>
      <c r="AW37" s="15" t="s">
        <v>115</v>
      </c>
      <c r="AX37" s="15" t="s">
        <v>115</v>
      </c>
      <c r="AY37" s="15" t="s">
        <v>115</v>
      </c>
      <c r="AZ37" s="14" t="s">
        <v>115</v>
      </c>
      <c r="BA37" s="15" t="s">
        <v>115</v>
      </c>
      <c r="BB37" s="15" t="s">
        <v>115</v>
      </c>
      <c r="BC37" s="15" t="s">
        <v>115</v>
      </c>
      <c r="BD37" s="13" t="str">
        <f t="shared" si="10"/>
        <v>0</v>
      </c>
      <c r="BE37" s="2" t="s">
        <v>115</v>
      </c>
      <c r="BF37" s="2" t="s">
        <v>115</v>
      </c>
      <c r="BG37" s="2" t="s">
        <v>115</v>
      </c>
      <c r="BH37" s="2" t="s">
        <v>115</v>
      </c>
      <c r="BI37" s="2" t="s">
        <v>115</v>
      </c>
      <c r="BJ37" s="2" t="s">
        <v>115</v>
      </c>
      <c r="BK37" s="2" t="s">
        <v>182</v>
      </c>
      <c r="BL37" s="10" t="s">
        <v>186</v>
      </c>
      <c r="BM37" t="str" cm="1">
        <f t="array" ref="BM37">_xlfn.IFS(LEFT(G37,1)="L","外注品",LEFT(G37,1)="W","内製品",G37="","購買品")</f>
        <v>内製品</v>
      </c>
    </row>
    <row r="38" spans="1:65">
      <c r="A38" s="2" t="str">
        <f t="shared" si="0"/>
        <v>WG01</v>
      </c>
      <c r="B38" s="2" t="s">
        <v>170</v>
      </c>
      <c r="C38" s="2" t="s">
        <v>176</v>
      </c>
      <c r="D38" s="10" t="str">
        <f t="shared" si="71"/>
        <v>E394463_01</v>
      </c>
      <c r="E38" s="10" t="str">
        <f t="shared" si="72"/>
        <v>リベット穴付き,China</v>
      </c>
      <c r="F38" s="2"/>
      <c r="G38" s="3" t="s">
        <v>192</v>
      </c>
      <c r="H38" s="3" t="str" cm="1">
        <f t="array" ref="H38">IFERROR(_xlfn.IFS(B38="","",AND(B38="",G38=""),"",G38="","記載要"),"")</f>
        <v/>
      </c>
      <c r="I38" s="2" t="s">
        <v>115</v>
      </c>
      <c r="J38" s="2" t="s">
        <v>115</v>
      </c>
      <c r="K38" s="2" t="str">
        <f t="shared" si="3"/>
        <v>11WP01099894</v>
      </c>
      <c r="L38" s="7" t="str">
        <f t="shared" si="4"/>
        <v>2001/01/01</v>
      </c>
      <c r="M38" s="7" t="str">
        <f t="shared" si="5"/>
        <v>2199/12/31</v>
      </c>
      <c r="N38" s="2" t="str">
        <f t="shared" si="27"/>
        <v>11WP01099894</v>
      </c>
      <c r="O38" s="13">
        <v>15</v>
      </c>
      <c r="P38" s="15"/>
      <c r="Q38" s="13" t="str" cm="1">
        <f t="array" ref="Q38">_xlfn.IFS(AND(C38="",G38=""),"",LEFT(G38,1)="L","記載要",LEFT(G38,1)="W","",AND(C38,G38=""),"記載要")</f>
        <v/>
      </c>
      <c r="R38" s="18" t="str">
        <f t="shared" si="28"/>
        <v/>
      </c>
      <c r="S38" s="18"/>
      <c r="T38" s="2"/>
      <c r="U38" s="2"/>
      <c r="V38" s="2"/>
      <c r="W38" s="2"/>
      <c r="X38" s="2"/>
      <c r="Y38" s="2"/>
      <c r="Z38" s="2"/>
      <c r="AA38" s="13">
        <v>1</v>
      </c>
      <c r="AB38" s="13">
        <f t="shared" si="6"/>
        <v>0</v>
      </c>
      <c r="AC38" s="13">
        <f t="shared" si="7"/>
        <v>0</v>
      </c>
      <c r="AD38" s="15" t="s">
        <v>115</v>
      </c>
      <c r="AE38" s="15" t="s">
        <v>115</v>
      </c>
      <c r="AF38" s="13" t="str">
        <f t="shared" si="8"/>
        <v>1</v>
      </c>
      <c r="AG38" s="15" t="s">
        <v>115</v>
      </c>
      <c r="AH38" s="15" t="s">
        <v>115</v>
      </c>
      <c r="AI38" s="15" t="s">
        <v>115</v>
      </c>
      <c r="AJ38" s="14" t="s">
        <v>115</v>
      </c>
      <c r="AK38" s="15" cm="1">
        <f t="array" ref="AK38">_xlfn.IFS(B38="","",LEFT(G38,1)="L",1,LEFT(G38,1)="W",1,AND(LEFT(B38,1)="H",G38=""),0)</f>
        <v>1</v>
      </c>
      <c r="AL38" s="15" t="s">
        <v>115</v>
      </c>
      <c r="AM38" s="15" t="s">
        <v>115</v>
      </c>
      <c r="AN38" s="15" t="s">
        <v>115</v>
      </c>
      <c r="AO38" s="15" t="s">
        <v>115</v>
      </c>
      <c r="AP38" s="15" t="s">
        <v>115</v>
      </c>
      <c r="AQ38" s="15" t="s">
        <v>115</v>
      </c>
      <c r="AR38" s="15" t="s">
        <v>115</v>
      </c>
      <c r="AS38" s="15" t="str">
        <f t="shared" si="29"/>
        <v/>
      </c>
      <c r="AT38" s="15" t="s">
        <v>115</v>
      </c>
      <c r="AU38" s="13" t="str">
        <f t="shared" si="9"/>
        <v>0</v>
      </c>
      <c r="AV38" s="15" t="s">
        <v>115</v>
      </c>
      <c r="AW38" s="15" t="s">
        <v>115</v>
      </c>
      <c r="AX38" s="15" t="s">
        <v>115</v>
      </c>
      <c r="AY38" s="15" t="s">
        <v>115</v>
      </c>
      <c r="AZ38" s="14" t="s">
        <v>115</v>
      </c>
      <c r="BA38" s="15" t="s">
        <v>115</v>
      </c>
      <c r="BB38" s="15" t="s">
        <v>115</v>
      </c>
      <c r="BC38" s="15" t="s">
        <v>115</v>
      </c>
      <c r="BD38" s="13" t="str">
        <f t="shared" si="10"/>
        <v>0</v>
      </c>
      <c r="BE38" s="2" t="s">
        <v>115</v>
      </c>
      <c r="BF38" s="2" t="s">
        <v>115</v>
      </c>
      <c r="BG38" s="2" t="s">
        <v>115</v>
      </c>
      <c r="BH38" s="2" t="s">
        <v>115</v>
      </c>
      <c r="BI38" s="2" t="s">
        <v>115</v>
      </c>
      <c r="BJ38" s="2" t="s">
        <v>115</v>
      </c>
      <c r="BK38" s="2" t="s">
        <v>183</v>
      </c>
      <c r="BL38" s="10" t="s">
        <v>187</v>
      </c>
      <c r="BM38" t="str" cm="1">
        <f t="array" ref="BM38">_xlfn.IFS(LEFT(G38,1)="L","外注品",LEFT(G38,1)="W","内製品",G38="","購買品")</f>
        <v>内製品</v>
      </c>
    </row>
    <row r="39" spans="1:65">
      <c r="A39" s="2" t="str">
        <f t="shared" si="0"/>
        <v>WG01</v>
      </c>
      <c r="B39" s="2" t="s">
        <v>171</v>
      </c>
      <c r="C39" s="2" t="s">
        <v>177</v>
      </c>
      <c r="D39" s="10" t="str">
        <f t="shared" si="71"/>
        <v>E394463_01</v>
      </c>
      <c r="E39" s="10" t="str">
        <f t="shared" si="72"/>
        <v>リベット穴付き,China</v>
      </c>
      <c r="F39" s="2"/>
      <c r="G39" s="3" t="s">
        <v>192</v>
      </c>
      <c r="H39" s="3" t="str" cm="1">
        <f t="array" ref="H39">IFERROR(_xlfn.IFS(B39="","",AND(B39="",G39=""),"",G39="","記載要"),"")</f>
        <v/>
      </c>
      <c r="I39" s="2" t="s">
        <v>115</v>
      </c>
      <c r="J39" s="2" t="s">
        <v>115</v>
      </c>
      <c r="K39" s="2" t="str">
        <f t="shared" si="3"/>
        <v>11WP01099895</v>
      </c>
      <c r="L39" s="7" t="str">
        <f t="shared" si="4"/>
        <v>2001/01/01</v>
      </c>
      <c r="M39" s="7" t="str">
        <f t="shared" si="5"/>
        <v>2199/12/31</v>
      </c>
      <c r="N39" s="2" t="str">
        <f t="shared" si="27"/>
        <v>11WP01099895</v>
      </c>
      <c r="O39" s="13">
        <v>15</v>
      </c>
      <c r="P39" s="15"/>
      <c r="Q39" s="13" t="str" cm="1">
        <f t="array" ref="Q39">_xlfn.IFS(AND(C39="",G39=""),"",LEFT(G39,1)="L","記載要",LEFT(G39,1)="W","",AND(C39,G39=""),"記載要")</f>
        <v/>
      </c>
      <c r="R39" s="18" t="str">
        <f t="shared" si="28"/>
        <v/>
      </c>
      <c r="S39" s="18"/>
      <c r="T39" s="2"/>
      <c r="U39" s="2"/>
      <c r="V39" s="2"/>
      <c r="W39" s="2"/>
      <c r="X39" s="2"/>
      <c r="Y39" s="2"/>
      <c r="Z39" s="2"/>
      <c r="AA39" s="13">
        <v>1</v>
      </c>
      <c r="AB39" s="13">
        <f t="shared" si="6"/>
        <v>0</v>
      </c>
      <c r="AC39" s="13">
        <f t="shared" si="7"/>
        <v>0</v>
      </c>
      <c r="AD39" s="15" t="s">
        <v>115</v>
      </c>
      <c r="AE39" s="15" t="s">
        <v>115</v>
      </c>
      <c r="AF39" s="13" t="str">
        <f t="shared" si="8"/>
        <v>1</v>
      </c>
      <c r="AG39" s="15" t="s">
        <v>115</v>
      </c>
      <c r="AH39" s="15" t="s">
        <v>115</v>
      </c>
      <c r="AI39" s="15" t="s">
        <v>115</v>
      </c>
      <c r="AJ39" s="14" t="s">
        <v>115</v>
      </c>
      <c r="AK39" s="15" cm="1">
        <f t="array" ref="AK39">_xlfn.IFS(B39="","",LEFT(G39,1)="L",1,LEFT(G39,1)="W",1,AND(LEFT(B39,1)="H",G39=""),0)</f>
        <v>1</v>
      </c>
      <c r="AL39" s="15" t="s">
        <v>115</v>
      </c>
      <c r="AM39" s="15" t="s">
        <v>115</v>
      </c>
      <c r="AN39" s="15" t="s">
        <v>115</v>
      </c>
      <c r="AO39" s="15" t="s">
        <v>115</v>
      </c>
      <c r="AP39" s="15" t="s">
        <v>115</v>
      </c>
      <c r="AQ39" s="15" t="s">
        <v>115</v>
      </c>
      <c r="AR39" s="15" t="s">
        <v>115</v>
      </c>
      <c r="AS39" s="15" t="str">
        <f t="shared" si="29"/>
        <v/>
      </c>
      <c r="AT39" s="15" t="s">
        <v>115</v>
      </c>
      <c r="AU39" s="13" t="str">
        <f t="shared" si="9"/>
        <v>0</v>
      </c>
      <c r="AV39" s="15" t="s">
        <v>115</v>
      </c>
      <c r="AW39" s="15" t="s">
        <v>115</v>
      </c>
      <c r="AX39" s="15" t="s">
        <v>115</v>
      </c>
      <c r="AY39" s="15" t="s">
        <v>115</v>
      </c>
      <c r="AZ39" s="14" t="s">
        <v>115</v>
      </c>
      <c r="BA39" s="15" t="s">
        <v>115</v>
      </c>
      <c r="BB39" s="15" t="s">
        <v>115</v>
      </c>
      <c r="BC39" s="15" t="s">
        <v>115</v>
      </c>
      <c r="BD39" s="13" t="str">
        <f t="shared" si="10"/>
        <v>0</v>
      </c>
      <c r="BE39" s="2" t="s">
        <v>115</v>
      </c>
      <c r="BF39" s="2" t="s">
        <v>115</v>
      </c>
      <c r="BG39" s="2" t="s">
        <v>115</v>
      </c>
      <c r="BH39" s="2" t="s">
        <v>115</v>
      </c>
      <c r="BI39" s="2" t="s">
        <v>115</v>
      </c>
      <c r="BJ39" s="2" t="s">
        <v>115</v>
      </c>
      <c r="BK39" s="2" t="s">
        <v>183</v>
      </c>
      <c r="BL39" s="10" t="s">
        <v>187</v>
      </c>
      <c r="BM39" t="str" cm="1">
        <f t="array" ref="BM39">_xlfn.IFS(LEFT(G39,1)="L","外注品",LEFT(G39,1)="W","内製品",G39="","購買品")</f>
        <v>内製品</v>
      </c>
    </row>
    <row r="40" spans="1:65">
      <c r="A40" s="2" t="str">
        <f t="shared" si="0"/>
        <v>WG01</v>
      </c>
      <c r="B40" s="2" t="s">
        <v>172</v>
      </c>
      <c r="C40" s="2" t="s">
        <v>176</v>
      </c>
      <c r="D40" s="10" t="str">
        <f t="shared" si="71"/>
        <v>E394473_01</v>
      </c>
      <c r="E40" s="10" t="str">
        <f t="shared" si="72"/>
        <v>リベット穴付き,Japan</v>
      </c>
      <c r="F40" s="2"/>
      <c r="G40" s="3" t="s">
        <v>192</v>
      </c>
      <c r="H40" s="3" t="str" cm="1">
        <f t="array" ref="H40">IFERROR(_xlfn.IFS(B40="","",AND(B40="",G40=""),"",G40="","記載要"),"")</f>
        <v/>
      </c>
      <c r="I40" s="2"/>
      <c r="J40" s="2"/>
      <c r="K40" s="2" t="str">
        <f t="shared" si="3"/>
        <v>11WP01099896</v>
      </c>
      <c r="L40" s="7" t="str">
        <f t="shared" si="4"/>
        <v>2001/01/01</v>
      </c>
      <c r="M40" s="7" t="str">
        <f t="shared" si="5"/>
        <v>2199/12/31</v>
      </c>
      <c r="N40" s="2" t="str">
        <f t="shared" si="27"/>
        <v>11WP01099896</v>
      </c>
      <c r="O40" s="13">
        <v>15</v>
      </c>
      <c r="P40" s="15"/>
      <c r="Q40" s="13" t="str" cm="1">
        <f t="array" ref="Q40">_xlfn.IFS(AND(C40="",G40=""),"",LEFT(G40,1)="L","記載要",LEFT(G40,1)="W","",AND(C40,G40=""),"記載要")</f>
        <v/>
      </c>
      <c r="R40" s="18" t="str">
        <f t="shared" si="28"/>
        <v/>
      </c>
      <c r="S40" s="18"/>
      <c r="T40" s="2"/>
      <c r="U40" s="2"/>
      <c r="V40" s="2"/>
      <c r="W40" s="2"/>
      <c r="X40" s="2"/>
      <c r="Y40" s="2"/>
      <c r="Z40" s="8"/>
      <c r="AA40" s="13">
        <v>1</v>
      </c>
      <c r="AB40" s="13">
        <f t="shared" si="6"/>
        <v>0</v>
      </c>
      <c r="AC40" s="13">
        <f t="shared" si="7"/>
        <v>0</v>
      </c>
      <c r="AD40" s="15"/>
      <c r="AE40" s="15"/>
      <c r="AF40" s="13" t="str">
        <f t="shared" si="8"/>
        <v>1</v>
      </c>
      <c r="AG40" s="17"/>
      <c r="AH40" s="17"/>
      <c r="AI40" s="15"/>
      <c r="AJ40" s="14"/>
      <c r="AK40" s="15" cm="1">
        <f t="array" ref="AK40">_xlfn.IFS(B40="","",LEFT(G40,1)="L",1,LEFT(G40,1)="W",1,AND(LEFT(B40,1)="H",G40=""),0)</f>
        <v>1</v>
      </c>
      <c r="AL40" s="15"/>
      <c r="AM40" s="15"/>
      <c r="AN40" s="15"/>
      <c r="AO40" s="15"/>
      <c r="AP40" s="15"/>
      <c r="AQ40" s="15"/>
      <c r="AR40" s="15"/>
      <c r="AS40" s="15" t="str">
        <f t="shared" si="29"/>
        <v/>
      </c>
      <c r="AT40" s="15" t="s">
        <v>115</v>
      </c>
      <c r="AU40" s="13" t="str">
        <f t="shared" si="9"/>
        <v>0</v>
      </c>
      <c r="AV40" s="15"/>
      <c r="AW40" s="15"/>
      <c r="AX40" s="15"/>
      <c r="AY40" s="15"/>
      <c r="AZ40" s="14"/>
      <c r="BA40" s="15"/>
      <c r="BB40" s="15"/>
      <c r="BC40" s="15"/>
      <c r="BD40" s="13" t="str">
        <f t="shared" si="10"/>
        <v>0</v>
      </c>
      <c r="BE40" s="2"/>
      <c r="BF40" s="2"/>
      <c r="BG40" s="2"/>
      <c r="BH40" s="2"/>
      <c r="BI40" s="2"/>
      <c r="BJ40" s="2"/>
      <c r="BK40" s="2" t="s">
        <v>184</v>
      </c>
      <c r="BL40" s="10" t="s">
        <v>189</v>
      </c>
      <c r="BM40" t="str" cm="1">
        <f t="array" ref="BM40">_xlfn.IFS(LEFT(G40,1)="L","外注品",LEFT(G40,1)="W","内製品",G40="","購買品")</f>
        <v>内製品</v>
      </c>
    </row>
    <row r="41" spans="1:65">
      <c r="A41" s="2" t="str">
        <f t="shared" si="0"/>
        <v>WG01</v>
      </c>
      <c r="B41" s="2" t="s">
        <v>173</v>
      </c>
      <c r="C41" s="2" t="s">
        <v>177</v>
      </c>
      <c r="D41" s="10" t="str">
        <f t="shared" si="71"/>
        <v>E394473_01</v>
      </c>
      <c r="E41" s="10" t="str">
        <f t="shared" si="72"/>
        <v>リベット穴付き,Japan</v>
      </c>
      <c r="F41" s="2"/>
      <c r="G41" s="3" t="s">
        <v>192</v>
      </c>
      <c r="H41" s="3" t="str" cm="1">
        <f t="array" ref="H41">IFERROR(_xlfn.IFS(B41="","",AND(B41="",G41=""),"",G41="","記載要"),"")</f>
        <v/>
      </c>
      <c r="I41" s="2"/>
      <c r="J41" s="2"/>
      <c r="K41" s="2" t="str">
        <f t="shared" si="3"/>
        <v>11WP01099897</v>
      </c>
      <c r="L41" s="7" t="str">
        <f t="shared" si="4"/>
        <v>2001/01/01</v>
      </c>
      <c r="M41" s="7" t="str">
        <f t="shared" si="5"/>
        <v>2199/12/31</v>
      </c>
      <c r="N41" s="2" t="str">
        <f t="shared" si="27"/>
        <v>11WP01099897</v>
      </c>
      <c r="O41" s="13">
        <v>15</v>
      </c>
      <c r="P41" s="15"/>
      <c r="Q41" s="13" t="str" cm="1">
        <f t="array" ref="Q41">_xlfn.IFS(AND(C41="",G41=""),"",LEFT(G41,1)="L","記載要",LEFT(G41,1)="W","",AND(C41,G41=""),"記載要")</f>
        <v/>
      </c>
      <c r="R41" s="18" t="str">
        <f t="shared" si="28"/>
        <v/>
      </c>
      <c r="S41" s="18"/>
      <c r="T41" s="2"/>
      <c r="U41" s="8"/>
      <c r="V41" s="2"/>
      <c r="W41" s="2"/>
      <c r="X41" s="2"/>
      <c r="Y41" s="8"/>
      <c r="Z41" s="2"/>
      <c r="AA41" s="13">
        <v>1</v>
      </c>
      <c r="AB41" s="13">
        <f t="shared" si="6"/>
        <v>0</v>
      </c>
      <c r="AC41" s="13">
        <f t="shared" si="7"/>
        <v>0</v>
      </c>
      <c r="AD41" s="15"/>
      <c r="AE41" s="15"/>
      <c r="AF41" s="13" t="str">
        <f t="shared" si="8"/>
        <v>1</v>
      </c>
      <c r="AG41" s="17"/>
      <c r="AH41" s="17"/>
      <c r="AI41" s="15"/>
      <c r="AJ41" s="14"/>
      <c r="AK41" s="15" cm="1">
        <f t="array" ref="AK41">_xlfn.IFS(B41="","",LEFT(G41,1)="L",1,LEFT(G41,1)="W",1,AND(LEFT(B41,1)="H",G41=""),0)</f>
        <v>1</v>
      </c>
      <c r="AL41" s="15"/>
      <c r="AM41" s="15"/>
      <c r="AN41" s="15"/>
      <c r="AO41" s="15"/>
      <c r="AP41" s="15"/>
      <c r="AQ41" s="15"/>
      <c r="AR41" s="15"/>
      <c r="AS41" s="15" t="str">
        <f t="shared" si="29"/>
        <v/>
      </c>
      <c r="AT41" s="15" t="s">
        <v>115</v>
      </c>
      <c r="AU41" s="13" t="str">
        <f t="shared" si="9"/>
        <v>0</v>
      </c>
      <c r="AV41" s="15"/>
      <c r="AW41" s="15"/>
      <c r="AX41" s="15"/>
      <c r="AY41" s="15"/>
      <c r="AZ41" s="14"/>
      <c r="BA41" s="15"/>
      <c r="BB41" s="15"/>
      <c r="BC41" s="15"/>
      <c r="BD41" s="13" t="str">
        <f t="shared" si="10"/>
        <v>0</v>
      </c>
      <c r="BE41" s="2"/>
      <c r="BF41" s="2"/>
      <c r="BG41" s="2"/>
      <c r="BH41" s="2"/>
      <c r="BI41" s="2"/>
      <c r="BJ41" s="2"/>
      <c r="BK41" s="2" t="s">
        <v>184</v>
      </c>
      <c r="BL41" s="10" t="s">
        <v>189</v>
      </c>
      <c r="BM41" t="str" cm="1">
        <f t="array" ref="BM41">_xlfn.IFS(LEFT(G41,1)="L","外注品",LEFT(G41,1)="W","内製品",G41="","購買品")</f>
        <v>内製品</v>
      </c>
    </row>
    <row r="42" spans="1:65">
      <c r="A42" s="2" t="str">
        <f t="shared" si="0"/>
        <v>WG01</v>
      </c>
      <c r="B42" s="2" t="s">
        <v>174</v>
      </c>
      <c r="C42" s="2" t="s">
        <v>178</v>
      </c>
      <c r="D42" s="10" t="str">
        <f t="shared" si="71"/>
        <v>E394491_01</v>
      </c>
      <c r="E42" s="10" t="str">
        <f t="shared" si="72"/>
        <v>リベット穴付き</v>
      </c>
      <c r="F42" s="2"/>
      <c r="G42" s="3" t="s">
        <v>192</v>
      </c>
      <c r="H42" s="3" t="str" cm="1">
        <f t="array" ref="H42">IFERROR(_xlfn.IFS(B42="","",AND(B42="",G42=""),"",G42="","記載要"),"")</f>
        <v/>
      </c>
      <c r="I42" s="2"/>
      <c r="J42" s="2"/>
      <c r="K42" s="2" t="str">
        <f t="shared" si="3"/>
        <v>11WP01099898</v>
      </c>
      <c r="L42" s="7" t="str">
        <f t="shared" si="4"/>
        <v>2001/01/01</v>
      </c>
      <c r="M42" s="7" t="str">
        <f t="shared" si="5"/>
        <v>2199/12/31</v>
      </c>
      <c r="N42" s="2" t="str">
        <f t="shared" si="27"/>
        <v>11WP01099898</v>
      </c>
      <c r="O42" s="13">
        <v>15</v>
      </c>
      <c r="P42" s="15"/>
      <c r="Q42" s="13" t="str" cm="1">
        <f t="array" ref="Q42">_xlfn.IFS(AND(C42="",G42=""),"",LEFT(G42,1)="L","記載要",LEFT(G42,1)="W","",AND(C42,G42=""),"記載要")</f>
        <v/>
      </c>
      <c r="R42" s="18" t="str">
        <f t="shared" si="28"/>
        <v/>
      </c>
      <c r="S42" s="18"/>
      <c r="T42" s="2"/>
      <c r="U42" s="2"/>
      <c r="V42" s="2"/>
      <c r="W42" s="2"/>
      <c r="X42" s="2"/>
      <c r="Y42" s="8"/>
      <c r="Z42" s="2"/>
      <c r="AA42" s="13">
        <v>1</v>
      </c>
      <c r="AB42" s="13">
        <f t="shared" si="6"/>
        <v>0</v>
      </c>
      <c r="AC42" s="13">
        <f t="shared" si="7"/>
        <v>0</v>
      </c>
      <c r="AD42" s="15"/>
      <c r="AE42" s="15"/>
      <c r="AF42" s="13" t="str">
        <f t="shared" si="8"/>
        <v>1</v>
      </c>
      <c r="AG42" s="17"/>
      <c r="AH42" s="17"/>
      <c r="AI42" s="15"/>
      <c r="AJ42" s="14"/>
      <c r="AK42" s="15" cm="1">
        <f t="array" ref="AK42">_xlfn.IFS(B42="","",LEFT(G42,1)="L",1,LEFT(G42,1)="W",1,AND(LEFT(B42,1)="H",G42=""),0)</f>
        <v>1</v>
      </c>
      <c r="AL42" s="15"/>
      <c r="AM42" s="15"/>
      <c r="AN42" s="15"/>
      <c r="AO42" s="15"/>
      <c r="AP42" s="15"/>
      <c r="AQ42" s="15"/>
      <c r="AR42" s="15"/>
      <c r="AS42" s="15" t="str">
        <f t="shared" si="29"/>
        <v/>
      </c>
      <c r="AT42" s="15" t="s">
        <v>115</v>
      </c>
      <c r="AU42" s="13" t="str">
        <f t="shared" si="9"/>
        <v>0</v>
      </c>
      <c r="AV42" s="15"/>
      <c r="AW42" s="15"/>
      <c r="AX42" s="15"/>
      <c r="AY42" s="15"/>
      <c r="AZ42" s="14"/>
      <c r="BA42" s="15"/>
      <c r="BB42" s="15"/>
      <c r="BC42" s="15"/>
      <c r="BD42" s="13" t="str">
        <f t="shared" si="10"/>
        <v>0</v>
      </c>
      <c r="BE42" s="2"/>
      <c r="BF42" s="2"/>
      <c r="BG42" s="2"/>
      <c r="BH42" s="2"/>
      <c r="BI42" s="2"/>
      <c r="BJ42" s="2"/>
      <c r="BK42" s="2" t="s">
        <v>185</v>
      </c>
      <c r="BL42" s="10" t="s">
        <v>190</v>
      </c>
      <c r="BM42" t="str" cm="1">
        <f t="array" ref="BM42">_xlfn.IFS(LEFT(G42,1)="L","外注品",LEFT(G42,1)="W","内製品",G42="","購買品")</f>
        <v>内製品</v>
      </c>
    </row>
    <row r="43" spans="1:65">
      <c r="A43" s="2" t="str">
        <f t="shared" si="0"/>
        <v/>
      </c>
      <c r="B43" s="2"/>
      <c r="C43" s="2"/>
      <c r="D43" s="10">
        <f t="shared" si="71"/>
        <v>0</v>
      </c>
      <c r="E43" s="10">
        <f t="shared" si="72"/>
        <v>0</v>
      </c>
      <c r="F43" s="2"/>
      <c r="G43" s="3"/>
      <c r="H43" s="3" t="str" cm="1">
        <f t="array" ref="H43">IFERROR(_xlfn.IFS(B43="","",AND(B43="",G43=""),"",G43="","記載要"),"")</f>
        <v/>
      </c>
      <c r="I43" s="2"/>
      <c r="J43" s="2"/>
      <c r="K43" s="2" t="str">
        <f t="shared" si="3"/>
        <v/>
      </c>
      <c r="L43" s="7" t="str">
        <f t="shared" si="4"/>
        <v/>
      </c>
      <c r="M43" s="7" t="str">
        <f t="shared" si="5"/>
        <v/>
      </c>
      <c r="N43" s="2" t="str">
        <f t="shared" si="27"/>
        <v/>
      </c>
      <c r="O43" s="13" t="str">
        <f t="shared" si="33"/>
        <v/>
      </c>
      <c r="P43" s="15"/>
      <c r="Q43" s="13" t="str" cm="1">
        <f t="array" ref="Q43">_xlfn.IFS(AND(C43="",G43=""),"",LEFT(G43,1)="L","記載要",LEFT(G43,1)="W","",AND(C43,G43=""),"記載要")</f>
        <v/>
      </c>
      <c r="R43" s="18" t="str">
        <f t="shared" si="28"/>
        <v/>
      </c>
      <c r="S43" s="18" t="str" cm="1">
        <f t="array" ref="S43">_xlfn.IFS(LEFT(G43,1)="L","記載要",LEFT(G43,1)="W","記載要",G43="","")</f>
        <v/>
      </c>
      <c r="T43" s="2"/>
      <c r="U43" s="2"/>
      <c r="V43" s="2"/>
      <c r="W43" s="2"/>
      <c r="X43" s="2"/>
      <c r="Y43" s="8"/>
      <c r="Z43" s="2"/>
      <c r="AA43" s="13" t="str">
        <f t="shared" ref="AA43" si="115">IF(B43="","",0)</f>
        <v/>
      </c>
      <c r="AB43" s="13" t="str">
        <f t="shared" si="6"/>
        <v/>
      </c>
      <c r="AC43" s="13" t="str">
        <f t="shared" si="7"/>
        <v/>
      </c>
      <c r="AD43" s="15"/>
      <c r="AE43" s="15"/>
      <c r="AF43" s="13" t="str">
        <f t="shared" si="8"/>
        <v/>
      </c>
      <c r="AG43" s="17"/>
      <c r="AH43" s="17"/>
      <c r="AI43" s="15"/>
      <c r="AJ43" s="14"/>
      <c r="AK43" s="15" t="str" cm="1">
        <f t="array" ref="AK43">_xlfn.IFS(B43="","",LEFT(G43,1)="L",1,LEFT(G43,1)="W",1,AND(LEFT(B43,1)="H",G43=""),0)</f>
        <v/>
      </c>
      <c r="AL43" s="15"/>
      <c r="AM43" s="15"/>
      <c r="AN43" s="15"/>
      <c r="AO43" s="15"/>
      <c r="AP43" s="15"/>
      <c r="AQ43" s="15"/>
      <c r="AR43" s="15"/>
      <c r="AS43" s="15" t="str">
        <f t="shared" si="29"/>
        <v/>
      </c>
      <c r="AT43" s="15" t="s">
        <v>115</v>
      </c>
      <c r="AU43" s="13" t="str">
        <f t="shared" si="9"/>
        <v/>
      </c>
      <c r="AV43" s="15"/>
      <c r="AW43" s="15"/>
      <c r="AX43" s="15"/>
      <c r="AY43" s="15"/>
      <c r="AZ43" s="14"/>
      <c r="BA43" s="15"/>
      <c r="BB43" s="15"/>
      <c r="BC43" s="15"/>
      <c r="BD43" s="13" t="str">
        <f t="shared" si="10"/>
        <v/>
      </c>
      <c r="BE43" s="2"/>
      <c r="BF43" s="2"/>
      <c r="BG43" s="2"/>
      <c r="BH43" s="2"/>
      <c r="BI43" s="2"/>
      <c r="BJ43" s="2"/>
      <c r="BK43" s="2"/>
      <c r="BL43" s="10"/>
      <c r="BM43" t="str" cm="1">
        <f t="array" ref="BM43">_xlfn.IFS(LEFT(G43,1)="L","外注品",LEFT(G43,1)="W","内製品",G43="","購買品")</f>
        <v>購買品</v>
      </c>
    </row>
  </sheetData>
  <autoFilter ref="A2:BM43" xr:uid="{00000000-0001-0000-0000-000000000000}"/>
  <phoneticPr fontId="1"/>
  <conditionalFormatting sqref="H3 H8 H13 H18 H27:H43 O3:O43 Q3:S43">
    <cfRule type="expression" dxfId="0" priority="3">
      <formula>H3="記載要"</formula>
    </cfRule>
  </conditionalFormatting>
  <pageMargins left="0.7" right="0.7" top="0.75" bottom="0.75" header="0.3" footer="0.3"/>
  <pageSetup paperSize="8"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3711-37C8-4B9A-9BD1-DA26809A06DE}">
  <sheetPr codeName="Sheet2"/>
  <dimension ref="A2:B60"/>
  <sheetViews>
    <sheetView topLeftCell="A34" workbookViewId="0">
      <selection activeCell="A2" sqref="A2:A60"/>
    </sheetView>
  </sheetViews>
  <sheetFormatPr defaultRowHeight="18"/>
  <sheetData>
    <row r="2" spans="1:2">
      <c r="A2">
        <v>1</v>
      </c>
      <c r="B2" t="s">
        <v>56</v>
      </c>
    </row>
    <row r="3" spans="1:2">
      <c r="A3">
        <v>2</v>
      </c>
      <c r="B3" t="s">
        <v>57</v>
      </c>
    </row>
    <row r="4" spans="1:2">
      <c r="A4">
        <v>3</v>
      </c>
      <c r="B4" t="s">
        <v>58</v>
      </c>
    </row>
    <row r="5" spans="1:2">
      <c r="A5">
        <v>4</v>
      </c>
      <c r="B5" t="s">
        <v>59</v>
      </c>
    </row>
    <row r="6" spans="1:2">
      <c r="A6">
        <v>5</v>
      </c>
      <c r="B6" t="s">
        <v>60</v>
      </c>
    </row>
    <row r="7" spans="1:2">
      <c r="A7">
        <v>6</v>
      </c>
      <c r="B7" t="s">
        <v>61</v>
      </c>
    </row>
    <row r="8" spans="1:2">
      <c r="A8">
        <v>7</v>
      </c>
      <c r="B8" t="s">
        <v>62</v>
      </c>
    </row>
    <row r="9" spans="1:2">
      <c r="A9">
        <v>8</v>
      </c>
      <c r="B9" t="s">
        <v>63</v>
      </c>
    </row>
    <row r="10" spans="1:2">
      <c r="A10">
        <v>9</v>
      </c>
      <c r="B10" t="s">
        <v>64</v>
      </c>
    </row>
    <row r="11" spans="1:2">
      <c r="A11">
        <v>10</v>
      </c>
      <c r="B11" t="s">
        <v>65</v>
      </c>
    </row>
    <row r="12" spans="1:2">
      <c r="A12">
        <v>11</v>
      </c>
      <c r="B12" t="s">
        <v>66</v>
      </c>
    </row>
    <row r="13" spans="1:2">
      <c r="A13">
        <v>12</v>
      </c>
      <c r="B13" t="s">
        <v>67</v>
      </c>
    </row>
    <row r="14" spans="1:2">
      <c r="A14">
        <v>13</v>
      </c>
      <c r="B14" t="s">
        <v>68</v>
      </c>
    </row>
    <row r="15" spans="1:2">
      <c r="A15">
        <v>14</v>
      </c>
      <c r="B15" t="s">
        <v>69</v>
      </c>
    </row>
    <row r="16" spans="1:2">
      <c r="A16">
        <v>15</v>
      </c>
      <c r="B16" t="s">
        <v>70</v>
      </c>
    </row>
    <row r="17" spans="1:2">
      <c r="A17">
        <v>16</v>
      </c>
      <c r="B17" t="s">
        <v>71</v>
      </c>
    </row>
    <row r="18" spans="1:2">
      <c r="A18">
        <v>17</v>
      </c>
      <c r="B18" t="s">
        <v>72</v>
      </c>
    </row>
    <row r="19" spans="1:2">
      <c r="A19">
        <v>18</v>
      </c>
      <c r="B19" t="s">
        <v>73</v>
      </c>
    </row>
    <row r="20" spans="1:2">
      <c r="A20">
        <v>19</v>
      </c>
      <c r="B20" t="s">
        <v>74</v>
      </c>
    </row>
    <row r="21" spans="1:2">
      <c r="A21">
        <v>20</v>
      </c>
      <c r="B21" t="s">
        <v>75</v>
      </c>
    </row>
    <row r="22" spans="1:2">
      <c r="A22">
        <v>21</v>
      </c>
      <c r="B22" t="s">
        <v>76</v>
      </c>
    </row>
    <row r="23" spans="1:2">
      <c r="A23">
        <v>22</v>
      </c>
      <c r="B23" t="s">
        <v>77</v>
      </c>
    </row>
    <row r="24" spans="1:2">
      <c r="A24">
        <v>23</v>
      </c>
      <c r="B24" t="s">
        <v>78</v>
      </c>
    </row>
    <row r="25" spans="1:2">
      <c r="A25">
        <v>24</v>
      </c>
      <c r="B25" t="s">
        <v>79</v>
      </c>
    </row>
    <row r="26" spans="1:2">
      <c r="A26">
        <v>25</v>
      </c>
      <c r="B26" t="s">
        <v>80</v>
      </c>
    </row>
    <row r="27" spans="1:2">
      <c r="A27">
        <v>26</v>
      </c>
      <c r="B27" t="s">
        <v>81</v>
      </c>
    </row>
    <row r="28" spans="1:2">
      <c r="A28">
        <v>27</v>
      </c>
      <c r="B28" t="s">
        <v>82</v>
      </c>
    </row>
    <row r="29" spans="1:2">
      <c r="A29">
        <v>28</v>
      </c>
      <c r="B29" t="s">
        <v>83</v>
      </c>
    </row>
    <row r="30" spans="1:2">
      <c r="A30">
        <v>29</v>
      </c>
      <c r="B30" t="s">
        <v>84</v>
      </c>
    </row>
    <row r="31" spans="1:2">
      <c r="A31">
        <v>30</v>
      </c>
      <c r="B31" t="s">
        <v>85</v>
      </c>
    </row>
    <row r="32" spans="1:2">
      <c r="A32">
        <v>31</v>
      </c>
      <c r="B32" t="s">
        <v>86</v>
      </c>
    </row>
    <row r="33" spans="1:2">
      <c r="A33">
        <v>32</v>
      </c>
      <c r="B33" t="s">
        <v>87</v>
      </c>
    </row>
    <row r="34" spans="1:2">
      <c r="A34">
        <v>33</v>
      </c>
      <c r="B34" t="s">
        <v>88</v>
      </c>
    </row>
    <row r="35" spans="1:2">
      <c r="A35">
        <v>34</v>
      </c>
      <c r="B35" t="s">
        <v>89</v>
      </c>
    </row>
    <row r="36" spans="1:2">
      <c r="A36">
        <v>35</v>
      </c>
      <c r="B36" t="s">
        <v>90</v>
      </c>
    </row>
    <row r="37" spans="1:2">
      <c r="A37">
        <v>36</v>
      </c>
      <c r="B37" t="s">
        <v>91</v>
      </c>
    </row>
    <row r="38" spans="1:2">
      <c r="A38">
        <v>37</v>
      </c>
      <c r="B38" t="s">
        <v>92</v>
      </c>
    </row>
    <row r="39" spans="1:2">
      <c r="A39">
        <v>38</v>
      </c>
      <c r="B39" t="s">
        <v>93</v>
      </c>
    </row>
    <row r="40" spans="1:2">
      <c r="A40">
        <v>39</v>
      </c>
      <c r="B40" t="s">
        <v>94</v>
      </c>
    </row>
    <row r="41" spans="1:2">
      <c r="A41">
        <v>40</v>
      </c>
      <c r="B41" t="s">
        <v>95</v>
      </c>
    </row>
    <row r="42" spans="1:2">
      <c r="A42">
        <v>41</v>
      </c>
      <c r="B42" t="s">
        <v>96</v>
      </c>
    </row>
    <row r="43" spans="1:2">
      <c r="A43">
        <v>42</v>
      </c>
      <c r="B43" t="s">
        <v>97</v>
      </c>
    </row>
    <row r="44" spans="1:2">
      <c r="A44">
        <v>43</v>
      </c>
      <c r="B44" t="s">
        <v>98</v>
      </c>
    </row>
    <row r="45" spans="1:2">
      <c r="A45">
        <v>44</v>
      </c>
      <c r="B45" t="s">
        <v>99</v>
      </c>
    </row>
    <row r="46" spans="1:2">
      <c r="A46">
        <v>45</v>
      </c>
      <c r="B46" t="s">
        <v>100</v>
      </c>
    </row>
    <row r="47" spans="1:2">
      <c r="A47">
        <v>46</v>
      </c>
      <c r="B47" t="s">
        <v>101</v>
      </c>
    </row>
    <row r="48" spans="1:2">
      <c r="A48">
        <v>47</v>
      </c>
      <c r="B48" t="s">
        <v>102</v>
      </c>
    </row>
    <row r="49" spans="1:2">
      <c r="A49">
        <v>48</v>
      </c>
      <c r="B49" t="s">
        <v>103</v>
      </c>
    </row>
    <row r="50" spans="1:2">
      <c r="A50">
        <v>49</v>
      </c>
      <c r="B50" t="s">
        <v>104</v>
      </c>
    </row>
    <row r="51" spans="1:2">
      <c r="A51">
        <v>50</v>
      </c>
      <c r="B51" t="s">
        <v>105</v>
      </c>
    </row>
    <row r="52" spans="1:2">
      <c r="A52">
        <v>51</v>
      </c>
      <c r="B52" t="s">
        <v>106</v>
      </c>
    </row>
    <row r="53" spans="1:2">
      <c r="A53">
        <v>52</v>
      </c>
      <c r="B53" t="s">
        <v>107</v>
      </c>
    </row>
    <row r="54" spans="1:2">
      <c r="A54">
        <v>53</v>
      </c>
      <c r="B54" t="s">
        <v>108</v>
      </c>
    </row>
    <row r="55" spans="1:2">
      <c r="A55">
        <v>54</v>
      </c>
      <c r="B55" t="s">
        <v>109</v>
      </c>
    </row>
    <row r="56" spans="1:2">
      <c r="A56">
        <v>55</v>
      </c>
      <c r="B56" t="s">
        <v>110</v>
      </c>
    </row>
    <row r="57" spans="1:2">
      <c r="A57">
        <v>56</v>
      </c>
      <c r="B57" t="s">
        <v>111</v>
      </c>
    </row>
    <row r="58" spans="1:2">
      <c r="A58">
        <v>57</v>
      </c>
      <c r="B58" t="s">
        <v>112</v>
      </c>
    </row>
    <row r="59" spans="1:2">
      <c r="A59">
        <v>58</v>
      </c>
      <c r="B59" t="s">
        <v>113</v>
      </c>
    </row>
    <row r="60" spans="1:2">
      <c r="A60">
        <v>59</v>
      </c>
      <c r="B60" t="s">
        <v>114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芦原 顕一</cp:lastModifiedBy>
  <cp:lastPrinted>2025-01-16T04:18:01Z</cp:lastPrinted>
  <dcterms:created xsi:type="dcterms:W3CDTF">2024-10-21T09:11:57Z</dcterms:created>
  <dcterms:modified xsi:type="dcterms:W3CDTF">2025-07-31T02:39:38Z</dcterms:modified>
</cp:coreProperties>
</file>
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S:\HERP\01_リプラン\002_業務要件定義（ToBe）\02_PLM_Obbligato\02_BOM\02_検討資料\E-BOMマスター\00_マスタ作業用\品目詳細\追加品目詳細\"/>
    </mc:Choice>
  </mc:AlternateContent>
  <xr:revisionPtr revIDLastSave="0" documentId="13_ncr:1_{5A49979E-D1F4-4468-859F-CC28D27D0A58}" xr6:coauthVersionLast="47" xr6:coauthVersionMax="47" xr10:uidLastSave="{00000000-0000-0000-0000-000000000000}"/>
  <bookViews>
    <workbookView xWindow="-110" yWindow="-110" windowWidth="19420" windowHeight="11620" xr2:uid="{00000000-000D-0000-FFFF-FFFF00000000}"/>
  </bookViews>
  <sheets>
    <sheet name="Sheet0" sheetId="1" r:id="rId1"/>
    <sheet name="Sheet1" sheetId="2" r:id="rId2"/>
  </sheets>
  <definedNames>
    <definedName name="_xlnm._FilterDatabase" localSheetId="0" hidden="1">Sheet0!$A$2:$BM$149</definedName>
    <definedName name="_xleta.AND" hidden="1" xlm="1">#NAME?</definedName>
    <definedName name="_xleta.IF" hidden="1" xlm="1">#NAME?</definedName>
    <definedName name="_xleta.LEF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M25" i="1" l="1" a="1"/>
  <c r="BM25" i="1" s="1"/>
  <c r="BD25" i="1"/>
  <c r="AU25" i="1"/>
  <c r="AK25" i="1" a="1"/>
  <c r="AK25" i="1" s="1"/>
  <c r="AC25" i="1"/>
  <c r="AB25" i="1"/>
  <c r="S25" i="1" a="1"/>
  <c r="S25" i="1" s="1"/>
  <c r="AS25" i="1"/>
  <c r="O25" i="1"/>
  <c r="N25" i="1"/>
  <c r="M25" i="1"/>
  <c r="L25" i="1"/>
  <c r="K25" i="1"/>
  <c r="E25" i="1"/>
  <c r="D25" i="1"/>
  <c r="A25" i="1"/>
  <c r="BM24" i="1" a="1"/>
  <c r="BM24" i="1" s="1"/>
  <c r="BD24" i="1"/>
  <c r="AU24" i="1"/>
  <c r="AK24" i="1" a="1"/>
  <c r="AK24" i="1" s="1"/>
  <c r="AF24" i="1"/>
  <c r="AC24" i="1"/>
  <c r="AB24" i="1"/>
  <c r="S24" i="1" a="1"/>
  <c r="S24" i="1" s="1"/>
  <c r="AS24" i="1"/>
  <c r="O24" i="1"/>
  <c r="N24" i="1"/>
  <c r="M24" i="1"/>
  <c r="L24" i="1"/>
  <c r="K24" i="1"/>
  <c r="E24" i="1"/>
  <c r="D24" i="1"/>
  <c r="A24" i="1"/>
  <c r="BM23" i="1" a="1"/>
  <c r="BM23" i="1" s="1"/>
  <c r="BD23" i="1"/>
  <c r="AU23" i="1"/>
  <c r="AK23" i="1" a="1"/>
  <c r="AK23" i="1" s="1"/>
  <c r="AF23" i="1"/>
  <c r="AC23" i="1"/>
  <c r="AB23" i="1"/>
  <c r="S23" i="1" a="1"/>
  <c r="S23" i="1" s="1"/>
  <c r="AS23" i="1"/>
  <c r="O23" i="1"/>
  <c r="N23" i="1"/>
  <c r="M23" i="1"/>
  <c r="L23" i="1"/>
  <c r="K23" i="1"/>
  <c r="E23" i="1"/>
  <c r="D23" i="1"/>
  <c r="A23" i="1"/>
  <c r="BM17" i="1" a="1"/>
  <c r="BM17" i="1" s="1"/>
  <c r="BD17" i="1"/>
  <c r="AU17" i="1"/>
  <c r="AK17" i="1" a="1"/>
  <c r="AK17" i="1" s="1"/>
  <c r="AC17" i="1"/>
  <c r="AB17" i="1"/>
  <c r="S17" i="1" a="1"/>
  <c r="S17" i="1" s="1"/>
  <c r="AS17" i="1"/>
  <c r="O17" i="1"/>
  <c r="N17" i="1"/>
  <c r="M17" i="1"/>
  <c r="L17" i="1"/>
  <c r="K17" i="1"/>
  <c r="E17" i="1"/>
  <c r="D17" i="1"/>
  <c r="A17" i="1"/>
  <c r="BM16" i="1" a="1"/>
  <c r="BM16" i="1" s="1"/>
  <c r="BD16" i="1"/>
  <c r="AU16" i="1"/>
  <c r="AK16" i="1" a="1"/>
  <c r="AK16" i="1" s="1"/>
  <c r="AF16" i="1"/>
  <c r="AC16" i="1"/>
  <c r="AB16" i="1"/>
  <c r="S16" i="1" a="1"/>
  <c r="S16" i="1" s="1"/>
  <c r="AS16" i="1"/>
  <c r="O16" i="1"/>
  <c r="N16" i="1"/>
  <c r="M16" i="1"/>
  <c r="L16" i="1"/>
  <c r="K16" i="1"/>
  <c r="E16" i="1"/>
  <c r="D16" i="1"/>
  <c r="A16" i="1"/>
  <c r="BM15" i="1" a="1"/>
  <c r="BM15" i="1" s="1"/>
  <c r="BD15" i="1"/>
  <c r="AU15" i="1"/>
  <c r="AK15" i="1" a="1"/>
  <c r="AK15" i="1" s="1"/>
  <c r="AF15" i="1"/>
  <c r="AC15" i="1"/>
  <c r="AB15" i="1"/>
  <c r="S15" i="1" a="1"/>
  <c r="S15" i="1" s="1"/>
  <c r="AS15" i="1"/>
  <c r="O15" i="1"/>
  <c r="N15" i="1"/>
  <c r="M15" i="1"/>
  <c r="L15" i="1"/>
  <c r="K15" i="1"/>
  <c r="E15" i="1"/>
  <c r="D15" i="1"/>
  <c r="A15" i="1"/>
  <c r="BM3" i="1" l="1" a="1"/>
  <c r="BM3" i="1" s="1"/>
  <c r="M149" i="1"/>
  <c r="L149" i="1"/>
  <c r="M148" i="1"/>
  <c r="L148" i="1"/>
  <c r="M147" i="1"/>
  <c r="L147" i="1"/>
  <c r="M146" i="1"/>
  <c r="L146" i="1"/>
  <c r="M145" i="1"/>
  <c r="L145" i="1"/>
  <c r="M144" i="1"/>
  <c r="L144" i="1"/>
  <c r="M143" i="1"/>
  <c r="L143" i="1"/>
  <c r="M142" i="1"/>
  <c r="L142" i="1"/>
  <c r="M141" i="1"/>
  <c r="L141" i="1"/>
  <c r="M140" i="1"/>
  <c r="L140" i="1"/>
  <c r="M139" i="1"/>
  <c r="L139" i="1"/>
  <c r="M138" i="1"/>
  <c r="L138" i="1"/>
  <c r="M137" i="1"/>
  <c r="L137" i="1"/>
  <c r="M136" i="1"/>
  <c r="L136" i="1"/>
  <c r="M135" i="1"/>
  <c r="L135" i="1"/>
  <c r="M134" i="1"/>
  <c r="L134" i="1"/>
  <c r="M133" i="1"/>
  <c r="L133" i="1"/>
  <c r="M132" i="1"/>
  <c r="L132" i="1"/>
  <c r="M131" i="1"/>
  <c r="L131" i="1"/>
  <c r="M130" i="1"/>
  <c r="L130" i="1"/>
  <c r="M129" i="1"/>
  <c r="L129" i="1"/>
  <c r="M128" i="1"/>
  <c r="L128" i="1"/>
  <c r="M127" i="1"/>
  <c r="L127" i="1"/>
  <c r="M126" i="1"/>
  <c r="L126" i="1"/>
  <c r="M125" i="1"/>
  <c r="L125" i="1"/>
  <c r="M124" i="1"/>
  <c r="L124" i="1"/>
  <c r="M123" i="1"/>
  <c r="L123" i="1"/>
  <c r="M122" i="1"/>
  <c r="L122" i="1"/>
  <c r="M121" i="1"/>
  <c r="L121" i="1"/>
  <c r="M120" i="1"/>
  <c r="L120" i="1"/>
  <c r="M119" i="1"/>
  <c r="L119" i="1"/>
  <c r="M118" i="1"/>
  <c r="L118" i="1"/>
  <c r="M117" i="1"/>
  <c r="L117" i="1"/>
  <c r="M116" i="1"/>
  <c r="L116" i="1"/>
  <c r="M115" i="1"/>
  <c r="L115" i="1"/>
  <c r="M114" i="1"/>
  <c r="L114" i="1"/>
  <c r="M113" i="1"/>
  <c r="L113" i="1"/>
  <c r="M112" i="1"/>
  <c r="L112" i="1"/>
  <c r="M111" i="1"/>
  <c r="L111" i="1"/>
  <c r="M110" i="1"/>
  <c r="L110" i="1"/>
  <c r="M109" i="1"/>
  <c r="L109" i="1"/>
  <c r="M108" i="1"/>
  <c r="L108" i="1"/>
  <c r="M107" i="1"/>
  <c r="L107" i="1"/>
  <c r="M106" i="1"/>
  <c r="L106" i="1"/>
  <c r="M105" i="1"/>
  <c r="L105" i="1"/>
  <c r="M104" i="1"/>
  <c r="L104" i="1"/>
  <c r="M103" i="1"/>
  <c r="L103" i="1"/>
  <c r="M102" i="1"/>
  <c r="L102" i="1"/>
  <c r="M101" i="1"/>
  <c r="L101" i="1"/>
  <c r="M100" i="1"/>
  <c r="L100" i="1"/>
  <c r="M99" i="1"/>
  <c r="L99" i="1"/>
  <c r="M98" i="1"/>
  <c r="L98" i="1"/>
  <c r="M97" i="1"/>
  <c r="L97" i="1"/>
  <c r="M96" i="1"/>
  <c r="L96" i="1"/>
  <c r="M95" i="1"/>
  <c r="L95" i="1"/>
  <c r="M94" i="1"/>
  <c r="L94" i="1"/>
  <c r="M93" i="1"/>
  <c r="L93" i="1"/>
  <c r="M92" i="1"/>
  <c r="L92" i="1"/>
  <c r="M91" i="1"/>
  <c r="L91" i="1"/>
  <c r="M90" i="1"/>
  <c r="L90" i="1"/>
  <c r="M89" i="1"/>
  <c r="L89" i="1"/>
  <c r="M88" i="1"/>
  <c r="L88" i="1"/>
  <c r="M87" i="1"/>
  <c r="L87" i="1"/>
  <c r="M86" i="1"/>
  <c r="L86" i="1"/>
  <c r="M85" i="1"/>
  <c r="L85" i="1"/>
  <c r="M84" i="1"/>
  <c r="L84" i="1"/>
  <c r="M83" i="1"/>
  <c r="L83" i="1"/>
  <c r="M82" i="1"/>
  <c r="L82" i="1"/>
  <c r="M81" i="1"/>
  <c r="L81" i="1"/>
  <c r="M80" i="1"/>
  <c r="L80" i="1"/>
  <c r="M79" i="1"/>
  <c r="L79" i="1"/>
  <c r="M78" i="1"/>
  <c r="L78" i="1"/>
  <c r="M77" i="1"/>
  <c r="L77" i="1"/>
  <c r="M76" i="1"/>
  <c r="L76" i="1"/>
  <c r="M75" i="1"/>
  <c r="L75" i="1"/>
  <c r="M74" i="1"/>
  <c r="L74" i="1"/>
  <c r="M73" i="1"/>
  <c r="L73" i="1"/>
  <c r="M72" i="1"/>
  <c r="L72" i="1"/>
  <c r="M71" i="1"/>
  <c r="L71" i="1"/>
  <c r="M70" i="1"/>
  <c r="L70" i="1"/>
  <c r="M69" i="1"/>
  <c r="L69" i="1"/>
  <c r="M68" i="1"/>
  <c r="L68" i="1"/>
  <c r="M67" i="1"/>
  <c r="L67" i="1"/>
  <c r="M66" i="1"/>
  <c r="L66" i="1"/>
  <c r="M65" i="1"/>
  <c r="L65" i="1"/>
  <c r="M64" i="1"/>
  <c r="L64" i="1"/>
  <c r="M63" i="1"/>
  <c r="L63" i="1"/>
  <c r="M62" i="1"/>
  <c r="L62" i="1"/>
  <c r="M61" i="1"/>
  <c r="L61" i="1"/>
  <c r="M60" i="1"/>
  <c r="L60" i="1"/>
  <c r="M59" i="1"/>
  <c r="L59" i="1"/>
  <c r="M58" i="1"/>
  <c r="L58" i="1"/>
  <c r="H3" i="1" a="1"/>
  <c r="H3" i="1" s="1"/>
  <c r="R3" i="1" s="1"/>
  <c r="S18" i="1" a="1"/>
  <c r="S18" i="1" s="1"/>
  <c r="S26" i="1" a="1"/>
  <c r="S26" i="1" s="1"/>
  <c r="S27" i="1" a="1"/>
  <c r="S27" i="1" s="1"/>
  <c r="S28" i="1" a="1"/>
  <c r="S28" i="1" s="1"/>
  <c r="S29" i="1" a="1"/>
  <c r="S29" i="1" s="1"/>
  <c r="S30" i="1" a="1"/>
  <c r="S30" i="1" s="1"/>
  <c r="S31" i="1" a="1"/>
  <c r="S31" i="1" s="1"/>
  <c r="S32" i="1" a="1"/>
  <c r="S32" i="1" s="1"/>
  <c r="S33" i="1" a="1"/>
  <c r="S33" i="1" s="1"/>
  <c r="S34" i="1" a="1"/>
  <c r="S34" i="1" s="1"/>
  <c r="S35" i="1" a="1"/>
  <c r="S35" i="1" s="1"/>
  <c r="S36" i="1" a="1"/>
  <c r="S36" i="1" s="1"/>
  <c r="S37" i="1" a="1"/>
  <c r="S37" i="1" s="1"/>
  <c r="S38" i="1" a="1"/>
  <c r="S38" i="1" s="1"/>
  <c r="S39" i="1" a="1"/>
  <c r="S39" i="1" s="1"/>
  <c r="S40" i="1" a="1"/>
  <c r="S40" i="1" s="1"/>
  <c r="S41" i="1" a="1"/>
  <c r="S41" i="1" s="1"/>
  <c r="S42" i="1" a="1"/>
  <c r="S42" i="1" s="1"/>
  <c r="S43" i="1" a="1"/>
  <c r="S43" i="1" s="1"/>
  <c r="S44" i="1" a="1"/>
  <c r="S44" i="1" s="1"/>
  <c r="S45" i="1" a="1"/>
  <c r="S45" i="1" s="1"/>
  <c r="S46" i="1" a="1"/>
  <c r="S46" i="1" s="1"/>
  <c r="S47" i="1" a="1"/>
  <c r="S47" i="1" s="1"/>
  <c r="S48" i="1" a="1"/>
  <c r="S48" i="1" s="1"/>
  <c r="S49" i="1" a="1"/>
  <c r="S49" i="1" s="1"/>
  <c r="S50" i="1" a="1"/>
  <c r="S50" i="1" s="1"/>
  <c r="S51" i="1" a="1"/>
  <c r="S51" i="1" s="1"/>
  <c r="S52" i="1" a="1"/>
  <c r="S52" i="1" s="1"/>
  <c r="S53" i="1" a="1"/>
  <c r="S53" i="1" s="1"/>
  <c r="S54" i="1" a="1"/>
  <c r="S54" i="1" s="1"/>
  <c r="S55" i="1" a="1"/>
  <c r="S55" i="1" s="1"/>
  <c r="S56" i="1" a="1"/>
  <c r="S56" i="1" s="1"/>
  <c r="S57" i="1" a="1"/>
  <c r="S57" i="1" s="1"/>
  <c r="S58" i="1" a="1"/>
  <c r="S58" i="1" s="1"/>
  <c r="S59" i="1" a="1"/>
  <c r="S59" i="1" s="1"/>
  <c r="S60" i="1" a="1"/>
  <c r="S60" i="1" s="1"/>
  <c r="S61" i="1" a="1"/>
  <c r="S61" i="1" s="1"/>
  <c r="S62" i="1" a="1"/>
  <c r="S62" i="1" s="1"/>
  <c r="S63" i="1" a="1"/>
  <c r="S63" i="1" s="1"/>
  <c r="S64" i="1" a="1"/>
  <c r="S64" i="1" s="1"/>
  <c r="S65" i="1" a="1"/>
  <c r="S65" i="1" s="1"/>
  <c r="S66" i="1" a="1"/>
  <c r="S66" i="1" s="1"/>
  <c r="S67" i="1" a="1"/>
  <c r="S67" i="1" s="1"/>
  <c r="S68" i="1" a="1"/>
  <c r="S68" i="1" s="1"/>
  <c r="S69" i="1" a="1"/>
  <c r="S69" i="1" s="1"/>
  <c r="S70" i="1" a="1"/>
  <c r="S70" i="1" s="1"/>
  <c r="S71" i="1" a="1"/>
  <c r="S71" i="1" s="1"/>
  <c r="S72" i="1" a="1"/>
  <c r="S72" i="1" s="1"/>
  <c r="S73" i="1" a="1"/>
  <c r="S73" i="1" s="1"/>
  <c r="S74" i="1" a="1"/>
  <c r="S74" i="1" s="1"/>
  <c r="S75" i="1" a="1"/>
  <c r="S75" i="1" s="1"/>
  <c r="S76" i="1" a="1"/>
  <c r="S76" i="1" s="1"/>
  <c r="S77" i="1" a="1"/>
  <c r="S77" i="1" s="1"/>
  <c r="S78" i="1" a="1"/>
  <c r="S78" i="1" s="1"/>
  <c r="S79" i="1" a="1"/>
  <c r="S79" i="1" s="1"/>
  <c r="S80" i="1" a="1"/>
  <c r="S80" i="1" s="1"/>
  <c r="S81" i="1" a="1"/>
  <c r="S81" i="1" s="1"/>
  <c r="S82" i="1" a="1"/>
  <c r="S82" i="1" s="1"/>
  <c r="S83" i="1" a="1"/>
  <c r="S83" i="1" s="1"/>
  <c r="S84" i="1" a="1"/>
  <c r="S84" i="1" s="1"/>
  <c r="S85" i="1" a="1"/>
  <c r="S85" i="1" s="1"/>
  <c r="S86" i="1" a="1"/>
  <c r="S86" i="1" s="1"/>
  <c r="S87" i="1" a="1"/>
  <c r="S87" i="1" s="1"/>
  <c r="S88" i="1" a="1"/>
  <c r="S88" i="1" s="1"/>
  <c r="S89" i="1" a="1"/>
  <c r="S89" i="1" s="1"/>
  <c r="S90" i="1" a="1"/>
  <c r="S90" i="1" s="1"/>
  <c r="S91" i="1" a="1"/>
  <c r="S91" i="1" s="1"/>
  <c r="S92" i="1" a="1"/>
  <c r="S92" i="1" s="1"/>
  <c r="S93" i="1" a="1"/>
  <c r="S93" i="1" s="1"/>
  <c r="S94" i="1" a="1"/>
  <c r="S94" i="1" s="1"/>
  <c r="S95" i="1" a="1"/>
  <c r="S95" i="1" s="1"/>
  <c r="S96" i="1" a="1"/>
  <c r="S96" i="1" s="1"/>
  <c r="S97" i="1" a="1"/>
  <c r="S97" i="1" s="1"/>
  <c r="S98" i="1" a="1"/>
  <c r="S98" i="1" s="1"/>
  <c r="S99" i="1" a="1"/>
  <c r="S99" i="1" s="1"/>
  <c r="S100" i="1" a="1"/>
  <c r="S100" i="1" s="1"/>
  <c r="S101" i="1" a="1"/>
  <c r="S101" i="1" s="1"/>
  <c r="S102" i="1" a="1"/>
  <c r="S102" i="1" s="1"/>
  <c r="S103" i="1" a="1"/>
  <c r="S103" i="1" s="1"/>
  <c r="S104" i="1" a="1"/>
  <c r="S104" i="1" s="1"/>
  <c r="S105" i="1" a="1"/>
  <c r="S105" i="1" s="1"/>
  <c r="S106" i="1" a="1"/>
  <c r="S106" i="1" s="1"/>
  <c r="S107" i="1" a="1"/>
  <c r="S107" i="1" s="1"/>
  <c r="S108" i="1" a="1"/>
  <c r="S108" i="1" s="1"/>
  <c r="S109" i="1" a="1"/>
  <c r="S109" i="1" s="1"/>
  <c r="S110" i="1" a="1"/>
  <c r="S110" i="1" s="1"/>
  <c r="S111" i="1" a="1"/>
  <c r="S111" i="1" s="1"/>
  <c r="S112" i="1" a="1"/>
  <c r="S112" i="1" s="1"/>
  <c r="S113" i="1" a="1"/>
  <c r="S113" i="1" s="1"/>
  <c r="S114" i="1" a="1"/>
  <c r="S114" i="1" s="1"/>
  <c r="S115" i="1" a="1"/>
  <c r="S115" i="1" s="1"/>
  <c r="S116" i="1" a="1"/>
  <c r="S116" i="1" s="1"/>
  <c r="S117" i="1" a="1"/>
  <c r="S117" i="1" s="1"/>
  <c r="S118" i="1" a="1"/>
  <c r="S118" i="1" s="1"/>
  <c r="S119" i="1" a="1"/>
  <c r="S119" i="1" s="1"/>
  <c r="S120" i="1" a="1"/>
  <c r="S120" i="1" s="1"/>
  <c r="S121" i="1" a="1"/>
  <c r="S121" i="1" s="1"/>
  <c r="S122" i="1" a="1"/>
  <c r="S122" i="1" s="1"/>
  <c r="S123" i="1" a="1"/>
  <c r="S123" i="1" s="1"/>
  <c r="S124" i="1" a="1"/>
  <c r="S124" i="1" s="1"/>
  <c r="S125" i="1" a="1"/>
  <c r="S125" i="1" s="1"/>
  <c r="S126" i="1" a="1"/>
  <c r="S126" i="1" s="1"/>
  <c r="S127" i="1" a="1"/>
  <c r="S127" i="1" s="1"/>
  <c r="S128" i="1" a="1"/>
  <c r="S128" i="1" s="1"/>
  <c r="S129" i="1" a="1"/>
  <c r="S129" i="1" s="1"/>
  <c r="S130" i="1" a="1"/>
  <c r="S130" i="1" s="1"/>
  <c r="S131" i="1" a="1"/>
  <c r="S131" i="1" s="1"/>
  <c r="S132" i="1" a="1"/>
  <c r="S132" i="1" s="1"/>
  <c r="S133" i="1" a="1"/>
  <c r="S133" i="1" s="1"/>
  <c r="S134" i="1" a="1"/>
  <c r="S134" i="1" s="1"/>
  <c r="S135" i="1" a="1"/>
  <c r="S135" i="1" s="1"/>
  <c r="S136" i="1" a="1"/>
  <c r="S136" i="1" s="1"/>
  <c r="S137" i="1" a="1"/>
  <c r="S137" i="1" s="1"/>
  <c r="S138" i="1" a="1"/>
  <c r="S138" i="1" s="1"/>
  <c r="S139" i="1" a="1"/>
  <c r="S139" i="1" s="1"/>
  <c r="S140" i="1" a="1"/>
  <c r="S140" i="1" s="1"/>
  <c r="S141" i="1" a="1"/>
  <c r="S141" i="1" s="1"/>
  <c r="S142" i="1" a="1"/>
  <c r="S142" i="1" s="1"/>
  <c r="S143" i="1" a="1"/>
  <c r="S143" i="1" s="1"/>
  <c r="S144" i="1" a="1"/>
  <c r="S144" i="1" s="1"/>
  <c r="S145" i="1" a="1"/>
  <c r="S145" i="1" s="1"/>
  <c r="S146" i="1" a="1"/>
  <c r="S146" i="1" s="1"/>
  <c r="S147" i="1" a="1"/>
  <c r="S147" i="1" s="1"/>
  <c r="S148" i="1" a="1"/>
  <c r="S148" i="1" s="1"/>
  <c r="S149" i="1" a="1"/>
  <c r="S149" i="1" s="1"/>
  <c r="AF3" i="1"/>
  <c r="Q3" i="1" a="1"/>
  <c r="Q3" i="1" s="1"/>
  <c r="BM6" i="1" a="1"/>
  <c r="BM6" i="1" s="1"/>
  <c r="BD6" i="1"/>
  <c r="AU6" i="1"/>
  <c r="AK6" i="1" a="1"/>
  <c r="AK6" i="1" s="1"/>
  <c r="AF6" i="1"/>
  <c r="AC6" i="1"/>
  <c r="AB6" i="1"/>
  <c r="Q6" i="1" a="1"/>
  <c r="Q6" i="1" s="1"/>
  <c r="AS6" i="1" s="1"/>
  <c r="M6" i="1"/>
  <c r="L6" i="1"/>
  <c r="K6" i="1"/>
  <c r="N6" i="1" s="1"/>
  <c r="H6" i="1" a="1"/>
  <c r="H6" i="1" s="1"/>
  <c r="R6" i="1" s="1"/>
  <c r="E6" i="1"/>
  <c r="D6" i="1"/>
  <c r="A6" i="1"/>
  <c r="BM7" i="1" a="1"/>
  <c r="BM7" i="1" s="1"/>
  <c r="BD7" i="1"/>
  <c r="AU7" i="1"/>
  <c r="AK7" i="1" a="1"/>
  <c r="AK7" i="1" s="1"/>
  <c r="AF7" i="1"/>
  <c r="AC7" i="1"/>
  <c r="AB7" i="1"/>
  <c r="Q7" i="1" a="1"/>
  <c r="Q7" i="1" s="1"/>
  <c r="AS7" i="1" s="1"/>
  <c r="M7" i="1"/>
  <c r="L7" i="1"/>
  <c r="K7" i="1"/>
  <c r="N7" i="1" s="1"/>
  <c r="H7" i="1" a="1"/>
  <c r="H7" i="1" s="1"/>
  <c r="R7" i="1" s="1"/>
  <c r="E7" i="1"/>
  <c r="D7" i="1"/>
  <c r="A7" i="1"/>
  <c r="BM8" i="1" a="1"/>
  <c r="BM8" i="1" s="1"/>
  <c r="BD8" i="1"/>
  <c r="AU8" i="1"/>
  <c r="AK8" i="1" a="1"/>
  <c r="AK8" i="1" s="1"/>
  <c r="AF8" i="1"/>
  <c r="AC8" i="1"/>
  <c r="AB8" i="1"/>
  <c r="Q8" i="1" a="1"/>
  <c r="Q8" i="1" s="1"/>
  <c r="AS8" i="1" s="1"/>
  <c r="M8" i="1"/>
  <c r="L8" i="1"/>
  <c r="K8" i="1"/>
  <c r="N8" i="1" s="1"/>
  <c r="H8" i="1" a="1"/>
  <c r="H8" i="1" s="1"/>
  <c r="R8" i="1" s="1"/>
  <c r="E8" i="1"/>
  <c r="D8" i="1"/>
  <c r="A8" i="1"/>
  <c r="E9" i="1"/>
  <c r="D9" i="1"/>
  <c r="E5" i="1"/>
  <c r="D5" i="1"/>
  <c r="E4" i="1"/>
  <c r="D4" i="1"/>
  <c r="E3" i="1"/>
  <c r="D3" i="1"/>
  <c r="AB4" i="1"/>
  <c r="AC4" i="1"/>
  <c r="AB5" i="1"/>
  <c r="AC5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8" i="1"/>
  <c r="AC18" i="1"/>
  <c r="AB19" i="1"/>
  <c r="AC19" i="1"/>
  <c r="AB20" i="1"/>
  <c r="AC20" i="1"/>
  <c r="AB21" i="1"/>
  <c r="AC21" i="1"/>
  <c r="AB22" i="1"/>
  <c r="AC22" i="1"/>
  <c r="AB26" i="1"/>
  <c r="AC26" i="1"/>
  <c r="AB27" i="1"/>
  <c r="AC27" i="1"/>
  <c r="AB28" i="1"/>
  <c r="AC28" i="1"/>
  <c r="AB29" i="1"/>
  <c r="AC29" i="1"/>
  <c r="AB30" i="1"/>
  <c r="AC30" i="1"/>
  <c r="AB31" i="1"/>
  <c r="AC31" i="1"/>
  <c r="AB32" i="1"/>
  <c r="AC32" i="1"/>
  <c r="AB33" i="1"/>
  <c r="AC33" i="1"/>
  <c r="AB34" i="1"/>
  <c r="AC34" i="1"/>
  <c r="AB35" i="1"/>
  <c r="AC35" i="1"/>
  <c r="AB36" i="1"/>
  <c r="AC36" i="1"/>
  <c r="AB37" i="1"/>
  <c r="AC37" i="1"/>
  <c r="AB38" i="1"/>
  <c r="AC38" i="1"/>
  <c r="AB39" i="1"/>
  <c r="AC39" i="1"/>
  <c r="AB40" i="1"/>
  <c r="AC40" i="1"/>
  <c r="AB41" i="1"/>
  <c r="AC41" i="1"/>
  <c r="AB42" i="1"/>
  <c r="AC42" i="1"/>
  <c r="AB43" i="1"/>
  <c r="AC43" i="1"/>
  <c r="AB44" i="1"/>
  <c r="AC44" i="1"/>
  <c r="AB45" i="1"/>
  <c r="AC45" i="1"/>
  <c r="AB46" i="1"/>
  <c r="AC46" i="1"/>
  <c r="AB47" i="1"/>
  <c r="AC47" i="1"/>
  <c r="AB48" i="1"/>
  <c r="AC48" i="1"/>
  <c r="AB49" i="1"/>
  <c r="AC49" i="1"/>
  <c r="AB50" i="1"/>
  <c r="AC50" i="1"/>
  <c r="AB51" i="1"/>
  <c r="AC51" i="1"/>
  <c r="AB52" i="1"/>
  <c r="AC52" i="1"/>
  <c r="AB53" i="1"/>
  <c r="AC53" i="1"/>
  <c r="AB54" i="1"/>
  <c r="AC54" i="1"/>
  <c r="AB55" i="1"/>
  <c r="AC55" i="1"/>
  <c r="AB56" i="1"/>
  <c r="AC56" i="1"/>
  <c r="AB57" i="1"/>
  <c r="AC57" i="1"/>
  <c r="AB58" i="1"/>
  <c r="AC58" i="1"/>
  <c r="AB59" i="1"/>
  <c r="AC59" i="1"/>
  <c r="AB60" i="1"/>
  <c r="AC60" i="1"/>
  <c r="AB61" i="1"/>
  <c r="AC61" i="1"/>
  <c r="AB62" i="1"/>
  <c r="AC62" i="1"/>
  <c r="AB63" i="1"/>
  <c r="AC63" i="1"/>
  <c r="AB64" i="1"/>
  <c r="AC64" i="1"/>
  <c r="AB65" i="1"/>
  <c r="AC65" i="1"/>
  <c r="AB66" i="1"/>
  <c r="AC66" i="1"/>
  <c r="AB67" i="1"/>
  <c r="AC67" i="1"/>
  <c r="AB68" i="1"/>
  <c r="AC68" i="1"/>
  <c r="AB69" i="1"/>
  <c r="AC69" i="1"/>
  <c r="AB70" i="1"/>
  <c r="AC70" i="1"/>
  <c r="AB71" i="1"/>
  <c r="AC71" i="1"/>
  <c r="AB72" i="1"/>
  <c r="AC72" i="1"/>
  <c r="AB73" i="1"/>
  <c r="AC73" i="1"/>
  <c r="AB74" i="1"/>
  <c r="AC74" i="1"/>
  <c r="AB75" i="1"/>
  <c r="AC75" i="1"/>
  <c r="AB76" i="1"/>
  <c r="AC76" i="1"/>
  <c r="AB77" i="1"/>
  <c r="AC77" i="1"/>
  <c r="AB78" i="1"/>
  <c r="AC78" i="1"/>
  <c r="AB79" i="1"/>
  <c r="AC79" i="1"/>
  <c r="AB80" i="1"/>
  <c r="AC80" i="1"/>
  <c r="AB81" i="1"/>
  <c r="AC81" i="1"/>
  <c r="AB82" i="1"/>
  <c r="AC82" i="1"/>
  <c r="AB83" i="1"/>
  <c r="AC83" i="1"/>
  <c r="AB84" i="1"/>
  <c r="AC84" i="1"/>
  <c r="AB85" i="1"/>
  <c r="AC85" i="1"/>
  <c r="AB86" i="1"/>
  <c r="AC86" i="1"/>
  <c r="AB87" i="1"/>
  <c r="AC87" i="1"/>
  <c r="AB88" i="1"/>
  <c r="AC88" i="1"/>
  <c r="AB89" i="1"/>
  <c r="AC89" i="1"/>
  <c r="AB90" i="1"/>
  <c r="AC90" i="1"/>
  <c r="AB91" i="1"/>
  <c r="AC91" i="1"/>
  <c r="AB92" i="1"/>
  <c r="AC92" i="1"/>
  <c r="AB93" i="1"/>
  <c r="AC93" i="1"/>
  <c r="AB94" i="1"/>
  <c r="AC94" i="1"/>
  <c r="AB95" i="1"/>
  <c r="AC95" i="1"/>
  <c r="AB96" i="1"/>
  <c r="AC96" i="1"/>
  <c r="AB97" i="1"/>
  <c r="AC97" i="1"/>
  <c r="AB98" i="1"/>
  <c r="AC98" i="1"/>
  <c r="AB99" i="1"/>
  <c r="AC99" i="1"/>
  <c r="AB100" i="1"/>
  <c r="AC100" i="1"/>
  <c r="AB101" i="1"/>
  <c r="AC101" i="1"/>
  <c r="AB102" i="1"/>
  <c r="AC102" i="1"/>
  <c r="AB103" i="1"/>
  <c r="AC103" i="1"/>
  <c r="AB104" i="1"/>
  <c r="AC104" i="1"/>
  <c r="AB105" i="1"/>
  <c r="AC105" i="1"/>
  <c r="AB106" i="1"/>
  <c r="AC106" i="1"/>
  <c r="AB107" i="1"/>
  <c r="AC107" i="1"/>
  <c r="AB108" i="1"/>
  <c r="AC108" i="1"/>
  <c r="AB109" i="1"/>
  <c r="AC109" i="1"/>
  <c r="AB110" i="1"/>
  <c r="AC110" i="1"/>
  <c r="AB111" i="1"/>
  <c r="AC111" i="1"/>
  <c r="AB112" i="1"/>
  <c r="AC112" i="1"/>
  <c r="AB113" i="1"/>
  <c r="AC113" i="1"/>
  <c r="AB114" i="1"/>
  <c r="AC114" i="1"/>
  <c r="AB115" i="1"/>
  <c r="AC115" i="1"/>
  <c r="AB116" i="1"/>
  <c r="AC116" i="1"/>
  <c r="AB117" i="1"/>
  <c r="AC117" i="1"/>
  <c r="AB118" i="1"/>
  <c r="AC118" i="1"/>
  <c r="AB119" i="1"/>
  <c r="AC119" i="1"/>
  <c r="AB120" i="1"/>
  <c r="AC120" i="1"/>
  <c r="AB121" i="1"/>
  <c r="AC121" i="1"/>
  <c r="AB122" i="1"/>
  <c r="AC122" i="1"/>
  <c r="AB123" i="1"/>
  <c r="AC123" i="1"/>
  <c r="AB124" i="1"/>
  <c r="AC124" i="1"/>
  <c r="AB125" i="1"/>
  <c r="AC125" i="1"/>
  <c r="AB126" i="1"/>
  <c r="AC126" i="1"/>
  <c r="AB127" i="1"/>
  <c r="AC127" i="1"/>
  <c r="AB128" i="1"/>
  <c r="AC128" i="1"/>
  <c r="AB129" i="1"/>
  <c r="AC129" i="1"/>
  <c r="AB130" i="1"/>
  <c r="AC130" i="1"/>
  <c r="AB131" i="1"/>
  <c r="AC131" i="1"/>
  <c r="AB132" i="1"/>
  <c r="AC132" i="1"/>
  <c r="AB133" i="1"/>
  <c r="AC133" i="1"/>
  <c r="AB134" i="1"/>
  <c r="AC134" i="1"/>
  <c r="AB135" i="1"/>
  <c r="AC135" i="1"/>
  <c r="AB136" i="1"/>
  <c r="AC136" i="1"/>
  <c r="AB137" i="1"/>
  <c r="AC137" i="1"/>
  <c r="AB138" i="1"/>
  <c r="AC138" i="1"/>
  <c r="AB139" i="1"/>
  <c r="AC139" i="1"/>
  <c r="AB140" i="1"/>
  <c r="AC140" i="1"/>
  <c r="AB141" i="1"/>
  <c r="AC141" i="1"/>
  <c r="AB142" i="1"/>
  <c r="AC142" i="1"/>
  <c r="AB143" i="1"/>
  <c r="AC143" i="1"/>
  <c r="AB144" i="1"/>
  <c r="AC144" i="1"/>
  <c r="AB145" i="1"/>
  <c r="AC145" i="1"/>
  <c r="AB146" i="1"/>
  <c r="AC146" i="1"/>
  <c r="AB147" i="1"/>
  <c r="AC147" i="1"/>
  <c r="AA148" i="1"/>
  <c r="AB148" i="1"/>
  <c r="AC148" i="1"/>
  <c r="AA149" i="1"/>
  <c r="AB149" i="1"/>
  <c r="AC149" i="1"/>
  <c r="AC3" i="1"/>
  <c r="AB3" i="1"/>
  <c r="BM149" i="1" a="1"/>
  <c r="BM149" i="1" s="1"/>
  <c r="BM148" i="1" a="1"/>
  <c r="BM148" i="1" s="1"/>
  <c r="BM147" i="1" a="1"/>
  <c r="BM147" i="1" s="1"/>
  <c r="BM146" i="1" a="1"/>
  <c r="BM146" i="1" s="1"/>
  <c r="BM145" i="1" a="1"/>
  <c r="BM145" i="1" s="1"/>
  <c r="BM144" i="1" a="1"/>
  <c r="BM144" i="1" s="1"/>
  <c r="BM143" i="1" a="1"/>
  <c r="BM143" i="1" s="1"/>
  <c r="BM142" i="1" a="1"/>
  <c r="BM142" i="1" s="1"/>
  <c r="BM141" i="1" a="1"/>
  <c r="BM141" i="1" s="1"/>
  <c r="BM140" i="1" a="1"/>
  <c r="BM140" i="1" s="1"/>
  <c r="BM139" i="1" a="1"/>
  <c r="BM139" i="1" s="1"/>
  <c r="BM138" i="1" a="1"/>
  <c r="BM138" i="1" s="1"/>
  <c r="BM137" i="1" a="1"/>
  <c r="BM137" i="1" s="1"/>
  <c r="BM136" i="1" a="1"/>
  <c r="BM136" i="1" s="1"/>
  <c r="BM135" i="1" a="1"/>
  <c r="BM135" i="1" s="1"/>
  <c r="BM134" i="1" a="1"/>
  <c r="BM134" i="1" s="1"/>
  <c r="BM133" i="1" a="1"/>
  <c r="BM133" i="1" s="1"/>
  <c r="BM132" i="1" a="1"/>
  <c r="BM132" i="1" s="1"/>
  <c r="BM131" i="1" a="1"/>
  <c r="BM131" i="1" s="1"/>
  <c r="BM130" i="1" a="1"/>
  <c r="BM130" i="1" s="1"/>
  <c r="BM129" i="1" a="1"/>
  <c r="BM129" i="1" s="1"/>
  <c r="BM128" i="1" a="1"/>
  <c r="BM128" i="1" s="1"/>
  <c r="BM127" i="1" a="1"/>
  <c r="BM127" i="1" s="1"/>
  <c r="BM126" i="1" a="1"/>
  <c r="BM126" i="1" s="1"/>
  <c r="BM125" i="1" a="1"/>
  <c r="BM125" i="1" s="1"/>
  <c r="BM124" i="1" a="1"/>
  <c r="BM124" i="1" s="1"/>
  <c r="BM123" i="1" a="1"/>
  <c r="BM123" i="1" s="1"/>
  <c r="BM122" i="1" a="1"/>
  <c r="BM122" i="1" s="1"/>
  <c r="BM121" i="1" a="1"/>
  <c r="BM121" i="1" s="1"/>
  <c r="BM120" i="1" a="1"/>
  <c r="BM120" i="1" s="1"/>
  <c r="BM119" i="1" a="1"/>
  <c r="BM119" i="1" s="1"/>
  <c r="BM118" i="1" a="1"/>
  <c r="BM118" i="1" s="1"/>
  <c r="BM117" i="1" a="1"/>
  <c r="BM117" i="1" s="1"/>
  <c r="BM116" i="1" a="1"/>
  <c r="BM116" i="1" s="1"/>
  <c r="BM115" i="1" a="1"/>
  <c r="BM115" i="1" s="1"/>
  <c r="BM114" i="1" a="1"/>
  <c r="BM114" i="1" s="1"/>
  <c r="BM113" i="1" a="1"/>
  <c r="BM113" i="1" s="1"/>
  <c r="BM112" i="1" a="1"/>
  <c r="BM112" i="1" s="1"/>
  <c r="BM111" i="1" a="1"/>
  <c r="BM111" i="1" s="1"/>
  <c r="BM110" i="1" a="1"/>
  <c r="BM110" i="1" s="1"/>
  <c r="BM109" i="1" a="1"/>
  <c r="BM109" i="1" s="1"/>
  <c r="BM108" i="1" a="1"/>
  <c r="BM108" i="1" s="1"/>
  <c r="BM107" i="1" a="1"/>
  <c r="BM107" i="1" s="1"/>
  <c r="BM106" i="1" a="1"/>
  <c r="BM106" i="1" s="1"/>
  <c r="BM105" i="1" a="1"/>
  <c r="BM105" i="1" s="1"/>
  <c r="BM104" i="1" a="1"/>
  <c r="BM104" i="1" s="1"/>
  <c r="BM103" i="1" a="1"/>
  <c r="BM103" i="1" s="1"/>
  <c r="BM102" i="1" a="1"/>
  <c r="BM102" i="1" s="1"/>
  <c r="BM101" i="1" a="1"/>
  <c r="BM101" i="1" s="1"/>
  <c r="BM100" i="1" a="1"/>
  <c r="BM100" i="1" s="1"/>
  <c r="BM99" i="1" a="1"/>
  <c r="BM99" i="1" s="1"/>
  <c r="BM98" i="1" a="1"/>
  <c r="BM98" i="1" s="1"/>
  <c r="BM97" i="1" a="1"/>
  <c r="BM97" i="1" s="1"/>
  <c r="BM96" i="1" a="1"/>
  <c r="BM96" i="1" s="1"/>
  <c r="BM95" i="1" a="1"/>
  <c r="BM95" i="1" s="1"/>
  <c r="BM94" i="1" a="1"/>
  <c r="BM94" i="1" s="1"/>
  <c r="BM93" i="1" a="1"/>
  <c r="BM93" i="1" s="1"/>
  <c r="BM92" i="1" a="1"/>
  <c r="BM92" i="1" s="1"/>
  <c r="BM91" i="1" a="1"/>
  <c r="BM91" i="1" s="1"/>
  <c r="BM90" i="1" a="1"/>
  <c r="BM90" i="1" s="1"/>
  <c r="BM89" i="1" a="1"/>
  <c r="BM89" i="1" s="1"/>
  <c r="BM88" i="1" a="1"/>
  <c r="BM88" i="1" s="1"/>
  <c r="BM87" i="1" a="1"/>
  <c r="BM87" i="1" s="1"/>
  <c r="BM86" i="1" a="1"/>
  <c r="BM86" i="1" s="1"/>
  <c r="BM85" i="1" a="1"/>
  <c r="BM85" i="1" s="1"/>
  <c r="BM84" i="1" a="1"/>
  <c r="BM84" i="1" s="1"/>
  <c r="BM83" i="1" a="1"/>
  <c r="BM83" i="1" s="1"/>
  <c r="BM82" i="1" a="1"/>
  <c r="BM82" i="1" s="1"/>
  <c r="BM81" i="1" a="1"/>
  <c r="BM81" i="1" s="1"/>
  <c r="BM80" i="1" a="1"/>
  <c r="BM80" i="1" s="1"/>
  <c r="BM79" i="1" a="1"/>
  <c r="BM79" i="1" s="1"/>
  <c r="BM78" i="1" a="1"/>
  <c r="BM78" i="1" s="1"/>
  <c r="BM77" i="1" a="1"/>
  <c r="BM77" i="1" s="1"/>
  <c r="BM76" i="1" a="1"/>
  <c r="BM76" i="1" s="1"/>
  <c r="BM75" i="1" a="1"/>
  <c r="BM75" i="1" s="1"/>
  <c r="BM74" i="1" a="1"/>
  <c r="BM74" i="1" s="1"/>
  <c r="BM73" i="1" a="1"/>
  <c r="BM73" i="1" s="1"/>
  <c r="BM72" i="1" a="1"/>
  <c r="BM72" i="1" s="1"/>
  <c r="BM71" i="1" a="1"/>
  <c r="BM71" i="1" s="1"/>
  <c r="BM70" i="1" a="1"/>
  <c r="BM70" i="1" s="1"/>
  <c r="BM69" i="1" a="1"/>
  <c r="BM69" i="1" s="1"/>
  <c r="BM68" i="1" a="1"/>
  <c r="BM68" i="1" s="1"/>
  <c r="BM67" i="1" a="1"/>
  <c r="BM67" i="1" s="1"/>
  <c r="BM66" i="1" a="1"/>
  <c r="BM66" i="1" s="1"/>
  <c r="BM65" i="1" a="1"/>
  <c r="BM65" i="1" s="1"/>
  <c r="BM64" i="1" a="1"/>
  <c r="BM64" i="1" s="1"/>
  <c r="BM63" i="1" a="1"/>
  <c r="BM63" i="1" s="1"/>
  <c r="BM62" i="1" a="1"/>
  <c r="BM62" i="1" s="1"/>
  <c r="BM61" i="1" a="1"/>
  <c r="BM61" i="1" s="1"/>
  <c r="BM60" i="1" a="1"/>
  <c r="BM60" i="1" s="1"/>
  <c r="BM59" i="1" a="1"/>
  <c r="BM59" i="1" s="1"/>
  <c r="BM58" i="1" a="1"/>
  <c r="BM58" i="1" s="1"/>
  <c r="BM57" i="1" a="1"/>
  <c r="BM57" i="1" s="1"/>
  <c r="BM56" i="1" a="1"/>
  <c r="BM56" i="1" s="1"/>
  <c r="BM55" i="1" a="1"/>
  <c r="BM55" i="1" s="1"/>
  <c r="BM54" i="1" a="1"/>
  <c r="BM54" i="1" s="1"/>
  <c r="BM53" i="1" a="1"/>
  <c r="BM53" i="1" s="1"/>
  <c r="BM52" i="1" a="1"/>
  <c r="BM52" i="1" s="1"/>
  <c r="BM51" i="1" a="1"/>
  <c r="BM51" i="1" s="1"/>
  <c r="BM50" i="1" a="1"/>
  <c r="BM50" i="1" s="1"/>
  <c r="BM49" i="1" a="1"/>
  <c r="BM49" i="1" s="1"/>
  <c r="BM48" i="1" a="1"/>
  <c r="BM48" i="1" s="1"/>
  <c r="BM47" i="1" a="1"/>
  <c r="BM47" i="1" s="1"/>
  <c r="BM46" i="1" a="1"/>
  <c r="BM46" i="1" s="1"/>
  <c r="BM45" i="1" a="1"/>
  <c r="BM45" i="1" s="1"/>
  <c r="BM44" i="1" a="1"/>
  <c r="BM44" i="1" s="1"/>
  <c r="BM43" i="1" a="1"/>
  <c r="BM43" i="1" s="1"/>
  <c r="BM42" i="1" a="1"/>
  <c r="BM42" i="1" s="1"/>
  <c r="BM41" i="1" a="1"/>
  <c r="BM41" i="1" s="1"/>
  <c r="BM40" i="1" a="1"/>
  <c r="BM40" i="1" s="1"/>
  <c r="BM39" i="1" a="1"/>
  <c r="BM39" i="1" s="1"/>
  <c r="BM38" i="1" a="1"/>
  <c r="BM38" i="1" s="1"/>
  <c r="BM37" i="1" a="1"/>
  <c r="BM37" i="1" s="1"/>
  <c r="BM36" i="1" a="1"/>
  <c r="BM36" i="1" s="1"/>
  <c r="BM35" i="1" a="1"/>
  <c r="BM35" i="1" s="1"/>
  <c r="BM34" i="1" a="1"/>
  <c r="BM34" i="1" s="1"/>
  <c r="BM33" i="1" a="1"/>
  <c r="BM33" i="1" s="1"/>
  <c r="BM32" i="1" a="1"/>
  <c r="BM32" i="1" s="1"/>
  <c r="BM31" i="1" a="1"/>
  <c r="BM31" i="1" s="1"/>
  <c r="BM30" i="1" a="1"/>
  <c r="BM30" i="1" s="1"/>
  <c r="BM29" i="1" a="1"/>
  <c r="BM29" i="1" s="1"/>
  <c r="BM28" i="1" a="1"/>
  <c r="BM28" i="1" s="1"/>
  <c r="BM27" i="1" a="1"/>
  <c r="BM27" i="1" s="1"/>
  <c r="BM26" i="1" a="1"/>
  <c r="BM26" i="1" s="1"/>
  <c r="BM22" i="1" a="1"/>
  <c r="BM22" i="1" s="1"/>
  <c r="BM21" i="1" a="1"/>
  <c r="BM21" i="1" s="1"/>
  <c r="BM20" i="1" a="1"/>
  <c r="BM20" i="1" s="1"/>
  <c r="BM19" i="1" a="1"/>
  <c r="BM19" i="1" s="1"/>
  <c r="BM18" i="1" a="1"/>
  <c r="BM18" i="1" s="1"/>
  <c r="BM14" i="1" a="1"/>
  <c r="BM14" i="1" s="1"/>
  <c r="BM13" i="1" a="1"/>
  <c r="BM13" i="1" s="1"/>
  <c r="BM12" i="1" a="1"/>
  <c r="BM12" i="1" s="1"/>
  <c r="BM11" i="1" a="1"/>
  <c r="BM11" i="1" s="1"/>
  <c r="BM10" i="1" a="1"/>
  <c r="BM10" i="1" s="1"/>
  <c r="BM9" i="1" a="1"/>
  <c r="BM9" i="1" s="1"/>
  <c r="H4" i="1" l="1" a="1"/>
  <c r="H4" i="1" s="1"/>
  <c r="R4" i="1" s="1"/>
  <c r="H5" i="1" a="1"/>
  <c r="H5" i="1" s="1"/>
  <c r="R5" i="1" s="1"/>
  <c r="BM4" i="1" a="1"/>
  <c r="BM4" i="1" s="1"/>
  <c r="BM5" i="1" a="1"/>
  <c r="BM5" i="1" s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2" i="1"/>
  <c r="D22" i="1"/>
  <c r="E21" i="1"/>
  <c r="D21" i="1"/>
  <c r="E20" i="1"/>
  <c r="D20" i="1"/>
  <c r="E19" i="1"/>
  <c r="D19" i="1"/>
  <c r="E18" i="1"/>
  <c r="D18" i="1"/>
  <c r="E14" i="1"/>
  <c r="D14" i="1"/>
  <c r="E13" i="1"/>
  <c r="D13" i="1"/>
  <c r="E12" i="1"/>
  <c r="D12" i="1"/>
  <c r="E11" i="1"/>
  <c r="D11" i="1"/>
  <c r="E10" i="1"/>
  <c r="D10" i="1"/>
  <c r="BD4" i="1"/>
  <c r="AU4" i="1"/>
  <c r="AK4" i="1" a="1"/>
  <c r="AK4" i="1" s="1"/>
  <c r="AF4" i="1"/>
  <c r="Q4" i="1" a="1"/>
  <c r="Q4" i="1" s="1"/>
  <c r="AS4" i="1" s="1"/>
  <c r="M4" i="1"/>
  <c r="L4" i="1"/>
  <c r="K4" i="1"/>
  <c r="N4" i="1" s="1"/>
  <c r="A4" i="1"/>
  <c r="Q21" i="1" a="1"/>
  <c r="Q21" i="1" s="1"/>
  <c r="Q20" i="1" a="1"/>
  <c r="Q20" i="1" s="1"/>
  <c r="Q19" i="1" a="1"/>
  <c r="Q19" i="1" s="1"/>
  <c r="Q14" i="1" a="1"/>
  <c r="Q14" i="1" s="1"/>
  <c r="Q13" i="1" a="1"/>
  <c r="Q13" i="1" s="1"/>
  <c r="Q12" i="1" a="1"/>
  <c r="Q12" i="1" s="1"/>
  <c r="Q11" i="1" a="1"/>
  <c r="Q11" i="1" s="1"/>
  <c r="Q10" i="1" a="1"/>
  <c r="Q10" i="1" s="1"/>
  <c r="Q9" i="1" a="1"/>
  <c r="Q9" i="1" s="1"/>
  <c r="Q5" i="1" a="1"/>
  <c r="Q5" i="1" s="1"/>
  <c r="Q149" i="1" a="1"/>
  <c r="Q149" i="1" s="1"/>
  <c r="Q148" i="1" a="1"/>
  <c r="Q148" i="1" s="1"/>
  <c r="Q22" i="1" a="1"/>
  <c r="Q22" i="1" s="1"/>
  <c r="O149" i="1" l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18" i="1"/>
  <c r="H149" i="1" l="1" a="1"/>
  <c r="H149" i="1" s="1"/>
  <c r="R149" i="1" s="1"/>
  <c r="H148" i="1" a="1"/>
  <c r="H148" i="1" s="1"/>
  <c r="R148" i="1" s="1"/>
  <c r="H22" i="1" a="1"/>
  <c r="H22" i="1" s="1"/>
  <c r="R22" i="1" s="1"/>
  <c r="H21" i="1" a="1"/>
  <c r="H21" i="1" s="1"/>
  <c r="R21" i="1" s="1"/>
  <c r="H20" i="1" a="1"/>
  <c r="H20" i="1" s="1"/>
  <c r="R20" i="1" s="1"/>
  <c r="H19" i="1" a="1"/>
  <c r="H19" i="1" s="1"/>
  <c r="R19" i="1" s="1"/>
  <c r="H14" i="1" a="1"/>
  <c r="H14" i="1" s="1"/>
  <c r="R14" i="1" s="1"/>
  <c r="H13" i="1" a="1"/>
  <c r="H13" i="1" s="1"/>
  <c r="R13" i="1" s="1"/>
  <c r="H12" i="1" a="1"/>
  <c r="H12" i="1" s="1"/>
  <c r="R12" i="1" s="1"/>
  <c r="H11" i="1" a="1"/>
  <c r="H11" i="1" s="1"/>
  <c r="R11" i="1" s="1"/>
  <c r="H10" i="1" a="1"/>
  <c r="H10" i="1" s="1"/>
  <c r="R10" i="1" s="1"/>
  <c r="H9" i="1" a="1"/>
  <c r="H9" i="1" s="1"/>
  <c r="R9" i="1" s="1"/>
  <c r="AS142" i="1"/>
  <c r="AS141" i="1"/>
  <c r="AS140" i="1"/>
  <c r="AS134" i="1"/>
  <c r="AS127" i="1"/>
  <c r="AS126" i="1"/>
  <c r="AS123" i="1"/>
  <c r="AS118" i="1"/>
  <c r="AS114" i="1"/>
  <c r="AS113" i="1"/>
  <c r="AS112" i="1"/>
  <c r="AS111" i="1"/>
  <c r="AS110" i="1"/>
  <c r="AS109" i="1"/>
  <c r="AS99" i="1"/>
  <c r="AS98" i="1"/>
  <c r="AS97" i="1"/>
  <c r="AS86" i="1"/>
  <c r="AS85" i="1"/>
  <c r="AS84" i="1"/>
  <c r="AS83" i="1"/>
  <c r="AS78" i="1"/>
  <c r="AS70" i="1"/>
  <c r="AS69" i="1"/>
  <c r="AS66" i="1"/>
  <c r="AS62" i="1"/>
  <c r="AS57" i="1"/>
  <c r="AS56" i="1"/>
  <c r="AS55" i="1"/>
  <c r="AS54" i="1"/>
  <c r="AS46" i="1"/>
  <c r="AS43" i="1"/>
  <c r="AS42" i="1"/>
  <c r="AS41" i="1"/>
  <c r="AS40" i="1"/>
  <c r="AS38" i="1"/>
  <c r="AS29" i="1"/>
  <c r="AS28" i="1"/>
  <c r="AS27" i="1"/>
  <c r="AS26" i="1"/>
  <c r="AS19" i="1"/>
  <c r="AS5" i="1"/>
  <c r="AK149" i="1" a="1"/>
  <c r="AK149" i="1" s="1"/>
  <c r="AK148" i="1" a="1"/>
  <c r="AK148" i="1" s="1"/>
  <c r="AK147" i="1" a="1"/>
  <c r="AK147" i="1" s="1"/>
  <c r="AK146" i="1" a="1"/>
  <c r="AK146" i="1" s="1"/>
  <c r="AK145" i="1" a="1"/>
  <c r="AK145" i="1" s="1"/>
  <c r="AK144" i="1" a="1"/>
  <c r="AK144" i="1" s="1"/>
  <c r="AK143" i="1" a="1"/>
  <c r="AK143" i="1" s="1"/>
  <c r="AK142" i="1" a="1"/>
  <c r="AK142" i="1" s="1"/>
  <c r="AK141" i="1" a="1"/>
  <c r="AK141" i="1" s="1"/>
  <c r="AK140" i="1" a="1"/>
  <c r="AK140" i="1" s="1"/>
  <c r="AK139" i="1" a="1"/>
  <c r="AK139" i="1" s="1"/>
  <c r="AK138" i="1" a="1"/>
  <c r="AK138" i="1" s="1"/>
  <c r="AK137" i="1" a="1"/>
  <c r="AK137" i="1" s="1"/>
  <c r="AK136" i="1" a="1"/>
  <c r="AK136" i="1" s="1"/>
  <c r="AK135" i="1" a="1"/>
  <c r="AK135" i="1" s="1"/>
  <c r="AK134" i="1" a="1"/>
  <c r="AK134" i="1" s="1"/>
  <c r="AK133" i="1" a="1"/>
  <c r="AK133" i="1" s="1"/>
  <c r="AK132" i="1" a="1"/>
  <c r="AK132" i="1" s="1"/>
  <c r="AK131" i="1" a="1"/>
  <c r="AK131" i="1" s="1"/>
  <c r="AK130" i="1" a="1"/>
  <c r="AK130" i="1" s="1"/>
  <c r="AK129" i="1" a="1"/>
  <c r="AK129" i="1" s="1"/>
  <c r="AK128" i="1" a="1"/>
  <c r="AK128" i="1" s="1"/>
  <c r="AK127" i="1" a="1"/>
  <c r="AK127" i="1" s="1"/>
  <c r="AK126" i="1" a="1"/>
  <c r="AK126" i="1" s="1"/>
  <c r="AK125" i="1" a="1"/>
  <c r="AK125" i="1" s="1"/>
  <c r="AK124" i="1" a="1"/>
  <c r="AK124" i="1" s="1"/>
  <c r="AK123" i="1" a="1"/>
  <c r="AK123" i="1" s="1"/>
  <c r="AK122" i="1" a="1"/>
  <c r="AK122" i="1" s="1"/>
  <c r="AK121" i="1" a="1"/>
  <c r="AK121" i="1" s="1"/>
  <c r="AK120" i="1" a="1"/>
  <c r="AK120" i="1" s="1"/>
  <c r="AK119" i="1" a="1"/>
  <c r="AK119" i="1" s="1"/>
  <c r="AK118" i="1" a="1"/>
  <c r="AK118" i="1" s="1"/>
  <c r="AK117" i="1" a="1"/>
  <c r="AK117" i="1" s="1"/>
  <c r="AK116" i="1" a="1"/>
  <c r="AK116" i="1" s="1"/>
  <c r="AK115" i="1" a="1"/>
  <c r="AK115" i="1" s="1"/>
  <c r="AK114" i="1" a="1"/>
  <c r="AK114" i="1" s="1"/>
  <c r="AK113" i="1" a="1"/>
  <c r="AK113" i="1" s="1"/>
  <c r="AK112" i="1" a="1"/>
  <c r="AK112" i="1" s="1"/>
  <c r="AK111" i="1" a="1"/>
  <c r="AK111" i="1" s="1"/>
  <c r="AK110" i="1" a="1"/>
  <c r="AK110" i="1" s="1"/>
  <c r="AK109" i="1" a="1"/>
  <c r="AK109" i="1" s="1"/>
  <c r="AK108" i="1" a="1"/>
  <c r="AK108" i="1" s="1"/>
  <c r="AK107" i="1" a="1"/>
  <c r="AK107" i="1" s="1"/>
  <c r="AK106" i="1" a="1"/>
  <c r="AK106" i="1" s="1"/>
  <c r="AK105" i="1" a="1"/>
  <c r="AK105" i="1" s="1"/>
  <c r="AK104" i="1" a="1"/>
  <c r="AK104" i="1" s="1"/>
  <c r="AK103" i="1" a="1"/>
  <c r="AK103" i="1" s="1"/>
  <c r="AK102" i="1" a="1"/>
  <c r="AK102" i="1" s="1"/>
  <c r="AK101" i="1" a="1"/>
  <c r="AK101" i="1" s="1"/>
  <c r="AK100" i="1" a="1"/>
  <c r="AK100" i="1" s="1"/>
  <c r="AK99" i="1" a="1"/>
  <c r="AK99" i="1" s="1"/>
  <c r="AK98" i="1" a="1"/>
  <c r="AK98" i="1" s="1"/>
  <c r="AK97" i="1" a="1"/>
  <c r="AK97" i="1" s="1"/>
  <c r="AK96" i="1" a="1"/>
  <c r="AK96" i="1" s="1"/>
  <c r="AK95" i="1" a="1"/>
  <c r="AK95" i="1" s="1"/>
  <c r="AK94" i="1" a="1"/>
  <c r="AK94" i="1" s="1"/>
  <c r="AK93" i="1" a="1"/>
  <c r="AK93" i="1" s="1"/>
  <c r="AK92" i="1" a="1"/>
  <c r="AK92" i="1" s="1"/>
  <c r="AK91" i="1" a="1"/>
  <c r="AK91" i="1" s="1"/>
  <c r="AK90" i="1" a="1"/>
  <c r="AK90" i="1" s="1"/>
  <c r="AK89" i="1" a="1"/>
  <c r="AK89" i="1" s="1"/>
  <c r="AK88" i="1" a="1"/>
  <c r="AK88" i="1" s="1"/>
  <c r="AK87" i="1" a="1"/>
  <c r="AK87" i="1" s="1"/>
  <c r="AK86" i="1" a="1"/>
  <c r="AK86" i="1" s="1"/>
  <c r="AK85" i="1" a="1"/>
  <c r="AK85" i="1" s="1"/>
  <c r="AK84" i="1" a="1"/>
  <c r="AK84" i="1" s="1"/>
  <c r="AK83" i="1" a="1"/>
  <c r="AK83" i="1" s="1"/>
  <c r="AK82" i="1" a="1"/>
  <c r="AK82" i="1" s="1"/>
  <c r="AK81" i="1" a="1"/>
  <c r="AK81" i="1" s="1"/>
  <c r="AK80" i="1" a="1"/>
  <c r="AK80" i="1" s="1"/>
  <c r="AK79" i="1" a="1"/>
  <c r="AK79" i="1" s="1"/>
  <c r="AK78" i="1" a="1"/>
  <c r="AK78" i="1" s="1"/>
  <c r="AK77" i="1" a="1"/>
  <c r="AK77" i="1" s="1"/>
  <c r="AK76" i="1" a="1"/>
  <c r="AK76" i="1" s="1"/>
  <c r="AK75" i="1" a="1"/>
  <c r="AK75" i="1" s="1"/>
  <c r="AK74" i="1" a="1"/>
  <c r="AK74" i="1" s="1"/>
  <c r="AK73" i="1" a="1"/>
  <c r="AK73" i="1" s="1"/>
  <c r="AK72" i="1" a="1"/>
  <c r="AK72" i="1" s="1"/>
  <c r="AK71" i="1" a="1"/>
  <c r="AK71" i="1" s="1"/>
  <c r="AK70" i="1" a="1"/>
  <c r="AK70" i="1" s="1"/>
  <c r="AK69" i="1" a="1"/>
  <c r="AK69" i="1" s="1"/>
  <c r="AK68" i="1" a="1"/>
  <c r="AK68" i="1" s="1"/>
  <c r="AK67" i="1" a="1"/>
  <c r="AK67" i="1" s="1"/>
  <c r="AK66" i="1" a="1"/>
  <c r="AK66" i="1" s="1"/>
  <c r="AK65" i="1" a="1"/>
  <c r="AK65" i="1" s="1"/>
  <c r="AK64" i="1" a="1"/>
  <c r="AK64" i="1" s="1"/>
  <c r="AK63" i="1" a="1"/>
  <c r="AK63" i="1" s="1"/>
  <c r="AK62" i="1" a="1"/>
  <c r="AK62" i="1" s="1"/>
  <c r="AK61" i="1" a="1"/>
  <c r="AK61" i="1" s="1"/>
  <c r="AK60" i="1" a="1"/>
  <c r="AK60" i="1" s="1"/>
  <c r="AK59" i="1" a="1"/>
  <c r="AK59" i="1" s="1"/>
  <c r="AK58" i="1" a="1"/>
  <c r="AK58" i="1" s="1"/>
  <c r="AK57" i="1" a="1"/>
  <c r="AK57" i="1" s="1"/>
  <c r="AK56" i="1" a="1"/>
  <c r="AK56" i="1" s="1"/>
  <c r="AK55" i="1" a="1"/>
  <c r="AK55" i="1" s="1"/>
  <c r="AK54" i="1" a="1"/>
  <c r="AK54" i="1" s="1"/>
  <c r="AK53" i="1" a="1"/>
  <c r="AK53" i="1" s="1"/>
  <c r="AK52" i="1" a="1"/>
  <c r="AK52" i="1" s="1"/>
  <c r="AK51" i="1" a="1"/>
  <c r="AK51" i="1" s="1"/>
  <c r="AK50" i="1" a="1"/>
  <c r="AK50" i="1" s="1"/>
  <c r="AK49" i="1" a="1"/>
  <c r="AK49" i="1" s="1"/>
  <c r="AK48" i="1" a="1"/>
  <c r="AK48" i="1" s="1"/>
  <c r="AK47" i="1" a="1"/>
  <c r="AK47" i="1" s="1"/>
  <c r="AK46" i="1" a="1"/>
  <c r="AK46" i="1" s="1"/>
  <c r="AK45" i="1" a="1"/>
  <c r="AK45" i="1" s="1"/>
  <c r="AK44" i="1" a="1"/>
  <c r="AK44" i="1" s="1"/>
  <c r="AK43" i="1" a="1"/>
  <c r="AK43" i="1" s="1"/>
  <c r="AK42" i="1" a="1"/>
  <c r="AK42" i="1" s="1"/>
  <c r="AK41" i="1" a="1"/>
  <c r="AK41" i="1" s="1"/>
  <c r="AK40" i="1" a="1"/>
  <c r="AK40" i="1" s="1"/>
  <c r="AK39" i="1" a="1"/>
  <c r="AK39" i="1" s="1"/>
  <c r="AK38" i="1" a="1"/>
  <c r="AK38" i="1" s="1"/>
  <c r="AK37" i="1" a="1"/>
  <c r="AK37" i="1" s="1"/>
  <c r="AK36" i="1" a="1"/>
  <c r="AK36" i="1" s="1"/>
  <c r="AK35" i="1" a="1"/>
  <c r="AK35" i="1" s="1"/>
  <c r="AK34" i="1" a="1"/>
  <c r="AK34" i="1" s="1"/>
  <c r="AK33" i="1" a="1"/>
  <c r="AK33" i="1" s="1"/>
  <c r="AK32" i="1" a="1"/>
  <c r="AK32" i="1" s="1"/>
  <c r="AK31" i="1" a="1"/>
  <c r="AK31" i="1" s="1"/>
  <c r="AK30" i="1" a="1"/>
  <c r="AK30" i="1" s="1"/>
  <c r="AK29" i="1" a="1"/>
  <c r="AK29" i="1" s="1"/>
  <c r="AK28" i="1" a="1"/>
  <c r="AK28" i="1" s="1"/>
  <c r="AK27" i="1" a="1"/>
  <c r="AK27" i="1" s="1"/>
  <c r="AK26" i="1" a="1"/>
  <c r="AK26" i="1" s="1"/>
  <c r="AK22" i="1" a="1"/>
  <c r="AK22" i="1" s="1"/>
  <c r="AK21" i="1" a="1"/>
  <c r="AK21" i="1" s="1"/>
  <c r="AK20" i="1" a="1"/>
  <c r="AK20" i="1" s="1"/>
  <c r="AK19" i="1" a="1"/>
  <c r="AK19" i="1" s="1"/>
  <c r="AK18" i="1" a="1"/>
  <c r="AK18" i="1" s="1"/>
  <c r="AK14" i="1" a="1"/>
  <c r="AK14" i="1" s="1"/>
  <c r="AK13" i="1" a="1"/>
  <c r="AK13" i="1" s="1"/>
  <c r="AK12" i="1" a="1"/>
  <c r="AK12" i="1" s="1"/>
  <c r="AK11" i="1" a="1"/>
  <c r="AK11" i="1" s="1"/>
  <c r="AK10" i="1" a="1"/>
  <c r="AK10" i="1" s="1"/>
  <c r="AK9" i="1" a="1"/>
  <c r="AK9" i="1" s="1"/>
  <c r="AK5" i="1" a="1"/>
  <c r="AK5" i="1" s="1"/>
  <c r="AK3" i="1" a="1"/>
  <c r="AK3" i="1" s="1"/>
  <c r="BD149" i="1"/>
  <c r="BD148" i="1"/>
  <c r="BD147" i="1"/>
  <c r="BD146" i="1"/>
  <c r="BD145" i="1"/>
  <c r="BD144" i="1"/>
  <c r="BD143" i="1"/>
  <c r="BD142" i="1"/>
  <c r="BD141" i="1"/>
  <c r="BD140" i="1"/>
  <c r="BD139" i="1"/>
  <c r="BD138" i="1"/>
  <c r="BD137" i="1"/>
  <c r="BD136" i="1"/>
  <c r="BD135" i="1"/>
  <c r="BD134" i="1"/>
  <c r="BD133" i="1"/>
  <c r="BD132" i="1"/>
  <c r="BD131" i="1"/>
  <c r="BD130" i="1"/>
  <c r="BD129" i="1"/>
  <c r="BD128" i="1"/>
  <c r="BD127" i="1"/>
  <c r="BD126" i="1"/>
  <c r="BD125" i="1"/>
  <c r="BD124" i="1"/>
  <c r="BD123" i="1"/>
  <c r="BD122" i="1"/>
  <c r="BD121" i="1"/>
  <c r="BD120" i="1"/>
  <c r="BD119" i="1"/>
  <c r="BD118" i="1"/>
  <c r="BD117" i="1"/>
  <c r="BD116" i="1"/>
  <c r="BD115" i="1"/>
  <c r="BD114" i="1"/>
  <c r="BD113" i="1"/>
  <c r="BD112" i="1"/>
  <c r="BD111" i="1"/>
  <c r="BD110" i="1"/>
  <c r="BD109" i="1"/>
  <c r="BD108" i="1"/>
  <c r="BD107" i="1"/>
  <c r="BD106" i="1"/>
  <c r="BD105" i="1"/>
  <c r="BD104" i="1"/>
  <c r="BD103" i="1"/>
  <c r="BD102" i="1"/>
  <c r="BD101" i="1"/>
  <c r="BD100" i="1"/>
  <c r="BD99" i="1"/>
  <c r="BD98" i="1"/>
  <c r="BD97" i="1"/>
  <c r="BD96" i="1"/>
  <c r="BD95" i="1"/>
  <c r="BD94" i="1"/>
  <c r="BD93" i="1"/>
  <c r="BD92" i="1"/>
  <c r="BD91" i="1"/>
  <c r="BD90" i="1"/>
  <c r="BD89" i="1"/>
  <c r="BD88" i="1"/>
  <c r="BD87" i="1"/>
  <c r="BD86" i="1"/>
  <c r="BD85" i="1"/>
  <c r="BD84" i="1"/>
  <c r="BD83" i="1"/>
  <c r="BD82" i="1"/>
  <c r="BD81" i="1"/>
  <c r="BD80" i="1"/>
  <c r="BD79" i="1"/>
  <c r="BD78" i="1"/>
  <c r="BD77" i="1"/>
  <c r="BD76" i="1"/>
  <c r="BD75" i="1"/>
  <c r="BD74" i="1"/>
  <c r="BD73" i="1"/>
  <c r="BD72" i="1"/>
  <c r="BD71" i="1"/>
  <c r="BD70" i="1"/>
  <c r="BD69" i="1"/>
  <c r="BD68" i="1"/>
  <c r="BD67" i="1"/>
  <c r="BD66" i="1"/>
  <c r="BD65" i="1"/>
  <c r="BD64" i="1"/>
  <c r="BD63" i="1"/>
  <c r="BD62" i="1"/>
  <c r="BD61" i="1"/>
  <c r="BD60" i="1"/>
  <c r="BD59" i="1"/>
  <c r="BD58" i="1"/>
  <c r="BD57" i="1"/>
  <c r="BD56" i="1"/>
  <c r="BD55" i="1"/>
  <c r="BD54" i="1"/>
  <c r="BD53" i="1"/>
  <c r="BD52" i="1"/>
  <c r="BD51" i="1"/>
  <c r="BD50" i="1"/>
  <c r="BD49" i="1"/>
  <c r="BD48" i="1"/>
  <c r="BD47" i="1"/>
  <c r="BD46" i="1"/>
  <c r="BD45" i="1"/>
  <c r="BD44" i="1"/>
  <c r="BD43" i="1"/>
  <c r="BD42" i="1"/>
  <c r="BD41" i="1"/>
  <c r="BD40" i="1"/>
  <c r="BD39" i="1"/>
  <c r="BD38" i="1"/>
  <c r="BD37" i="1"/>
  <c r="BD36" i="1"/>
  <c r="BD35" i="1"/>
  <c r="BD34" i="1"/>
  <c r="BD33" i="1"/>
  <c r="BD32" i="1"/>
  <c r="BD31" i="1"/>
  <c r="BD30" i="1"/>
  <c r="BD29" i="1"/>
  <c r="BD28" i="1"/>
  <c r="BD27" i="1"/>
  <c r="BD26" i="1"/>
  <c r="BD22" i="1"/>
  <c r="BD21" i="1"/>
  <c r="BD20" i="1"/>
  <c r="BD19" i="1"/>
  <c r="BD18" i="1"/>
  <c r="BD14" i="1"/>
  <c r="BD13" i="1"/>
  <c r="BD12" i="1"/>
  <c r="BD11" i="1"/>
  <c r="BD10" i="1"/>
  <c r="BD9" i="1"/>
  <c r="BD5" i="1"/>
  <c r="AU149" i="1"/>
  <c r="AS149" i="1"/>
  <c r="AU148" i="1"/>
  <c r="AS148" i="1"/>
  <c r="AU147" i="1"/>
  <c r="AS147" i="1"/>
  <c r="AU146" i="1"/>
  <c r="AS146" i="1"/>
  <c r="AU145" i="1"/>
  <c r="AS145" i="1"/>
  <c r="AU144" i="1"/>
  <c r="AS144" i="1"/>
  <c r="AU143" i="1"/>
  <c r="AS143" i="1"/>
  <c r="AU142" i="1"/>
  <c r="AU141" i="1"/>
  <c r="AU140" i="1"/>
  <c r="AU139" i="1"/>
  <c r="AS139" i="1"/>
  <c r="AU138" i="1"/>
  <c r="AS138" i="1"/>
  <c r="AU137" i="1"/>
  <c r="AS137" i="1"/>
  <c r="AU136" i="1"/>
  <c r="AS136" i="1"/>
  <c r="AU135" i="1"/>
  <c r="AS135" i="1"/>
  <c r="AU134" i="1"/>
  <c r="AU133" i="1"/>
  <c r="AS133" i="1"/>
  <c r="AU132" i="1"/>
  <c r="AS132" i="1"/>
  <c r="AU131" i="1"/>
  <c r="AS131" i="1"/>
  <c r="AU130" i="1"/>
  <c r="AS130" i="1"/>
  <c r="AU129" i="1"/>
  <c r="AS129" i="1"/>
  <c r="AU128" i="1"/>
  <c r="AS128" i="1"/>
  <c r="AU127" i="1"/>
  <c r="AU126" i="1"/>
  <c r="AU125" i="1"/>
  <c r="AS125" i="1"/>
  <c r="AU124" i="1"/>
  <c r="AS124" i="1"/>
  <c r="AU123" i="1"/>
  <c r="AU122" i="1"/>
  <c r="AS122" i="1"/>
  <c r="AU121" i="1"/>
  <c r="AS121" i="1"/>
  <c r="AU120" i="1"/>
  <c r="AS120" i="1"/>
  <c r="AU119" i="1"/>
  <c r="AS119" i="1"/>
  <c r="AU118" i="1"/>
  <c r="AU117" i="1"/>
  <c r="AS117" i="1"/>
  <c r="AU116" i="1"/>
  <c r="AS116" i="1"/>
  <c r="AU115" i="1"/>
  <c r="AS115" i="1"/>
  <c r="AU114" i="1"/>
  <c r="AU113" i="1"/>
  <c r="AU112" i="1"/>
  <c r="AU111" i="1"/>
  <c r="AU110" i="1"/>
  <c r="AU109" i="1"/>
  <c r="AU108" i="1"/>
  <c r="AS108" i="1"/>
  <c r="AU107" i="1"/>
  <c r="AS107" i="1"/>
  <c r="AU106" i="1"/>
  <c r="AS106" i="1"/>
  <c r="AU105" i="1"/>
  <c r="AS105" i="1"/>
  <c r="AU104" i="1"/>
  <c r="AS104" i="1"/>
  <c r="AU103" i="1"/>
  <c r="AS103" i="1"/>
  <c r="AU102" i="1"/>
  <c r="AS102" i="1"/>
  <c r="AU101" i="1"/>
  <c r="AS101" i="1"/>
  <c r="AU100" i="1"/>
  <c r="AS100" i="1"/>
  <c r="AU99" i="1"/>
  <c r="AU98" i="1"/>
  <c r="AU97" i="1"/>
  <c r="AU96" i="1"/>
  <c r="AS96" i="1"/>
  <c r="AU95" i="1"/>
  <c r="AS95" i="1"/>
  <c r="AU94" i="1"/>
  <c r="AS94" i="1"/>
  <c r="AU93" i="1"/>
  <c r="AS93" i="1"/>
  <c r="AU92" i="1"/>
  <c r="AS92" i="1"/>
  <c r="AU91" i="1"/>
  <c r="AS91" i="1"/>
  <c r="AU90" i="1"/>
  <c r="AS90" i="1"/>
  <c r="AU89" i="1"/>
  <c r="AS89" i="1"/>
  <c r="AU88" i="1"/>
  <c r="AS88" i="1"/>
  <c r="AU87" i="1"/>
  <c r="AS87" i="1"/>
  <c r="AU86" i="1"/>
  <c r="AU85" i="1"/>
  <c r="AU84" i="1"/>
  <c r="AU83" i="1"/>
  <c r="AU82" i="1"/>
  <c r="AS82" i="1"/>
  <c r="AU81" i="1"/>
  <c r="AS81" i="1"/>
  <c r="AU80" i="1"/>
  <c r="AS80" i="1"/>
  <c r="AU79" i="1"/>
  <c r="AS79" i="1"/>
  <c r="AU78" i="1"/>
  <c r="AU77" i="1"/>
  <c r="AS77" i="1"/>
  <c r="AU76" i="1"/>
  <c r="AS76" i="1"/>
  <c r="AU75" i="1"/>
  <c r="AS75" i="1"/>
  <c r="AU74" i="1"/>
  <c r="AS74" i="1"/>
  <c r="AU73" i="1"/>
  <c r="AS73" i="1"/>
  <c r="AU72" i="1"/>
  <c r="AS72" i="1"/>
  <c r="AU71" i="1"/>
  <c r="AS71" i="1"/>
  <c r="AU70" i="1"/>
  <c r="AU69" i="1"/>
  <c r="AU68" i="1"/>
  <c r="AS68" i="1"/>
  <c r="AU67" i="1"/>
  <c r="AS67" i="1"/>
  <c r="AU66" i="1"/>
  <c r="AU65" i="1"/>
  <c r="AS65" i="1"/>
  <c r="AU64" i="1"/>
  <c r="AS64" i="1"/>
  <c r="AU63" i="1"/>
  <c r="AS63" i="1"/>
  <c r="AU62" i="1"/>
  <c r="AU61" i="1"/>
  <c r="AS61" i="1"/>
  <c r="AU60" i="1"/>
  <c r="AS60" i="1"/>
  <c r="AU59" i="1"/>
  <c r="AS59" i="1"/>
  <c r="AU58" i="1"/>
  <c r="AS58" i="1"/>
  <c r="AU57" i="1"/>
  <c r="AU56" i="1"/>
  <c r="AU55" i="1"/>
  <c r="AU54" i="1"/>
  <c r="AU53" i="1"/>
  <c r="AS53" i="1"/>
  <c r="AU52" i="1"/>
  <c r="AS52" i="1"/>
  <c r="AU51" i="1"/>
  <c r="AS51" i="1"/>
  <c r="AU50" i="1"/>
  <c r="AS50" i="1"/>
  <c r="AU49" i="1"/>
  <c r="AS49" i="1"/>
  <c r="AU48" i="1"/>
  <c r="AS48" i="1"/>
  <c r="AU47" i="1"/>
  <c r="AS47" i="1"/>
  <c r="AU46" i="1"/>
  <c r="AU45" i="1"/>
  <c r="AS45" i="1"/>
  <c r="AU44" i="1"/>
  <c r="AS44" i="1"/>
  <c r="AU43" i="1"/>
  <c r="AU42" i="1"/>
  <c r="AU41" i="1"/>
  <c r="AU40" i="1"/>
  <c r="AU39" i="1"/>
  <c r="AS39" i="1"/>
  <c r="AU38" i="1"/>
  <c r="AU37" i="1"/>
  <c r="AS37" i="1"/>
  <c r="AU36" i="1"/>
  <c r="AS36" i="1"/>
  <c r="AU35" i="1"/>
  <c r="AS35" i="1"/>
  <c r="AU34" i="1"/>
  <c r="AS34" i="1"/>
  <c r="AU33" i="1"/>
  <c r="AS33" i="1"/>
  <c r="AU32" i="1"/>
  <c r="AS32" i="1"/>
  <c r="AU31" i="1"/>
  <c r="AS31" i="1"/>
  <c r="AU30" i="1"/>
  <c r="AS30" i="1"/>
  <c r="AU29" i="1"/>
  <c r="AU28" i="1"/>
  <c r="AU27" i="1"/>
  <c r="AU26" i="1"/>
  <c r="AU22" i="1"/>
  <c r="AS22" i="1"/>
  <c r="AU21" i="1"/>
  <c r="AS21" i="1"/>
  <c r="AU20" i="1"/>
  <c r="AS20" i="1"/>
  <c r="AU19" i="1"/>
  <c r="AU18" i="1"/>
  <c r="AS18" i="1"/>
  <c r="AU14" i="1"/>
  <c r="AS14" i="1"/>
  <c r="AU13" i="1"/>
  <c r="AS13" i="1"/>
  <c r="AU12" i="1"/>
  <c r="AS12" i="1"/>
  <c r="AU11" i="1"/>
  <c r="AS11" i="1"/>
  <c r="AU10" i="1"/>
  <c r="AS10" i="1"/>
  <c r="AU9" i="1"/>
  <c r="AS9" i="1"/>
  <c r="AU5" i="1"/>
  <c r="AF149" i="1"/>
  <c r="AF148" i="1"/>
  <c r="AF147" i="1"/>
  <c r="AF146" i="1"/>
  <c r="AF145" i="1"/>
  <c r="AF144" i="1"/>
  <c r="AF143" i="1"/>
  <c r="AF142" i="1"/>
  <c r="AF141" i="1"/>
  <c r="AF140" i="1"/>
  <c r="AF139" i="1"/>
  <c r="AF138" i="1"/>
  <c r="AF137" i="1"/>
  <c r="AF136" i="1"/>
  <c r="AF135" i="1"/>
  <c r="AF134" i="1"/>
  <c r="AF133" i="1"/>
  <c r="AF132" i="1"/>
  <c r="AF131" i="1"/>
  <c r="AF130" i="1"/>
  <c r="AF129" i="1"/>
  <c r="AF128" i="1"/>
  <c r="AF127" i="1"/>
  <c r="AF126" i="1"/>
  <c r="AF125" i="1"/>
  <c r="AF124" i="1"/>
  <c r="AF123" i="1"/>
  <c r="AF122" i="1"/>
  <c r="AF121" i="1"/>
  <c r="AF120" i="1"/>
  <c r="AF119" i="1"/>
  <c r="AF118" i="1"/>
  <c r="AF117" i="1"/>
  <c r="AF116" i="1"/>
  <c r="AF115" i="1"/>
  <c r="AF114" i="1"/>
  <c r="AF113" i="1"/>
  <c r="AF112" i="1"/>
  <c r="AF111" i="1"/>
  <c r="AF110" i="1"/>
  <c r="AF109" i="1"/>
  <c r="AF108" i="1"/>
  <c r="AF107" i="1"/>
  <c r="AF106" i="1"/>
  <c r="AF105" i="1"/>
  <c r="AF104" i="1"/>
  <c r="AF103" i="1"/>
  <c r="AF102" i="1"/>
  <c r="AF101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2" i="1"/>
  <c r="AF21" i="1"/>
  <c r="AF20" i="1"/>
  <c r="AF19" i="1"/>
  <c r="AF18" i="1"/>
  <c r="AF14" i="1"/>
  <c r="AF13" i="1"/>
  <c r="AF12" i="1"/>
  <c r="AF11" i="1"/>
  <c r="AF10" i="1"/>
  <c r="AF9" i="1"/>
  <c r="AF5" i="1"/>
  <c r="N149" i="1" l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18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2" i="1"/>
  <c r="N22" i="1" s="1"/>
  <c r="K21" i="1"/>
  <c r="N21" i="1" s="1"/>
  <c r="K20" i="1"/>
  <c r="N20" i="1" s="1"/>
  <c r="K19" i="1"/>
  <c r="N19" i="1" s="1"/>
  <c r="K18" i="1"/>
  <c r="K14" i="1"/>
  <c r="N14" i="1" s="1"/>
  <c r="K13" i="1"/>
  <c r="N13" i="1" s="1"/>
  <c r="K12" i="1"/>
  <c r="N12" i="1" s="1"/>
  <c r="K11" i="1"/>
  <c r="N11" i="1" s="1"/>
  <c r="K10" i="1"/>
  <c r="N10" i="1" s="1"/>
  <c r="K9" i="1"/>
  <c r="N9" i="1" s="1"/>
  <c r="K5" i="1"/>
  <c r="N5" i="1" s="1"/>
  <c r="K3" i="1"/>
  <c r="N3" i="1" s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S3" i="1"/>
  <c r="M5" i="1"/>
  <c r="L5" i="1"/>
  <c r="A5" i="1"/>
  <c r="M47" i="1"/>
  <c r="L47" i="1"/>
  <c r="A47" i="1"/>
  <c r="M46" i="1"/>
  <c r="L46" i="1"/>
  <c r="A46" i="1"/>
  <c r="M45" i="1"/>
  <c r="L45" i="1"/>
  <c r="A45" i="1"/>
  <c r="BD3" i="1"/>
  <c r="AU3" i="1"/>
  <c r="M57" i="1"/>
  <c r="L57" i="1"/>
  <c r="M56" i="1"/>
  <c r="L56" i="1"/>
  <c r="M55" i="1"/>
  <c r="L55" i="1"/>
  <c r="M54" i="1"/>
  <c r="L54" i="1"/>
  <c r="M53" i="1"/>
  <c r="L53" i="1"/>
  <c r="M52" i="1"/>
  <c r="L52" i="1"/>
  <c r="M51" i="1"/>
  <c r="L51" i="1"/>
  <c r="M50" i="1"/>
  <c r="L50" i="1"/>
  <c r="M49" i="1"/>
  <c r="L49" i="1"/>
  <c r="M48" i="1"/>
  <c r="L48" i="1"/>
  <c r="M44" i="1"/>
  <c r="L44" i="1"/>
  <c r="M43" i="1"/>
  <c r="L43" i="1"/>
  <c r="M42" i="1"/>
  <c r="L42" i="1"/>
  <c r="M41" i="1"/>
  <c r="L41" i="1"/>
  <c r="M40" i="1"/>
  <c r="L40" i="1"/>
  <c r="M39" i="1"/>
  <c r="L39" i="1"/>
  <c r="M38" i="1"/>
  <c r="L38" i="1"/>
  <c r="M37" i="1"/>
  <c r="L37" i="1"/>
  <c r="M36" i="1"/>
  <c r="L36" i="1"/>
  <c r="M35" i="1"/>
  <c r="L35" i="1"/>
  <c r="M34" i="1"/>
  <c r="L34" i="1"/>
  <c r="M33" i="1"/>
  <c r="L33" i="1"/>
  <c r="M32" i="1"/>
  <c r="L32" i="1"/>
  <c r="M31" i="1"/>
  <c r="L31" i="1"/>
  <c r="M30" i="1"/>
  <c r="L30" i="1"/>
  <c r="M29" i="1"/>
  <c r="L29" i="1"/>
  <c r="M28" i="1"/>
  <c r="L28" i="1"/>
  <c r="M27" i="1"/>
  <c r="L27" i="1"/>
  <c r="M26" i="1"/>
  <c r="L26" i="1"/>
  <c r="M22" i="1"/>
  <c r="L22" i="1"/>
  <c r="M21" i="1"/>
  <c r="L21" i="1"/>
  <c r="M20" i="1"/>
  <c r="L20" i="1"/>
  <c r="M19" i="1"/>
  <c r="L19" i="1"/>
  <c r="M18" i="1"/>
  <c r="L18" i="1"/>
  <c r="M14" i="1"/>
  <c r="L14" i="1"/>
  <c r="M13" i="1"/>
  <c r="L13" i="1"/>
  <c r="M12" i="1"/>
  <c r="L12" i="1"/>
  <c r="M11" i="1"/>
  <c r="L11" i="1"/>
  <c r="M10" i="1"/>
  <c r="L10" i="1"/>
  <c r="M9" i="1"/>
  <c r="L9" i="1"/>
  <c r="M3" i="1"/>
  <c r="L3" i="1"/>
  <c r="A57" i="1"/>
  <c r="A56" i="1"/>
  <c r="A55" i="1"/>
  <c r="A54" i="1"/>
  <c r="A53" i="1"/>
  <c r="A52" i="1"/>
  <c r="A51" i="1"/>
  <c r="A50" i="1"/>
  <c r="A49" i="1"/>
  <c r="A48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2" i="1"/>
  <c r="A21" i="1"/>
  <c r="A20" i="1"/>
  <c r="A19" i="1"/>
  <c r="A18" i="1"/>
  <c r="A14" i="1"/>
  <c r="A13" i="1"/>
  <c r="A12" i="1"/>
  <c r="A11" i="1"/>
  <c r="A10" i="1"/>
  <c r="A9" i="1"/>
  <c r="A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芦原 顕一</author>
  </authors>
  <commentList>
    <comment ref="A2" authorId="0" shapeId="0" xr:uid="{272D324D-8EB2-41A3-ACA6-1A0B5B69C29E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WG01固定</t>
        </r>
      </text>
    </comment>
    <comment ref="B2" authorId="0" shapeId="0" xr:uid="{4D1AE1D5-BA85-48BA-85E7-457D276FB814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品目CDマスタのコードを貼付</t>
        </r>
      </text>
    </comment>
    <comment ref="C2" authorId="0" shapeId="0" xr:uid="{3A5A4F9A-F3D9-40A4-AAD9-A83D44ACB873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本書作成時に使用するだけで本番は使用しない</t>
        </r>
      </text>
    </comment>
    <comment ref="G2" authorId="0" shapeId="0" xr:uid="{98BB854A-B2FD-4200-B551-B3CD40E3813B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製造場所マスタor
製造委託事業所マスタ参照
社内：WP〇〇
社外：L〇〇
購入：不要</t>
        </r>
      </text>
    </comment>
    <comment ref="H2" authorId="0" shapeId="0" xr:uid="{D3948ABB-FA99-4D16-9BE0-6A2BB2960D31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購入品のみ記載
発注先CDは５桁必須
144＝NG
00144=OK</t>
        </r>
      </text>
    </comment>
    <comment ref="K2" authorId="0" shapeId="0" xr:uid="{812284DB-E3E8-42A7-91C5-816DBA7CF5C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11：固定
製造場所CD
品目CD下５桁(本番は製番)</t>
        </r>
      </text>
    </comment>
    <comment ref="L2" authorId="0" shapeId="0" xr:uid="{09543150-3DAD-4F5C-9162-D2CEC58BB04B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2001/01/01固定</t>
        </r>
      </text>
    </comment>
    <comment ref="M2" authorId="0" shapeId="0" xr:uid="{1E4FD4CA-EC6A-4509-8166-D245A8E15C83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2199/12/31固定</t>
        </r>
      </text>
    </comment>
    <comment ref="N2" authorId="0" shapeId="0" xr:uid="{79D5DB53-A5E9-4E90-8499-45B1E1B174A5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社内製造のみ記載
構成パタンと同じ</t>
        </r>
      </text>
    </comment>
    <comment ref="O2" authorId="0" shapeId="0" xr:uid="{421C3DAD-D45C-4558-B015-AF48B9A386CA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社内製造、社外製造の場合記載</t>
        </r>
      </text>
    </comment>
    <comment ref="Q2" authorId="0" shapeId="0" xr:uid="{87BD85E6-D811-47FA-A4CC-B0AE533BBDC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社外製造、購入品のみ記載</t>
        </r>
      </text>
    </comment>
    <comment ref="AA2" authorId="0" shapeId="0" xr:uid="{175C0845-4BD1-4C52-8F4E-B9FB5B18F8D9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最小ロット数設定</t>
        </r>
      </text>
    </comment>
    <comment ref="AB2" authorId="0" shapeId="0" xr:uid="{42A1F919-86FC-4255-96CF-862EF82FDC7C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刻みロット数設定</t>
        </r>
      </text>
    </comment>
    <comment ref="AC2" authorId="0" shapeId="0" xr:uid="{CDB36EFF-32EC-4B48-BB56-CBB6949AE6AC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最大ロット数設定</t>
        </r>
      </text>
    </comment>
    <comment ref="AF2" authorId="0" shapeId="0" xr:uid="{CFE0D149-70B5-4E25-9DB5-D95E0090EE7F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基本１
同一品目で複数社の場合設定必要
</t>
        </r>
      </text>
    </comment>
    <comment ref="AJ2" authorId="0" shapeId="0" xr:uid="{B1AEA428-214E-4D86-91ED-5A9C87F0E7E1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ロット管理する品目は必要(Plate,BPHE本体等)
1：製造指図時、3：出来高実績時</t>
        </r>
      </text>
    </comment>
    <comment ref="AK2" authorId="0" shapeId="0" xr:uid="{D8D6E9DE-FD35-4C41-9312-DBBD75CDF12C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自動払い出し
社内、社外製造品：1
購入品：0</t>
        </r>
      </text>
    </comment>
    <comment ref="AS2" authorId="0" shapeId="0" xr:uid="{F4DE6BB4-220E-4F06-A95E-40AB217A261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社外製造、購入品のみ１</t>
        </r>
      </text>
    </comment>
    <comment ref="AU2" authorId="0" shapeId="0" xr:uid="{D73BC747-C521-4B1B-8F5B-50E6D754633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MRP対象：0
発注点発注対象：1</t>
        </r>
      </text>
    </comment>
    <comment ref="AZ2" authorId="0" shapeId="0" xr:uid="{49427783-4097-44C6-AFC5-B12551B0EEAE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手配NOが必要な場合のみ製番記載</t>
        </r>
      </text>
    </comment>
    <comment ref="BD2" authorId="0" shapeId="0" xr:uid="{DBC212A5-B035-4E04-9EE5-B31B6E05B454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MRP対象：0
MRP対象外：1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<sst xmlns="http://schemas.openxmlformats.org/spreadsheetml/2006/main" count="1394" uniqueCount="354">
  <si>
    <t>itm_cd</t>
  </si>
  <si>
    <t>itm_sub1</t>
  </si>
  <si>
    <t>itm_sub2</t>
  </si>
  <si>
    <t>itm_sub3</t>
  </si>
  <si>
    <t>mfg_loc_cd</t>
  </si>
  <si>
    <t>sppl_cd</t>
  </si>
  <si>
    <t>maker_cd</t>
  </si>
  <si>
    <t>rqst_loc_cd</t>
  </si>
  <si>
    <t>st_dt</t>
  </si>
  <si>
    <t>end_dt</t>
  </si>
  <si>
    <t>oper_ptn</t>
  </si>
  <si>
    <t>mfg_lt</t>
  </si>
  <si>
    <t>mfg_lt_add_qty</t>
  </si>
  <si>
    <t>purc_lt</t>
  </si>
  <si>
    <t>purc_lt_add_qty</t>
  </si>
  <si>
    <t>accpt_insp_lt</t>
  </si>
  <si>
    <t>buf_lt</t>
  </si>
  <si>
    <t>ord_fix_pd</t>
  </si>
  <si>
    <t>sz_day_week_typ</t>
  </si>
  <si>
    <t>sz_week</t>
  </si>
  <si>
    <t>lot_sz_pd</t>
  </si>
  <si>
    <t>min_lot_qty</t>
  </si>
  <si>
    <t>batch_lot_qty</t>
  </si>
  <si>
    <t>max_lot_qty</t>
  </si>
  <si>
    <t>max_order</t>
  </si>
  <si>
    <t>prio</t>
  </si>
  <si>
    <t>order_ratio</t>
  </si>
  <si>
    <t>yield_schd_qty</t>
  </si>
  <si>
    <t>mfg_inst_qty</t>
  </si>
  <si>
    <t>fxd_rqmt_qty</t>
  </si>
  <si>
    <t>lot_issue_typ</t>
  </si>
  <si>
    <t>bkf_flg</t>
  </si>
  <si>
    <t>ln_stk_flg</t>
  </si>
  <si>
    <t>pre_po_tgt_flg</t>
  </si>
  <si>
    <t>inst_rec_issue_flg</t>
  </si>
  <si>
    <t>no_mfg_aprv_flg</t>
  </si>
  <si>
    <t>itm_lower_yield</t>
  </si>
  <si>
    <t>itm_std_yield</t>
  </si>
  <si>
    <t>itm_upper_yield</t>
  </si>
  <si>
    <t>rqst_wg_cd</t>
  </si>
  <si>
    <t>po_batch_flg</t>
  </si>
  <si>
    <t>rsrc_std_qty1</t>
  </si>
  <si>
    <t>rsrc_unit_qty1</t>
  </si>
  <si>
    <t>rsrc_std_qty2</t>
  </si>
  <si>
    <t>rsrc_unit_qty2</t>
  </si>
  <si>
    <t>sno1</t>
  </si>
  <si>
    <t>sno2</t>
  </si>
  <si>
    <t>sno3</t>
  </si>
  <si>
    <t>sno4</t>
  </si>
  <si>
    <t>not_mrp_flg</t>
  </si>
  <si>
    <t>cost_ratio</t>
  </si>
  <si>
    <t>memo1</t>
  </si>
  <si>
    <t>memo2</t>
  </si>
  <si>
    <t>memo3</t>
  </si>
  <si>
    <t>del_flg</t>
  </si>
  <si>
    <t>purc_basis_typ</t>
  </si>
  <si>
    <t>ワーキンググループＣＤ</t>
  </si>
  <si>
    <t>品目ＣＤ</t>
  </si>
  <si>
    <t>枝番１</t>
  </si>
  <si>
    <t>枝番２</t>
  </si>
  <si>
    <t>枝番３</t>
  </si>
  <si>
    <t>製造場所ＣＤ</t>
  </si>
  <si>
    <t>発注先ＣＤ</t>
  </si>
  <si>
    <t>メーカＣＤ</t>
  </si>
  <si>
    <t>依頼先場所ＣＤ</t>
  </si>
  <si>
    <t>構成パタン</t>
  </si>
  <si>
    <t>適用開始日</t>
  </si>
  <si>
    <t>適用終了日</t>
  </si>
  <si>
    <t>工程パタン</t>
  </si>
  <si>
    <t>製造ＬＴ</t>
  </si>
  <si>
    <t>製造ＬＴ加算基準数量</t>
  </si>
  <si>
    <t>購入ＬＴ</t>
  </si>
  <si>
    <t>購入ＬＴ加算基準数量</t>
  </si>
  <si>
    <t>検収ＬＴ</t>
  </si>
  <si>
    <t>安全ＬＴ</t>
  </si>
  <si>
    <t>オーダ自動確定期間（日）</t>
  </si>
  <si>
    <t>曜日まとめ区分</t>
  </si>
  <si>
    <t>曜日まとめ期間（週）</t>
  </si>
  <si>
    <t>ロットまとめ期間（日）</t>
  </si>
  <si>
    <t>最小ロット数量</t>
  </si>
  <si>
    <t>刻みロット数量</t>
  </si>
  <si>
    <t>最大ロット数量</t>
  </si>
  <si>
    <t>最大オーダ件数</t>
  </si>
  <si>
    <t>優先順</t>
  </si>
  <si>
    <t>オーダ比率</t>
  </si>
  <si>
    <t>出来高予定数量</t>
  </si>
  <si>
    <t>製造指図数量</t>
  </si>
  <si>
    <t>固定必要数量</t>
  </si>
  <si>
    <t>ロット発番タイミング区分</t>
  </si>
  <si>
    <t>バックフラッシュ許可</t>
  </si>
  <si>
    <t>棚・ライン格納</t>
  </si>
  <si>
    <t>先行手配対象</t>
  </si>
  <si>
    <t>製造指図時記録書発行</t>
  </si>
  <si>
    <t>製造承認対象外</t>
  </si>
  <si>
    <t>品目下限収率</t>
  </si>
  <si>
    <t>品目標準収率</t>
  </si>
  <si>
    <t>品目上限収率</t>
  </si>
  <si>
    <t>購買識別区分</t>
  </si>
  <si>
    <t>購買依頼先ワーキンググループＣＤ</t>
  </si>
  <si>
    <t>発注バッチ</t>
  </si>
  <si>
    <t>資源標準値１</t>
  </si>
  <si>
    <t>資源単位数量１</t>
  </si>
  <si>
    <t>資源標準値２</t>
  </si>
  <si>
    <t>資源単位数量２</t>
  </si>
  <si>
    <t>手配ＮＯ１</t>
  </si>
  <si>
    <t>手配ＮＯ２</t>
  </si>
  <si>
    <t>手配ＮＯ３</t>
  </si>
  <si>
    <t>手配ＮＯ４</t>
  </si>
  <si>
    <t>ＭＲＰ対象外</t>
  </si>
  <si>
    <t>原価比率</t>
  </si>
  <si>
    <t>メモ１</t>
  </si>
  <si>
    <t>メモ２</t>
  </si>
  <si>
    <t>メモ３</t>
  </si>
  <si>
    <t>論理削除</t>
  </si>
  <si>
    <t>仕入計上区分</t>
  </si>
  <si>
    <t/>
  </si>
  <si>
    <t>bom_ptn</t>
    <phoneticPr fontId="1"/>
  </si>
  <si>
    <t>wg_cd</t>
    <phoneticPr fontId="1"/>
  </si>
  <si>
    <t>purc_id_typ</t>
    <phoneticPr fontId="1"/>
  </si>
  <si>
    <t>購買識別区分</t>
    <phoneticPr fontId="1"/>
  </si>
  <si>
    <t>PLM品名</t>
    <rPh sb="3" eb="5">
      <t>ヒンメイ</t>
    </rPh>
    <phoneticPr fontId="1"/>
  </si>
  <si>
    <t>製造場所ＣＤ</t>
    <phoneticPr fontId="1"/>
  </si>
  <si>
    <t>発注先ＣＤ</t>
    <phoneticPr fontId="1"/>
  </si>
  <si>
    <t>図番記載</t>
    <rPh sb="0" eb="2">
      <t>ズバン</t>
    </rPh>
    <rPh sb="2" eb="4">
      <t>キサイ</t>
    </rPh>
    <phoneticPr fontId="1"/>
  </si>
  <si>
    <t>設計メモ記載</t>
    <rPh sb="0" eb="2">
      <t>セッケイ</t>
    </rPh>
    <rPh sb="4" eb="6">
      <t>キサイ</t>
    </rPh>
    <phoneticPr fontId="1"/>
  </si>
  <si>
    <t>図番</t>
    <rPh sb="0" eb="2">
      <t>ズバン</t>
    </rPh>
    <phoneticPr fontId="1"/>
  </si>
  <si>
    <t>型式</t>
    <rPh sb="0" eb="2">
      <t>カタシキ</t>
    </rPh>
    <phoneticPr fontId="1"/>
  </si>
  <si>
    <t>購買単価</t>
    <rPh sb="0" eb="2">
      <t>コウバイ</t>
    </rPh>
    <rPh sb="2" eb="4">
      <t>タンカ</t>
    </rPh>
    <phoneticPr fontId="1"/>
  </si>
  <si>
    <t>加工単価</t>
    <rPh sb="0" eb="2">
      <t>カコウ</t>
    </rPh>
    <rPh sb="2" eb="4">
      <t>タンカ</t>
    </rPh>
    <phoneticPr fontId="1"/>
  </si>
  <si>
    <t>H0000597038</t>
  </si>
  <si>
    <t>H0000597039</t>
  </si>
  <si>
    <t>H0000597040</t>
  </si>
  <si>
    <t>H0000597041</t>
  </si>
  <si>
    <t>H0000597042</t>
  </si>
  <si>
    <t>H0000597043</t>
  </si>
  <si>
    <t>H0000597044</t>
  </si>
  <si>
    <t>H0000597045</t>
  </si>
  <si>
    <t>H0000691745</t>
  </si>
  <si>
    <t>H0000691746</t>
  </si>
  <si>
    <t>H0000691747</t>
  </si>
  <si>
    <t>H0000691748</t>
  </si>
  <si>
    <t>H0000691749</t>
  </si>
  <si>
    <t>H0000691750</t>
  </si>
  <si>
    <t>H0000691751</t>
  </si>
  <si>
    <t>H0000691752</t>
  </si>
  <si>
    <t>H0000691753</t>
  </si>
  <si>
    <t>H0000691754</t>
  </si>
  <si>
    <t>S-フレーム_LX-30_N_SS400_NNNN</t>
  </si>
  <si>
    <t>S-フレーム_LX-30_H_SS400_NNNN</t>
  </si>
  <si>
    <t>S-フレーム_ZEX-20M_N_SS400_TTTT</t>
  </si>
  <si>
    <t>S-フレーム_ガス溶断_ZEX-20M_N_SS400_1234</t>
  </si>
  <si>
    <t>S-フレーム_ZEX-20M_H_SS400_TTTT</t>
  </si>
  <si>
    <t>S-フレーム_ガス溶断_ZEX-20M_H_SS400_1234</t>
  </si>
  <si>
    <t>E345050_01</t>
  </si>
  <si>
    <t>E394338_01</t>
  </si>
  <si>
    <t>E394340_01</t>
  </si>
  <si>
    <t>H0000697238</t>
  </si>
  <si>
    <t>H0000697239</t>
  </si>
  <si>
    <t>H0000697240</t>
  </si>
  <si>
    <t>H0000697241</t>
  </si>
  <si>
    <t>H0000697242</t>
  </si>
  <si>
    <t>H0000697243</t>
  </si>
  <si>
    <t>H0000697244</t>
  </si>
  <si>
    <t>H0000697245</t>
  </si>
  <si>
    <t>H0000697246</t>
  </si>
  <si>
    <t>H0000697247</t>
  </si>
  <si>
    <t>H0000697248</t>
  </si>
  <si>
    <t>H0000697249</t>
  </si>
  <si>
    <t>H0000697250</t>
  </si>
  <si>
    <t>H0000697251</t>
  </si>
  <si>
    <t>H0000697252</t>
  </si>
  <si>
    <t>H0000697253</t>
  </si>
  <si>
    <t>H0000697254</t>
  </si>
  <si>
    <t>H0000697255</t>
  </si>
  <si>
    <t>H0000697256</t>
  </si>
  <si>
    <t>H0000697257</t>
  </si>
  <si>
    <t>H0000697258</t>
  </si>
  <si>
    <t>H0000697259</t>
  </si>
  <si>
    <t>H0000697260</t>
  </si>
  <si>
    <t>H0000697261</t>
  </si>
  <si>
    <t>H0000697262</t>
  </si>
  <si>
    <t>H0000697263</t>
  </si>
  <si>
    <t>H0000697264</t>
  </si>
  <si>
    <t>H0000697265</t>
  </si>
  <si>
    <t>H0000697266</t>
  </si>
  <si>
    <t>H0000697267</t>
  </si>
  <si>
    <t>H0000697268</t>
  </si>
  <si>
    <t>H0000697269</t>
  </si>
  <si>
    <t>H0000697270</t>
  </si>
  <si>
    <t>H0000697271</t>
  </si>
  <si>
    <t>H0000697272</t>
  </si>
  <si>
    <t>H0000697273</t>
  </si>
  <si>
    <t>H0000697274</t>
  </si>
  <si>
    <t>H0000697275</t>
  </si>
  <si>
    <t>H0000697276</t>
  </si>
  <si>
    <t>H0000697277</t>
  </si>
  <si>
    <t>H0000697278</t>
  </si>
  <si>
    <t>H0000697279</t>
  </si>
  <si>
    <t>H0000697280</t>
  </si>
  <si>
    <t>H0000697281</t>
  </si>
  <si>
    <t>H0000697282</t>
  </si>
  <si>
    <t>H0000697283</t>
  </si>
  <si>
    <t>H0000697284</t>
  </si>
  <si>
    <t>H0000697285</t>
  </si>
  <si>
    <t>H0000697286</t>
  </si>
  <si>
    <t>H0000697287</t>
  </si>
  <si>
    <t>H0000697288</t>
  </si>
  <si>
    <t>H0000697289</t>
  </si>
  <si>
    <t>H0000697290</t>
  </si>
  <si>
    <t>H0000697291</t>
  </si>
  <si>
    <t>H0000697292</t>
  </si>
  <si>
    <t>H0000697293</t>
  </si>
  <si>
    <t>H0000697294</t>
  </si>
  <si>
    <t>H0000697295</t>
  </si>
  <si>
    <t>H0000697296</t>
  </si>
  <si>
    <t>H0000697297</t>
  </si>
  <si>
    <t>H0000697298</t>
  </si>
  <si>
    <t>H0000697299</t>
  </si>
  <si>
    <t>H0000697300</t>
  </si>
  <si>
    <t>H0000697301</t>
  </si>
  <si>
    <t>H0000697302</t>
  </si>
  <si>
    <t>H0000697303</t>
  </si>
  <si>
    <t>H0000697304</t>
  </si>
  <si>
    <t>H0000697305</t>
  </si>
  <si>
    <t>H0000697306</t>
  </si>
  <si>
    <t>H0000697307</t>
  </si>
  <si>
    <t>H0000697308</t>
  </si>
  <si>
    <t>H0000697309</t>
  </si>
  <si>
    <t>H0000697310</t>
  </si>
  <si>
    <t>H0000697311</t>
  </si>
  <si>
    <t>H0000697312</t>
  </si>
  <si>
    <t>H0000697313</t>
  </si>
  <si>
    <t>H0000697314</t>
  </si>
  <si>
    <t>H0000697315</t>
  </si>
  <si>
    <t>H0000697316</t>
  </si>
  <si>
    <t>H0000697317</t>
  </si>
  <si>
    <t>H0000697318</t>
  </si>
  <si>
    <t>H0000697319</t>
  </si>
  <si>
    <t>H0000697320</t>
  </si>
  <si>
    <t>H0000697321</t>
  </si>
  <si>
    <t>H0000697322</t>
  </si>
  <si>
    <t>H0000697323</t>
  </si>
  <si>
    <t>H0000697324</t>
  </si>
  <si>
    <t>H0000697325</t>
  </si>
  <si>
    <t>H0000697326</t>
  </si>
  <si>
    <t>H0000697327</t>
  </si>
  <si>
    <t>H0000697328</t>
  </si>
  <si>
    <t>H0000697329</t>
  </si>
  <si>
    <t>H0000697330</t>
  </si>
  <si>
    <t>H0000697331</t>
  </si>
  <si>
    <t>H0000697332</t>
  </si>
  <si>
    <t>H0000697333</t>
  </si>
  <si>
    <t>H0000697334</t>
  </si>
  <si>
    <t>H0000697335</t>
  </si>
  <si>
    <t>H0000697336</t>
  </si>
  <si>
    <t>H0000697337</t>
  </si>
  <si>
    <t>H0000697338</t>
  </si>
  <si>
    <t>H0000697339</t>
  </si>
  <si>
    <t>H0000697340</t>
  </si>
  <si>
    <t>H0000697341</t>
  </si>
  <si>
    <t>H0000697342</t>
  </si>
  <si>
    <t>H0000697343</t>
  </si>
  <si>
    <t>H0000697344</t>
  </si>
  <si>
    <t>H0000697345</t>
  </si>
  <si>
    <t>H0000697346</t>
  </si>
  <si>
    <t>H0000697347</t>
  </si>
  <si>
    <t>H0000697348</t>
  </si>
  <si>
    <t>H0000697349</t>
  </si>
  <si>
    <t>H0000697350</t>
  </si>
  <si>
    <t>H0000697351</t>
  </si>
  <si>
    <t>H0000697352</t>
  </si>
  <si>
    <t>H0000697353</t>
  </si>
  <si>
    <t>H0000697354</t>
  </si>
  <si>
    <t>H0000697355</t>
  </si>
  <si>
    <t>H0000697356</t>
  </si>
  <si>
    <t>鋼板_YX-83_W850,H1600,T3,350A,150A,150A,350A</t>
  </si>
  <si>
    <t>鋼板_YX-83_W850,H1600,T3,350A,150A,150A,300A</t>
  </si>
  <si>
    <t>鋼板_YX-83_W850,H1600,T3,350A,150A,150A,250A</t>
  </si>
  <si>
    <t>鋼板_YX-83_W850,H1600,T3,350A,150A,150A,200A</t>
  </si>
  <si>
    <t>鋼板_YX-83_W850,H1600,T3,350A,150A,150A,150A</t>
  </si>
  <si>
    <t>鋼板_YX-83_W850,H1600,T3,300A,150A,150A,300A</t>
  </si>
  <si>
    <t>鋼板_YX-83_W850,H1600,T3,300A,150A,150A,250A</t>
  </si>
  <si>
    <t>鋼板_YX-83_W850,H1600,T3,300A,150A,150A,200A</t>
  </si>
  <si>
    <t>鋼板_YX-83_W850,H1600,T3,300A,150A,150A,150A</t>
  </si>
  <si>
    <t>鋼板_YX-83_W850,H1600,T3,250A,150A,150A,250A</t>
  </si>
  <si>
    <t>鋼板_YX-83_W850,H1600,T3,250A,150A,150A,200A</t>
  </si>
  <si>
    <t>鋼板_YX-83_W850,H1600,T3,250A,150A,150A,150A</t>
  </si>
  <si>
    <t>鋼板_YX-83_W850,H1600,T3,200A,150A,150A,200A</t>
  </si>
  <si>
    <t>鋼板_YX-83_W850,H1600,T3,200A,150A,150A,150A</t>
  </si>
  <si>
    <t>鋼板_YX-83_W850,H1600,T3,150A,150A,150A,150A</t>
  </si>
  <si>
    <t>鋼板_YX-83_W850,H1600,T3,150A,150A,150A,100A</t>
  </si>
  <si>
    <t>鋼板_YX-83_W850,H1600,T3,150A,150A,150A,80A</t>
  </si>
  <si>
    <t>鋼板_YX-83_W850,H1600,T3,350A,125A,125A,150A</t>
  </si>
  <si>
    <t>鋼板_YX-83_W850,H1600,T3,300A,125A,125A,150A</t>
  </si>
  <si>
    <t>鋼板_YX-83_W850,H1600,T3,250A,125A,125A,150A</t>
  </si>
  <si>
    <t>鋼板_YX-83_W850,H1600,T3,200A,125A,125A,150A</t>
  </si>
  <si>
    <t>鋼板_YX-83_W850,H1600,T3,150A,125A,125A,150A</t>
  </si>
  <si>
    <t>鋼板_YX-83_W850,H1600,T3,150A,125A,125A,100A</t>
  </si>
  <si>
    <t>鋼板_YX-83_W850,H1600,T3,150A,125A,125A,80A</t>
  </si>
  <si>
    <t>鋼板_YX-83_W850,H1600,T3,350A,100A,100A,150A</t>
  </si>
  <si>
    <t>鋼板_YX-83_W850,H1600,T3,300A,100A,100A,150A</t>
  </si>
  <si>
    <t>鋼板_YX-83_W850,H1600,T3,250A,100A,100A,150A</t>
  </si>
  <si>
    <t>鋼板_YX-83_W850,H1600,T3,200A,100A,100A,150A</t>
  </si>
  <si>
    <t>鋼板_YX-83_W850,H1600,T3,150A,100A,100A,150A</t>
  </si>
  <si>
    <t>鋼板_YX-83_W850,H1600,T3,150A,100A,100A,100A</t>
  </si>
  <si>
    <t>鋼板_YX-83_W850,H1600,T3,150A,100A,100A,80A</t>
  </si>
  <si>
    <t>鋼板_YX-83_W850,H1600,T3,350A,80A,80A,150A</t>
  </si>
  <si>
    <t>鋼板_YX-83_W850,H1600,T3,300A,80A,80A,150A</t>
  </si>
  <si>
    <t>鋼板_YX-83_W850,H1600,T3,250A,80A,80A,150A</t>
  </si>
  <si>
    <t>鋼板_YX-83_W850,H1600,T3,200A,80A,80A,150A</t>
  </si>
  <si>
    <t>鋼板_YX-83_W850,H1600,T3,150A,80A,80A,150A</t>
  </si>
  <si>
    <t>鋼板_YX-83_W850,H1600,T3,150A,80A,80A,100A</t>
  </si>
  <si>
    <t>鋼板_YX-83_W850,H1600,T3,150A,80A,80A,80A</t>
  </si>
  <si>
    <t>鋼板_YX-83_W850,H1600,T3,350A,50A,50A,150A</t>
  </si>
  <si>
    <t>鋼板_YX-83_W850,H1600,T3,300A,50A,50A,150A</t>
  </si>
  <si>
    <t>鋼板_YX-83_W850,H1600,T3,250A,50A,50A,150A</t>
  </si>
  <si>
    <t>鋼板_YX-83_W850,H1600,T3,200A,50A,50A,150A</t>
  </si>
  <si>
    <t>鋼板_YX-83_W850,H1600,T3,150A,50A,50A,150A</t>
  </si>
  <si>
    <t>鋼板_YX-83_W850,H1600,T3,150A,50A,50A,100A</t>
  </si>
  <si>
    <t>鋼板_YX-83_W850,H1600,T3,150A,50A,50A,80A</t>
  </si>
  <si>
    <t>鋼板_YX-83_W850,H1600,T3,150A,150A</t>
  </si>
  <si>
    <t>鋼板_YX-83_W585,H760,T3,150A</t>
  </si>
  <si>
    <t>鋼板_YX-83_W850,H1600,T3,350A,150A</t>
  </si>
  <si>
    <t>鋼板_YX-83_W850,H1600,T3,300A,150A</t>
  </si>
  <si>
    <t>鋼板_YX-83_W850,H1600,T3,250A,150A</t>
  </si>
  <si>
    <t>鋼板_YX-83_W850,H1600,T3,200A,150A</t>
  </si>
  <si>
    <t>鋼板_YX-83_W850,H1600,T3,150A,100A</t>
  </si>
  <si>
    <t>鋼板_YX-83_W850,H1600,T3,150A,80A</t>
  </si>
  <si>
    <t>鋼板_YX-83_W259,H434,T3,150A</t>
  </si>
  <si>
    <t>鋼板_YX-83_W850,H760,T3,350A,150A</t>
  </si>
  <si>
    <t>鋼板_YX-83_W850,H760,T3,300A,150A</t>
  </si>
  <si>
    <t>鋼板_YX-83_W850,H760,T3,250A,150A</t>
  </si>
  <si>
    <t>鋼板_YX-83_W850,H760,T3,200A,150A</t>
  </si>
  <si>
    <t>鋼板_YX-83_W850,H760,T3,150A,150A</t>
  </si>
  <si>
    <t>鋼板_YX-83_W850,H760,T3,150A,125A</t>
  </si>
  <si>
    <t>鋼板_YX-83_W850,H760,T3,150A,100A</t>
  </si>
  <si>
    <t>鋼板_YX-83_W850,H760,T3,150A,80A</t>
  </si>
  <si>
    <t>鋼板_YX-83_W850,H760,T3,150A,50A</t>
  </si>
  <si>
    <t>鋼板_YX-83_W850,H760,T3,100A,150A</t>
  </si>
  <si>
    <t>鋼板_YX-83_W850,H760,T3,80A,150A</t>
  </si>
  <si>
    <t>E385503_01</t>
  </si>
  <si>
    <t>E385504_01</t>
  </si>
  <si>
    <t>E385504_02</t>
  </si>
  <si>
    <t>E385505_01</t>
  </si>
  <si>
    <t>E385505_02</t>
  </si>
  <si>
    <t>E344964_01</t>
  </si>
  <si>
    <t>H0000700198</t>
  </si>
  <si>
    <t>H0000700199</t>
  </si>
  <si>
    <t>鋼板_フレーム母材_SA516Gr.60_T40</t>
  </si>
  <si>
    <t>鋼板_フレーム母材_SGV410N_T70</t>
  </si>
  <si>
    <t>04842</t>
    <phoneticPr fontId="1"/>
  </si>
  <si>
    <t>27616</t>
    <phoneticPr fontId="1"/>
  </si>
  <si>
    <t>WP010</t>
    <phoneticPr fontId="1"/>
  </si>
  <si>
    <t>00144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</si>
</sst>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General;General;"/>
  </numFmts>
  <fonts count="5">
    <font>
      <sz val="11"/>
      <color indexed="8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10"/>
      <color indexed="8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1" fontId="0" fillId="3" borderId="0" xfId="0" applyNumberFormat="1" applyFill="1" applyAlignment="1"/>
    <xf numFmtId="0" fontId="0" fillId="5" borderId="0" xfId="0" applyFill="1">
      <alignment vertical="center"/>
    </xf>
    <xf numFmtId="177" fontId="0" fillId="3" borderId="0" xfId="0" applyNumberFormat="1" applyFill="1">
      <alignment vertical="center"/>
    </xf>
    <xf numFmtId="177" fontId="0" fillId="0" borderId="0" xfId="0" applyNumberFormat="1">
      <alignment vertical="center"/>
    </xf>
    <xf numFmtId="17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" fontId="0" fillId="3" borderId="0" xfId="0" applyNumberFormat="1" applyFill="1" applyAlignment="1">
      <alignment horizontal="center"/>
    </xf>
    <xf numFmtId="0" fontId="0" fillId="6" borderId="0" xfId="0" applyFill="1" applyAlignment="1">
      <alignment horizontal="right" vertical="center"/>
    </xf>
    <xf numFmtId="0" fontId="0" fillId="4" borderId="0" xfId="0" quotePrefix="1" applyFill="1">
      <alignment vertical="center"/>
    </xf>
  </cellXfs>
  <cellStyles count="1">
    <cellStyle name="標準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CCFF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139700</xdr:rowOff>
    </xdr:from>
    <xdr:to>
      <xdr:col>2</xdr:col>
      <xdr:colOff>717550</xdr:colOff>
      <xdr:row>0</xdr:row>
      <xdr:rowOff>438150</xdr:rowOff>
    </xdr:to>
    <xdr:sp macro="[0]!PLM品名付与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4FB78149-1EF6-CFA2-F80C-0BA9382D47E5}"/>
            </a:ext>
          </a:extLst>
        </xdr:cNvPr>
        <xdr:cNvSpPr/>
      </xdr:nvSpPr>
      <xdr:spPr>
        <a:xfrm>
          <a:off x="3149600" y="139700"/>
          <a:ext cx="679450" cy="298450"/>
        </a:xfrm>
        <a:prstGeom prst="bevel">
          <a:avLst/>
        </a:prstGeom>
        <a:solidFill>
          <a:srgbClr val="CC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New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1898650</xdr:colOff>
      <xdr:row>0</xdr:row>
      <xdr:rowOff>146050</xdr:rowOff>
    </xdr:from>
    <xdr:to>
      <xdr:col>2</xdr:col>
      <xdr:colOff>2578100</xdr:colOff>
      <xdr:row>0</xdr:row>
      <xdr:rowOff>444500</xdr:rowOff>
    </xdr:to>
    <xdr:sp macro="[0]!PLM品名付与Add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301E6788-9D4B-548D-00CD-BEA8A572F405}"/>
            </a:ext>
          </a:extLst>
        </xdr:cNvPr>
        <xdr:cNvSpPr/>
      </xdr:nvSpPr>
      <xdr:spPr>
        <a:xfrm>
          <a:off x="5010150" y="146050"/>
          <a:ext cx="679450" cy="298450"/>
        </a:xfrm>
        <a:prstGeom prst="bevel">
          <a:avLst/>
        </a:prstGeom>
        <a:solidFill>
          <a:srgbClr val="FF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Add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50800</xdr:rowOff>
    </xdr:from>
    <xdr:to>
      <xdr:col>4</xdr:col>
      <xdr:colOff>571500</xdr:colOff>
      <xdr:row>0</xdr:row>
      <xdr:rowOff>425450</xdr:rowOff>
    </xdr:to>
    <xdr:sp macro="[0]!内製品ファイル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8D9D0589-09B0-2739-E0A3-B23666682781}"/>
            </a:ext>
          </a:extLst>
        </xdr:cNvPr>
        <xdr:cNvSpPr/>
      </xdr:nvSpPr>
      <xdr:spPr>
        <a:xfrm>
          <a:off x="4787900" y="50800"/>
          <a:ext cx="1263650" cy="374650"/>
        </a:xfrm>
        <a:prstGeom prst="bevel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内製品ファイル</a:t>
          </a:r>
        </a:p>
      </xdr:txBody>
    </xdr:sp>
    <xdr:clientData/>
  </xdr:twoCellAnchor>
  <xdr:twoCellAnchor>
    <xdr:from>
      <xdr:col>4</xdr:col>
      <xdr:colOff>609600</xdr:colOff>
      <xdr:row>0</xdr:row>
      <xdr:rowOff>50800</xdr:rowOff>
    </xdr:from>
    <xdr:to>
      <xdr:col>6</xdr:col>
      <xdr:colOff>1238250</xdr:colOff>
      <xdr:row>0</xdr:row>
      <xdr:rowOff>425450</xdr:rowOff>
    </xdr:to>
    <xdr:sp macro="[0]!外注品ファイル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6CA81825-189F-4C0E-4452-59152DE66F50}"/>
            </a:ext>
          </a:extLst>
        </xdr:cNvPr>
        <xdr:cNvSpPr/>
      </xdr:nvSpPr>
      <xdr:spPr>
        <a:xfrm>
          <a:off x="7880350" y="50800"/>
          <a:ext cx="1352550" cy="374650"/>
        </a:xfrm>
        <a:prstGeom prst="bevel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外注品ファイル</a:t>
          </a:r>
        </a:p>
      </xdr:txBody>
    </xdr:sp>
    <xdr:clientData/>
  </xdr:twoCellAnchor>
  <xdr:twoCellAnchor>
    <xdr:from>
      <xdr:col>2</xdr:col>
      <xdr:colOff>2667000</xdr:colOff>
      <xdr:row>0</xdr:row>
      <xdr:rowOff>146050</xdr:rowOff>
    </xdr:from>
    <xdr:to>
      <xdr:col>2</xdr:col>
      <xdr:colOff>3346450</xdr:colOff>
      <xdr:row>0</xdr:row>
      <xdr:rowOff>444500</xdr:rowOff>
    </xdr:to>
    <xdr:sp macro="[0]!_xludf.Copy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A87EBCDC-AE04-162B-2DFA-96525E816418}"/>
            </a:ext>
          </a:extLst>
        </xdr:cNvPr>
        <xdr:cNvSpPr/>
      </xdr:nvSpPr>
      <xdr:spPr>
        <a:xfrm>
          <a:off x="5778500" y="146050"/>
          <a:ext cx="679450" cy="298450"/>
        </a:xfrm>
        <a:prstGeom prst="bevel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copy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1276350</xdr:colOff>
      <xdr:row>0</xdr:row>
      <xdr:rowOff>50800</xdr:rowOff>
    </xdr:from>
    <xdr:to>
      <xdr:col>10</xdr:col>
      <xdr:colOff>6350</xdr:colOff>
      <xdr:row>0</xdr:row>
      <xdr:rowOff>425450</xdr:rowOff>
    </xdr:to>
    <xdr:sp macro="[0]!一行複写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FFE376E4-075E-A7B7-D366-E6D37D685DCF}"/>
            </a:ext>
          </a:extLst>
        </xdr:cNvPr>
        <xdr:cNvSpPr/>
      </xdr:nvSpPr>
      <xdr:spPr>
        <a:xfrm>
          <a:off x="9271000" y="50800"/>
          <a:ext cx="958850" cy="374650"/>
        </a:xfrm>
        <a:prstGeom prst="bevel">
          <a:avLst/>
        </a:prstGeom>
        <a:solidFill>
          <a:srgbClr val="FF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１行複写</a:t>
          </a:r>
        </a:p>
      </xdr:txBody>
    </xdr:sp>
    <xdr:clientData/>
  </xdr:twoCellAnchor>
  <xdr:twoCellAnchor>
    <xdr:from>
      <xdr:col>11</xdr:col>
      <xdr:colOff>44450</xdr:colOff>
      <xdr:row>0</xdr:row>
      <xdr:rowOff>38100</xdr:rowOff>
    </xdr:from>
    <xdr:to>
      <xdr:col>12</xdr:col>
      <xdr:colOff>444500</xdr:colOff>
      <xdr:row>0</xdr:row>
      <xdr:rowOff>412750</xdr:rowOff>
    </xdr:to>
    <xdr:sp macro="[0]!指定行複写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FC9987B9-AF0E-4E84-81AB-FA76B956BF36}"/>
            </a:ext>
          </a:extLst>
        </xdr:cNvPr>
        <xdr:cNvSpPr/>
      </xdr:nvSpPr>
      <xdr:spPr>
        <a:xfrm>
          <a:off x="10267950" y="38100"/>
          <a:ext cx="1263650" cy="374650"/>
        </a:xfrm>
        <a:prstGeom prst="bevel">
          <a:avLst/>
        </a:prstGeom>
        <a:solidFill>
          <a:srgbClr val="FF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指定行複写</a:t>
          </a:r>
        </a:p>
      </xdr:txBody>
    </xdr:sp>
    <xdr:clientData/>
  </xdr:twoCellAnchor>
  <xdr:twoCellAnchor>
    <xdr:from>
      <xdr:col>0</xdr:col>
      <xdr:colOff>196850</xdr:colOff>
      <xdr:row>0</xdr:row>
      <xdr:rowOff>152400</xdr:rowOff>
    </xdr:from>
    <xdr:to>
      <xdr:col>0</xdr:col>
      <xdr:colOff>1162050</xdr:colOff>
      <xdr:row>0</xdr:row>
      <xdr:rowOff>450850</xdr:rowOff>
    </xdr:to>
    <xdr:sp macro="[0]!Hidden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1818FA25-9653-4D12-8452-7AADC2AD09D4}"/>
            </a:ext>
          </a:extLst>
        </xdr:cNvPr>
        <xdr:cNvSpPr/>
      </xdr:nvSpPr>
      <xdr:spPr>
        <a:xfrm>
          <a:off x="196850" y="152400"/>
          <a:ext cx="965200" cy="298450"/>
        </a:xfrm>
        <a:prstGeom prst="bevel">
          <a:avLst/>
        </a:prstGeom>
        <a:solidFill>
          <a:srgbClr val="CC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HiddenOff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1206500</xdr:colOff>
      <xdr:row>0</xdr:row>
      <xdr:rowOff>152400</xdr:rowOff>
    </xdr:from>
    <xdr:to>
      <xdr:col>1</xdr:col>
      <xdr:colOff>381000</xdr:colOff>
      <xdr:row>0</xdr:row>
      <xdr:rowOff>450850</xdr:rowOff>
    </xdr:to>
    <xdr:sp macro="[0]!購買品Copy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EA67919D-293E-82C1-4F63-9023CC755A4A}"/>
            </a:ext>
          </a:extLst>
        </xdr:cNvPr>
        <xdr:cNvSpPr/>
      </xdr:nvSpPr>
      <xdr:spPr>
        <a:xfrm>
          <a:off x="1206500" y="152400"/>
          <a:ext cx="965200" cy="298450"/>
        </a:xfrm>
        <a:prstGeom prst="bevel">
          <a:avLst/>
        </a:prstGeom>
        <a:solidFill>
          <a:srgbClr val="CC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ToFileCopy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3371850</xdr:colOff>
      <xdr:row>0</xdr:row>
      <xdr:rowOff>482600</xdr:rowOff>
    </xdr:to>
    <xdr:sp macro="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1197C2C3-98C2-04E8-3B9A-24F3F010D0E5}"/>
            </a:ext>
          </a:extLst>
        </xdr:cNvPr>
        <xdr:cNvSpPr/>
      </xdr:nvSpPr>
      <xdr:spPr>
        <a:xfrm>
          <a:off x="0" y="0"/>
          <a:ext cx="6483350" cy="4826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M149"/>
  <sheetViews>
    <sheetView tabSelected="1" zoomScale="85" zoomScaleNormal="85" workbookViewId="0">
      <pane ySplit="2" topLeftCell="A3" activePane="bottomLeft" state="frozen"/>
      <selection pane="bottomLeft" activeCell="H24" sqref="H24"/>
    </sheetView>
  </sheetViews>
  <sheetFormatPr defaultRowHeight="18"/>
  <cols>
    <col min="1" max="1" width="23.5" customWidth="1"/>
    <col min="2" max="2" width="17.33203125" bestFit="1" customWidth="1"/>
    <col min="3" max="3" width="45.08203125" bestFit="1" customWidth="1"/>
    <col min="4" max="5" width="9.5" style="11" customWidth="1"/>
    <col min="6" max="6" width="9.5" customWidth="1"/>
    <col min="7" max="7" width="18.25" bestFit="1" customWidth="1"/>
    <col min="8" max="8" width="11" bestFit="1" customWidth="1"/>
    <col min="9" max="9" width="11" customWidth="1"/>
    <col min="10" max="10" width="15.08203125" hidden="1" customWidth="1"/>
    <col min="11" max="11" width="21.33203125" hidden="1" customWidth="1"/>
    <col min="12" max="13" width="11.33203125" style="4" hidden="1" customWidth="1"/>
    <col min="14" max="14" width="21.33203125" hidden="1" customWidth="1"/>
    <col min="16" max="16" width="21.33203125" hidden="1" customWidth="1"/>
    <col min="18" max="18" width="10.5" style="6" bestFit="1" customWidth="1"/>
    <col min="19" max="19" width="8.58203125" style="6"/>
    <col min="20" max="20" width="21.33203125" customWidth="1"/>
    <col min="21" max="21" width="13.5" customWidth="1"/>
    <col min="22" max="22" width="8.58203125" customWidth="1"/>
    <col min="23" max="23" width="25.5" customWidth="1"/>
    <col min="24" max="24" width="17.25" customWidth="1"/>
    <col min="25" max="25" width="21.33203125" customWidth="1"/>
    <col min="26" max="26" width="23.5" customWidth="1"/>
    <col min="27" max="29" width="15.08203125" bestFit="1" customWidth="1"/>
    <col min="30" max="30" width="15.08203125" customWidth="1"/>
    <col min="31" max="31" width="7.08203125" customWidth="1"/>
    <col min="32" max="32" width="11" bestFit="1" customWidth="1"/>
    <col min="33" max="33" width="15.08203125" customWidth="1"/>
    <col min="34" max="35" width="13" customWidth="1"/>
    <col min="36" max="36" width="25.5" bestFit="1" customWidth="1"/>
    <col min="37" max="37" width="21.33203125" customWidth="1"/>
    <col min="38" max="38" width="15.08203125" customWidth="1"/>
    <col min="39" max="39" width="14.08203125" customWidth="1"/>
    <col min="40" max="40" width="21.33203125" customWidth="1"/>
    <col min="41" max="41" width="16.25" customWidth="1"/>
    <col min="42" max="42" width="15.33203125" customWidth="1"/>
    <col min="43" max="43" width="13.33203125" customWidth="1"/>
    <col min="44" max="44" width="15.83203125" customWidth="1"/>
    <col min="45" max="45" width="13" customWidth="1"/>
    <col min="46" max="46" width="33.83203125" customWidth="1"/>
    <col min="47" max="47" width="12.83203125" bestFit="1" customWidth="1"/>
    <col min="48" max="48" width="13.5" customWidth="1"/>
    <col min="49" max="49" width="15.08203125" customWidth="1"/>
    <col min="50" max="50" width="13.5" customWidth="1"/>
    <col min="51" max="51" width="15.08203125" customWidth="1"/>
    <col min="52" max="52" width="12.33203125" customWidth="1"/>
    <col min="53" max="55" width="11" customWidth="1"/>
    <col min="56" max="56" width="13" bestFit="1" customWidth="1"/>
    <col min="57" max="57" width="9.83203125" customWidth="1"/>
    <col min="58" max="60" width="7.75" customWidth="1"/>
    <col min="61" max="61" width="8.58203125" customWidth="1"/>
    <col min="62" max="62" width="15.08203125" customWidth="1"/>
    <col min="63" max="63" width="12.08203125" customWidth="1"/>
    <col min="64" max="64" width="35.58203125" customWidth="1"/>
  </cols>
  <sheetData>
    <row r="1" spans="1:65" ht="42.65" customHeight="1">
      <c r="A1" t="s">
        <v>117</v>
      </c>
      <c r="B1" t="s">
        <v>0</v>
      </c>
      <c r="C1" s="6">
        <v>5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116</v>
      </c>
      <c r="L1" s="4" t="s">
        <v>8</v>
      </c>
      <c r="M1" s="4" t="s">
        <v>9</v>
      </c>
      <c r="N1" t="s">
        <v>10</v>
      </c>
      <c r="O1" t="s">
        <v>11</v>
      </c>
      <c r="P1" t="s">
        <v>12</v>
      </c>
      <c r="Q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  <c r="AG1" t="s">
        <v>27</v>
      </c>
      <c r="AH1" t="s">
        <v>28</v>
      </c>
      <c r="AI1" t="s">
        <v>29</v>
      </c>
      <c r="AJ1" t="s">
        <v>30</v>
      </c>
      <c r="AK1" t="s">
        <v>31</v>
      </c>
      <c r="AL1" t="s">
        <v>32</v>
      </c>
      <c r="AM1" t="s">
        <v>33</v>
      </c>
      <c r="AN1" t="s">
        <v>34</v>
      </c>
      <c r="AO1" t="s">
        <v>35</v>
      </c>
      <c r="AP1" t="s">
        <v>36</v>
      </c>
      <c r="AQ1" t="s">
        <v>37</v>
      </c>
      <c r="AR1" t="s">
        <v>38</v>
      </c>
      <c r="AS1" t="s">
        <v>118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</row>
    <row r="2" spans="1:65">
      <c r="A2" s="1" t="s">
        <v>56</v>
      </c>
      <c r="B2" s="2" t="s">
        <v>57</v>
      </c>
      <c r="C2" s="2" t="s">
        <v>120</v>
      </c>
      <c r="D2" s="2" t="s">
        <v>125</v>
      </c>
      <c r="E2" s="2" t="s">
        <v>126</v>
      </c>
      <c r="F2" s="2" t="s">
        <v>60</v>
      </c>
      <c r="G2" s="1" t="s">
        <v>121</v>
      </c>
      <c r="H2" s="1" t="s">
        <v>122</v>
      </c>
      <c r="I2" t="s">
        <v>63</v>
      </c>
      <c r="J2" s="2" t="s">
        <v>64</v>
      </c>
      <c r="K2" s="5" t="s">
        <v>65</v>
      </c>
      <c r="L2" s="5" t="s">
        <v>66</v>
      </c>
      <c r="M2" s="5" t="s">
        <v>67</v>
      </c>
      <c r="N2" s="5" t="s">
        <v>68</v>
      </c>
      <c r="O2" s="5" t="s">
        <v>69</v>
      </c>
      <c r="P2" t="s">
        <v>70</v>
      </c>
      <c r="Q2" s="5" t="s">
        <v>71</v>
      </c>
      <c r="R2" s="12" t="s">
        <v>127</v>
      </c>
      <c r="S2" s="12" t="s">
        <v>128</v>
      </c>
      <c r="T2" t="s">
        <v>72</v>
      </c>
      <c r="U2" s="2" t="s">
        <v>73</v>
      </c>
      <c r="V2" t="s">
        <v>74</v>
      </c>
      <c r="W2" s="2" t="s">
        <v>75</v>
      </c>
      <c r="X2" t="s">
        <v>76</v>
      </c>
      <c r="Y2" t="s">
        <v>77</v>
      </c>
      <c r="Z2" t="s">
        <v>78</v>
      </c>
      <c r="AA2" s="1" t="s">
        <v>79</v>
      </c>
      <c r="AB2" s="1" t="s">
        <v>80</v>
      </c>
      <c r="AC2" s="1" t="s">
        <v>81</v>
      </c>
      <c r="AD2" s="2" t="s">
        <v>82</v>
      </c>
      <c r="AE2" s="2" t="s">
        <v>83</v>
      </c>
      <c r="AF2" s="1" t="s">
        <v>84</v>
      </c>
      <c r="AG2" t="s">
        <v>85</v>
      </c>
      <c r="AH2" t="s">
        <v>86</v>
      </c>
      <c r="AI2" s="2" t="s">
        <v>87</v>
      </c>
      <c r="AJ2" s="9" t="s">
        <v>88</v>
      </c>
      <c r="AK2" s="1" t="s">
        <v>89</v>
      </c>
      <c r="AL2" s="2" t="s">
        <v>90</v>
      </c>
      <c r="AM2" s="2" t="s">
        <v>91</v>
      </c>
      <c r="AN2" s="2" t="s">
        <v>92</v>
      </c>
      <c r="AO2" s="2" t="s">
        <v>93</v>
      </c>
      <c r="AP2" s="2" t="s">
        <v>94</v>
      </c>
      <c r="AQ2" s="2" t="s">
        <v>95</v>
      </c>
      <c r="AR2" s="2" t="s">
        <v>96</v>
      </c>
      <c r="AS2" s="1" t="s">
        <v>119</v>
      </c>
      <c r="AT2" s="2" t="s">
        <v>98</v>
      </c>
      <c r="AU2" s="1" t="s">
        <v>99</v>
      </c>
      <c r="AV2" t="s">
        <v>100</v>
      </c>
      <c r="AW2" t="s">
        <v>101</v>
      </c>
      <c r="AX2" t="s">
        <v>102</v>
      </c>
      <c r="AY2" t="s">
        <v>103</v>
      </c>
      <c r="AZ2" s="9" t="s">
        <v>104</v>
      </c>
      <c r="BA2" s="2" t="s">
        <v>105</v>
      </c>
      <c r="BB2" s="2" t="s">
        <v>106</v>
      </c>
      <c r="BC2" s="2" t="s">
        <v>107</v>
      </c>
      <c r="BD2" s="1" t="s">
        <v>108</v>
      </c>
      <c r="BE2" t="s">
        <v>109</v>
      </c>
      <c r="BF2" t="s">
        <v>110</v>
      </c>
      <c r="BG2" t="s">
        <v>111</v>
      </c>
      <c r="BH2" t="s">
        <v>112</v>
      </c>
      <c r="BI2" t="s">
        <v>113</v>
      </c>
      <c r="BJ2" t="s">
        <v>114</v>
      </c>
      <c r="BK2" t="s">
        <v>123</v>
      </c>
      <c r="BL2" t="s">
        <v>124</v>
      </c>
    </row>
    <row r="3" spans="1:65">
      <c r="A3" s="2" t="str">
        <f t="shared" ref="A3:A75" si="0">IF(B3="","","WG01")</f>
        <v>WG01</v>
      </c>
      <c r="B3" s="2" t="s">
        <v>129</v>
      </c>
      <c r="C3" s="2" t="s">
        <v>147</v>
      </c>
      <c r="D3" s="10" t="str">
        <f t="shared" ref="D3:D9" si="1">BK3</f>
        <v>E345050_01</v>
      </c>
      <c r="E3" s="10">
        <f t="shared" ref="E3:E9" si="2">BL3</f>
        <v>0</v>
      </c>
      <c r="F3" s="2"/>
      <c r="G3" s="3" t="s">
        <v>352</v>
      </c>
      <c r="H3" s="3" t="str" cm="1">
        <f t="array" ref="H3">IFERROR(_xlfn.IFS(B3="","",AND(B3="",G3=""),"",G3="","記載要"),"")</f>
        <v/>
      </c>
      <c r="I3" s="2" t="s">
        <v>115</v>
      </c>
      <c r="J3" s="2" t="s">
        <v>115</v>
      </c>
      <c r="K3" s="2" t="str">
        <f t="shared" ref="K3:K72" si="3">IF(G3="","","11"&amp;G3&amp;RIGHT(B3,5))</f>
        <v>11WP01097038</v>
      </c>
      <c r="L3" s="7" t="str">
        <f t="shared" ref="L3:L40" si="4">IF(B3="","","2001/01/01")</f>
        <v>2001/01/01</v>
      </c>
      <c r="M3" s="7" t="str">
        <f t="shared" ref="M3:M40" si="5">IF(C3="","","2199/12/31")</f>
        <v>2199/12/31</v>
      </c>
      <c r="N3" s="2" t="str">
        <f>IF(LEFT(G3,1)="W",K3,"")</f>
        <v>11WP01097038</v>
      </c>
      <c r="O3" s="13">
        <v>15</v>
      </c>
      <c r="P3" s="15"/>
      <c r="Q3" s="13" t="str" cm="1">
        <f t="array" ref="Q3">_xlfn.IFS(AND(C3="",G3=""),"",LEFT(G3,1)="L","記載要",LEFT(G3,1)="W","",AND(C3,G3=""),"記載要")</f>
        <v/>
      </c>
      <c r="R3" s="18" t="str">
        <f>IF(H3="","","記載要")</f>
        <v/>
      </c>
      <c r="S3" s="18"/>
      <c r="T3" s="2"/>
      <c r="U3" s="2"/>
      <c r="V3" s="2"/>
      <c r="W3" s="2"/>
      <c r="X3" s="2"/>
      <c r="Y3" s="2"/>
      <c r="Z3" s="2"/>
      <c r="AA3" s="13">
        <v>1</v>
      </c>
      <c r="AB3" s="13">
        <f t="shared" ref="AB3:AB72" si="6">IF(B3="","",0)</f>
        <v>0</v>
      </c>
      <c r="AC3" s="13">
        <f t="shared" ref="AC3:AC72" si="7">IF(B3="","",0)</f>
        <v>0</v>
      </c>
      <c r="AD3" s="15" t="s">
        <v>115</v>
      </c>
      <c r="AE3" s="15" t="s">
        <v>115</v>
      </c>
      <c r="AF3" s="13" t="str">
        <f t="shared" ref="AF3:AF72" si="8">IF(B3="","","1")</f>
        <v>1</v>
      </c>
      <c r="AG3" s="15" t="s">
        <v>115</v>
      </c>
      <c r="AH3" s="15" t="s">
        <v>115</v>
      </c>
      <c r="AI3" s="15" t="s">
        <v>115</v>
      </c>
      <c r="AJ3" s="14" t="s">
        <v>115</v>
      </c>
      <c r="AK3" s="15" cm="1">
        <f t="array" ref="AK3">_xlfn.IFS(B3="","",LEFT(G3,1)="L",1,LEFT(G3,1)="W",1,AND(LEFT(B3,1)="H",G3=""),0)</f>
        <v>1</v>
      </c>
      <c r="AL3" s="15" t="s">
        <v>115</v>
      </c>
      <c r="AM3" s="15" t="s">
        <v>115</v>
      </c>
      <c r="AN3" s="15" t="s">
        <v>115</v>
      </c>
      <c r="AO3" s="15" t="s">
        <v>115</v>
      </c>
      <c r="AP3" s="15" t="s">
        <v>115</v>
      </c>
      <c r="AQ3" s="15" t="s">
        <v>115</v>
      </c>
      <c r="AR3" s="15" t="s">
        <v>115</v>
      </c>
      <c r="AS3" s="15" t="str">
        <f>IF(Q3="","",1)</f>
        <v/>
      </c>
      <c r="AT3" s="15" t="s">
        <v>115</v>
      </c>
      <c r="AU3" s="13" t="str">
        <f t="shared" ref="AU3:AU72" si="9">IF(B3="","","0")</f>
        <v>0</v>
      </c>
      <c r="AV3" s="15" t="s">
        <v>115</v>
      </c>
      <c r="AW3" s="15" t="s">
        <v>115</v>
      </c>
      <c r="AX3" s="15" t="s">
        <v>115</v>
      </c>
      <c r="AY3" s="15" t="s">
        <v>115</v>
      </c>
      <c r="AZ3" s="14" t="s">
        <v>115</v>
      </c>
      <c r="BA3" s="15" t="s">
        <v>115</v>
      </c>
      <c r="BB3" s="15" t="s">
        <v>115</v>
      </c>
      <c r="BC3" s="15" t="s">
        <v>115</v>
      </c>
      <c r="BD3" s="13" t="str">
        <f t="shared" ref="BD3:BD72" si="10">IF(B3="","","0")</f>
        <v>0</v>
      </c>
      <c r="BE3" s="2" t="s">
        <v>115</v>
      </c>
      <c r="BF3" s="2" t="s">
        <v>115</v>
      </c>
      <c r="BG3" s="2" t="s">
        <v>115</v>
      </c>
      <c r="BH3" s="2" t="s">
        <v>115</v>
      </c>
      <c r="BI3" s="2" t="s">
        <v>115</v>
      </c>
      <c r="BJ3" s="2" t="s">
        <v>115</v>
      </c>
      <c r="BK3" s="2" t="s">
        <v>153</v>
      </c>
      <c r="BL3" s="10"/>
      <c r="BM3" t="str" cm="1">
        <f t="array" ref="BM3">_xlfn.IFS(LEFT(G3,1)="L","外注品",LEFT(G3,1)="W","内製品",G3="","購買品")</f>
        <v>内製品</v>
      </c>
    </row>
    <row r="4" spans="1:65">
      <c r="A4" s="2" t="str">
        <f t="shared" ref="A4" si="11">IF(B4="","","WG01")</f>
        <v>WG01</v>
      </c>
      <c r="B4" s="2" t="s">
        <v>130</v>
      </c>
      <c r="C4" s="2" t="s">
        <v>147</v>
      </c>
      <c r="D4" s="10" t="str">
        <f>BK4</f>
        <v>E345050_01</v>
      </c>
      <c r="E4" s="10">
        <f>BL4</f>
        <v>0</v>
      </c>
      <c r="F4" s="2"/>
      <c r="G4" s="3" t="s">
        <v>352</v>
      </c>
      <c r="H4" s="3" t="str" cm="1">
        <f t="array" ref="H4">IFERROR(_xlfn.IFS(B4="","",AND(B4="",G4=""),"",G4="","記載要"),"")</f>
        <v/>
      </c>
      <c r="I4" s="2" t="s">
        <v>115</v>
      </c>
      <c r="J4" s="2" t="s">
        <v>115</v>
      </c>
      <c r="K4" s="2" t="str">
        <f t="shared" si="3"/>
        <v>11WP01097039</v>
      </c>
      <c r="L4" s="7" t="str">
        <f t="shared" si="4"/>
        <v>2001/01/01</v>
      </c>
      <c r="M4" s="7" t="str">
        <f t="shared" si="5"/>
        <v>2199/12/31</v>
      </c>
      <c r="N4" s="2" t="str">
        <f t="shared" ref="N4" si="12">IF(LEFT(G4,1)="W",K4,"")</f>
        <v>11WP01097039</v>
      </c>
      <c r="O4" s="13">
        <v>15</v>
      </c>
      <c r="P4" s="15"/>
      <c r="Q4" s="13" t="str" cm="1">
        <f t="array" ref="Q4">_xlfn.IFS(AND(C4="",G4=""),"",LEFT(G4,1)="L","記載要",LEFT(G4,1)="W","",AND(C4,G4=""),"記載要")</f>
        <v/>
      </c>
      <c r="R4" s="18" t="str">
        <f t="shared" ref="R4:R22" si="13">IF(H4="","","記載要")</f>
        <v/>
      </c>
      <c r="S4" s="18"/>
      <c r="T4" s="2"/>
      <c r="U4" s="2"/>
      <c r="V4" s="2"/>
      <c r="W4" s="2"/>
      <c r="X4" s="2"/>
      <c r="Y4" s="2"/>
      <c r="Z4" s="2"/>
      <c r="AA4" s="13">
        <v>1</v>
      </c>
      <c r="AB4" s="13">
        <f t="shared" si="6"/>
        <v>0</v>
      </c>
      <c r="AC4" s="13">
        <f t="shared" si="7"/>
        <v>0</v>
      </c>
      <c r="AD4" s="15" t="s">
        <v>115</v>
      </c>
      <c r="AE4" s="15" t="s">
        <v>115</v>
      </c>
      <c r="AF4" s="13" t="str">
        <f t="shared" si="8"/>
        <v>1</v>
      </c>
      <c r="AG4" s="15" t="s">
        <v>115</v>
      </c>
      <c r="AH4" s="15" t="s">
        <v>115</v>
      </c>
      <c r="AI4" s="15" t="s">
        <v>115</v>
      </c>
      <c r="AJ4" s="14" t="s">
        <v>115</v>
      </c>
      <c r="AK4" s="15" cm="1">
        <f t="array" ref="AK4">_xlfn.IFS(B4="","",LEFT(G4,1)="L",1,LEFT(G4,1)="W",1,AND(LEFT(B4,1)="H",G4=""),0)</f>
        <v>1</v>
      </c>
      <c r="AL4" s="15" t="s">
        <v>115</v>
      </c>
      <c r="AM4" s="15" t="s">
        <v>115</v>
      </c>
      <c r="AN4" s="15" t="s">
        <v>115</v>
      </c>
      <c r="AO4" s="15" t="s">
        <v>115</v>
      </c>
      <c r="AP4" s="15" t="s">
        <v>115</v>
      </c>
      <c r="AQ4" s="15" t="s">
        <v>115</v>
      </c>
      <c r="AR4" s="15" t="s">
        <v>115</v>
      </c>
      <c r="AS4" s="15" t="str">
        <f t="shared" ref="AS4" si="14">IF(Q4="","",1)</f>
        <v/>
      </c>
      <c r="AT4" s="15" t="s">
        <v>115</v>
      </c>
      <c r="AU4" s="13" t="str">
        <f t="shared" si="9"/>
        <v>0</v>
      </c>
      <c r="AV4" s="15" t="s">
        <v>115</v>
      </c>
      <c r="AW4" s="15" t="s">
        <v>115</v>
      </c>
      <c r="AX4" s="15" t="s">
        <v>115</v>
      </c>
      <c r="AY4" s="15" t="s">
        <v>115</v>
      </c>
      <c r="AZ4" s="14" t="s">
        <v>115</v>
      </c>
      <c r="BA4" s="15" t="s">
        <v>115</v>
      </c>
      <c r="BB4" s="15" t="s">
        <v>115</v>
      </c>
      <c r="BC4" s="15" t="s">
        <v>115</v>
      </c>
      <c r="BD4" s="13" t="str">
        <f t="shared" si="10"/>
        <v>0</v>
      </c>
      <c r="BE4" s="2" t="s">
        <v>115</v>
      </c>
      <c r="BF4" s="2" t="s">
        <v>115</v>
      </c>
      <c r="BG4" s="2" t="s">
        <v>115</v>
      </c>
      <c r="BH4" s="2" t="s">
        <v>115</v>
      </c>
      <c r="BI4" s="2" t="s">
        <v>115</v>
      </c>
      <c r="BJ4" s="2" t="s">
        <v>115</v>
      </c>
      <c r="BK4" s="2" t="s">
        <v>153</v>
      </c>
      <c r="BL4" s="10"/>
      <c r="BM4" t="str" cm="1">
        <f t="array" ref="BM4">_xlfn.IFS(LEFT(G4,1)="L","外注品",LEFT(G4,1)="W","内製品",G4="","購買品")</f>
        <v>内製品</v>
      </c>
    </row>
    <row r="5" spans="1:65">
      <c r="A5" s="2" t="str">
        <f t="shared" si="0"/>
        <v>WG01</v>
      </c>
      <c r="B5" s="2" t="s">
        <v>131</v>
      </c>
      <c r="C5" s="2" t="s">
        <v>147</v>
      </c>
      <c r="D5" s="10" t="str">
        <f t="shared" si="1"/>
        <v>E345050_01</v>
      </c>
      <c r="E5" s="10">
        <f t="shared" si="2"/>
        <v>0</v>
      </c>
      <c r="F5" s="2"/>
      <c r="G5" s="3" t="s">
        <v>352</v>
      </c>
      <c r="H5" s="3" t="str" cm="1">
        <f t="array" ref="H5">IFERROR(_xlfn.IFS(B5="","",AND(B5="",G5=""),"",G5="","記載要"),"")</f>
        <v/>
      </c>
      <c r="I5" s="2" t="s">
        <v>115</v>
      </c>
      <c r="J5" s="2" t="s">
        <v>115</v>
      </c>
      <c r="K5" s="2" t="str">
        <f t="shared" si="3"/>
        <v>11WP01097040</v>
      </c>
      <c r="L5" s="7" t="str">
        <f t="shared" si="4"/>
        <v>2001/01/01</v>
      </c>
      <c r="M5" s="7" t="str">
        <f t="shared" si="5"/>
        <v>2199/12/31</v>
      </c>
      <c r="N5" s="2" t="str">
        <f t="shared" ref="N5:N76" si="15">IF(LEFT(G5,1)="W",K5,"")</f>
        <v>11WP01097040</v>
      </c>
      <c r="O5" s="13">
        <v>15</v>
      </c>
      <c r="P5" s="15"/>
      <c r="Q5" s="13" t="str" cm="1">
        <f t="array" ref="Q5">_xlfn.IFS(AND(C5="",G5=""),"",LEFT(G5,1)="L","記載要",LEFT(G5,1)="W","",AND(C5,G5=""),"記載要")</f>
        <v/>
      </c>
      <c r="R5" s="18" t="str">
        <f t="shared" si="13"/>
        <v/>
      </c>
      <c r="S5" s="18"/>
      <c r="T5" s="2"/>
      <c r="U5" s="2"/>
      <c r="V5" s="2"/>
      <c r="W5" s="2"/>
      <c r="X5" s="2"/>
      <c r="Y5" s="2"/>
      <c r="Z5" s="2"/>
      <c r="AA5" s="13">
        <v>1</v>
      </c>
      <c r="AB5" s="13">
        <f t="shared" si="6"/>
        <v>0</v>
      </c>
      <c r="AC5" s="13">
        <f t="shared" si="7"/>
        <v>0</v>
      </c>
      <c r="AD5" s="15" t="s">
        <v>115</v>
      </c>
      <c r="AE5" s="15" t="s">
        <v>115</v>
      </c>
      <c r="AF5" s="13" t="str">
        <f t="shared" si="8"/>
        <v>1</v>
      </c>
      <c r="AG5" s="15" t="s">
        <v>115</v>
      </c>
      <c r="AH5" s="15" t="s">
        <v>115</v>
      </c>
      <c r="AI5" s="15" t="s">
        <v>115</v>
      </c>
      <c r="AJ5" s="14" t="s">
        <v>115</v>
      </c>
      <c r="AK5" s="15" cm="1">
        <f t="array" ref="AK5">_xlfn.IFS(B5="","",LEFT(G5,1)="L",1,LEFT(G5,1)="W",1,AND(LEFT(B5,1)="H",G5=""),0)</f>
        <v>1</v>
      </c>
      <c r="AL5" s="15" t="s">
        <v>115</v>
      </c>
      <c r="AM5" s="15" t="s">
        <v>115</v>
      </c>
      <c r="AN5" s="15" t="s">
        <v>115</v>
      </c>
      <c r="AO5" s="15" t="s">
        <v>115</v>
      </c>
      <c r="AP5" s="15" t="s">
        <v>115</v>
      </c>
      <c r="AQ5" s="15" t="s">
        <v>115</v>
      </c>
      <c r="AR5" s="15" t="s">
        <v>115</v>
      </c>
      <c r="AS5" s="15" t="str">
        <f t="shared" ref="AS5:AS76" si="16">IF(Q5="","",1)</f>
        <v/>
      </c>
      <c r="AT5" s="15" t="s">
        <v>115</v>
      </c>
      <c r="AU5" s="13" t="str">
        <f t="shared" si="9"/>
        <v>0</v>
      </c>
      <c r="AV5" s="15" t="s">
        <v>115</v>
      </c>
      <c r="AW5" s="15" t="s">
        <v>115</v>
      </c>
      <c r="AX5" s="15" t="s">
        <v>115</v>
      </c>
      <c r="AY5" s="15" t="s">
        <v>115</v>
      </c>
      <c r="AZ5" s="14" t="s">
        <v>115</v>
      </c>
      <c r="BA5" s="15" t="s">
        <v>115</v>
      </c>
      <c r="BB5" s="15" t="s">
        <v>115</v>
      </c>
      <c r="BC5" s="15" t="s">
        <v>115</v>
      </c>
      <c r="BD5" s="13" t="str">
        <f t="shared" si="10"/>
        <v>0</v>
      </c>
      <c r="BE5" s="2" t="s">
        <v>115</v>
      </c>
      <c r="BF5" s="2" t="s">
        <v>115</v>
      </c>
      <c r="BG5" s="2" t="s">
        <v>115</v>
      </c>
      <c r="BH5" s="2" t="s">
        <v>115</v>
      </c>
      <c r="BI5" s="2" t="s">
        <v>115</v>
      </c>
      <c r="BJ5" s="2" t="s">
        <v>115</v>
      </c>
      <c r="BK5" s="2" t="s">
        <v>153</v>
      </c>
      <c r="BL5" s="10"/>
      <c r="BM5" t="str" cm="1">
        <f t="array" ref="BM5">_xlfn.IFS(LEFT(G5,1)="L","外注品",LEFT(G5,1)="W","内製品",G5="","購買品")</f>
        <v>内製品</v>
      </c>
    </row>
    <row r="6" spans="1:65">
      <c r="A6" s="2" t="str">
        <f t="shared" ref="A6" si="17">IF(B6="","","WG01")</f>
        <v>WG01</v>
      </c>
      <c r="B6" s="2" t="s">
        <v>132</v>
      </c>
      <c r="C6" s="2" t="s">
        <v>147</v>
      </c>
      <c r="D6" s="10" t="str">
        <f t="shared" ref="D6" si="18">BK6</f>
        <v>E345050_01</v>
      </c>
      <c r="E6" s="10">
        <f t="shared" ref="E6" si="19">BL6</f>
        <v>0</v>
      </c>
      <c r="F6" s="2"/>
      <c r="G6" s="3" t="s">
        <v>352</v>
      </c>
      <c r="H6" s="3" t="str" cm="1">
        <f t="array" ref="H6">IFERROR(_xlfn.IFS(B6="","",AND(B6="",G6=""),"",G6="","記載要"),"")</f>
        <v/>
      </c>
      <c r="I6" s="2"/>
      <c r="J6" s="2"/>
      <c r="K6" s="2" t="str">
        <f t="shared" si="3"/>
        <v>11WP01097041</v>
      </c>
      <c r="L6" s="7" t="str">
        <f t="shared" si="4"/>
        <v>2001/01/01</v>
      </c>
      <c r="M6" s="7" t="str">
        <f t="shared" si="5"/>
        <v>2199/12/31</v>
      </c>
      <c r="N6" s="2" t="str">
        <f t="shared" ref="N6" si="20">IF(LEFT(G6,1)="W",K6,"")</f>
        <v>11WP01097041</v>
      </c>
      <c r="O6" s="13">
        <v>15</v>
      </c>
      <c r="P6" s="15"/>
      <c r="Q6" s="13" t="str" cm="1">
        <f t="array" ref="Q6">_xlfn.IFS(AND(C6="",G6=""),"",LEFT(G6,1)="L","記載要",LEFT(G6,1)="W","",AND(C6,G6=""),"記載要")</f>
        <v/>
      </c>
      <c r="R6" s="18" t="str">
        <f t="shared" si="13"/>
        <v/>
      </c>
      <c r="S6" s="18"/>
      <c r="T6" s="2"/>
      <c r="U6" s="2"/>
      <c r="V6" s="2"/>
      <c r="W6" s="2"/>
      <c r="X6" s="2"/>
      <c r="Y6" s="2"/>
      <c r="Z6" s="2"/>
      <c r="AA6" s="13">
        <v>1</v>
      </c>
      <c r="AB6" s="13">
        <f t="shared" si="6"/>
        <v>0</v>
      </c>
      <c r="AC6" s="13">
        <f t="shared" si="7"/>
        <v>0</v>
      </c>
      <c r="AD6" s="15"/>
      <c r="AE6" s="15"/>
      <c r="AF6" s="13" t="str">
        <f t="shared" si="8"/>
        <v>1</v>
      </c>
      <c r="AG6" s="15"/>
      <c r="AH6" s="15"/>
      <c r="AI6" s="15"/>
      <c r="AJ6" s="14"/>
      <c r="AK6" s="15" cm="1">
        <f t="array" ref="AK6">_xlfn.IFS(B6="","",LEFT(G6,1)="L",1,LEFT(G6,1)="W",1,AND(LEFT(B6,1)="H",G6=""),0)</f>
        <v>1</v>
      </c>
      <c r="AL6" s="15"/>
      <c r="AM6" s="15"/>
      <c r="AN6" s="15"/>
      <c r="AO6" s="15"/>
      <c r="AP6" s="15"/>
      <c r="AQ6" s="15"/>
      <c r="AR6" s="15"/>
      <c r="AS6" s="15" t="str">
        <f t="shared" ref="AS6" si="21">IF(Q6="","",1)</f>
        <v/>
      </c>
      <c r="AT6" s="15" t="s">
        <v>115</v>
      </c>
      <c r="AU6" s="13" t="str">
        <f t="shared" si="9"/>
        <v>0</v>
      </c>
      <c r="AV6" s="15"/>
      <c r="AW6" s="15"/>
      <c r="AX6" s="15"/>
      <c r="AY6" s="15"/>
      <c r="AZ6" s="14"/>
      <c r="BA6" s="15"/>
      <c r="BB6" s="15"/>
      <c r="BC6" s="15"/>
      <c r="BD6" s="13" t="str">
        <f t="shared" si="10"/>
        <v>0</v>
      </c>
      <c r="BE6" s="2"/>
      <c r="BF6" s="2"/>
      <c r="BG6" s="2"/>
      <c r="BH6" s="2"/>
      <c r="BI6" s="2"/>
      <c r="BJ6" s="2"/>
      <c r="BK6" s="2" t="s">
        <v>153</v>
      </c>
      <c r="BL6" s="10"/>
      <c r="BM6" t="str" cm="1">
        <f t="array" ref="BM6">_xlfn.IFS(LEFT(G6,1)="L","外注品",LEFT(G6,1)="W","内製品",G6="","購買品")</f>
        <v>内製品</v>
      </c>
    </row>
    <row r="7" spans="1:65">
      <c r="A7" s="2" t="str">
        <f t="shared" si="0"/>
        <v>WG01</v>
      </c>
      <c r="B7" s="2" t="s">
        <v>133</v>
      </c>
      <c r="C7" s="2" t="s">
        <v>148</v>
      </c>
      <c r="D7" s="10" t="str">
        <f t="shared" si="1"/>
        <v>E345050_01</v>
      </c>
      <c r="E7" s="10">
        <f t="shared" si="2"/>
        <v>0</v>
      </c>
      <c r="F7" s="2"/>
      <c r="G7" s="3" t="s">
        <v>352</v>
      </c>
      <c r="H7" s="3" t="str" cm="1">
        <f t="array" ref="H7">IFERROR(_xlfn.IFS(B7="","",AND(B7="",G7=""),"",G7="","記載要"),"")</f>
        <v/>
      </c>
      <c r="I7" s="2"/>
      <c r="J7" s="2"/>
      <c r="K7" s="2" t="str">
        <f t="shared" si="3"/>
        <v>11WP01097042</v>
      </c>
      <c r="L7" s="7" t="str">
        <f t="shared" si="4"/>
        <v>2001/01/01</v>
      </c>
      <c r="M7" s="7" t="str">
        <f t="shared" si="5"/>
        <v>2199/12/31</v>
      </c>
      <c r="N7" s="2" t="str">
        <f t="shared" si="15"/>
        <v>11WP01097042</v>
      </c>
      <c r="O7" s="13">
        <v>15</v>
      </c>
      <c r="P7" s="15"/>
      <c r="Q7" s="13" t="str" cm="1">
        <f t="array" ref="Q7">_xlfn.IFS(AND(C7="",G7=""),"",LEFT(G7,1)="L","記載要",LEFT(G7,1)="W","",AND(C7,G7=""),"記載要")</f>
        <v/>
      </c>
      <c r="R7" s="18" t="str">
        <f t="shared" si="13"/>
        <v/>
      </c>
      <c r="S7" s="18"/>
      <c r="T7" s="2"/>
      <c r="U7" s="2"/>
      <c r="V7" s="2"/>
      <c r="W7" s="2"/>
      <c r="X7" s="2"/>
      <c r="Y7" s="2"/>
      <c r="Z7" s="2"/>
      <c r="AA7" s="13">
        <v>1</v>
      </c>
      <c r="AB7" s="13">
        <f t="shared" si="6"/>
        <v>0</v>
      </c>
      <c r="AC7" s="13">
        <f t="shared" si="7"/>
        <v>0</v>
      </c>
      <c r="AD7" s="15"/>
      <c r="AE7" s="15"/>
      <c r="AF7" s="13" t="str">
        <f t="shared" si="8"/>
        <v>1</v>
      </c>
      <c r="AG7" s="15"/>
      <c r="AH7" s="15"/>
      <c r="AI7" s="15"/>
      <c r="AJ7" s="14"/>
      <c r="AK7" s="15" cm="1">
        <f t="array" ref="AK7">_xlfn.IFS(B7="","",LEFT(G7,1)="L",1,LEFT(G7,1)="W",1,AND(LEFT(B7,1)="H",G7=""),0)</f>
        <v>1</v>
      </c>
      <c r="AL7" s="15"/>
      <c r="AM7" s="15"/>
      <c r="AN7" s="15"/>
      <c r="AO7" s="15"/>
      <c r="AP7" s="15"/>
      <c r="AQ7" s="15"/>
      <c r="AR7" s="15"/>
      <c r="AS7" s="15" t="str">
        <f t="shared" si="16"/>
        <v/>
      </c>
      <c r="AT7" s="15" t="s">
        <v>115</v>
      </c>
      <c r="AU7" s="13" t="str">
        <f t="shared" si="9"/>
        <v>0</v>
      </c>
      <c r="AV7" s="15"/>
      <c r="AW7" s="15"/>
      <c r="AX7" s="15"/>
      <c r="AY7" s="15"/>
      <c r="AZ7" s="14"/>
      <c r="BA7" s="15"/>
      <c r="BB7" s="15"/>
      <c r="BC7" s="15"/>
      <c r="BD7" s="13" t="str">
        <f t="shared" si="10"/>
        <v>0</v>
      </c>
      <c r="BE7" s="2"/>
      <c r="BF7" s="2"/>
      <c r="BG7" s="2"/>
      <c r="BH7" s="2"/>
      <c r="BI7" s="2"/>
      <c r="BJ7" s="2"/>
      <c r="BK7" s="2" t="s">
        <v>153</v>
      </c>
      <c r="BL7" s="10"/>
      <c r="BM7" t="str" cm="1">
        <f t="array" ref="BM7">_xlfn.IFS(LEFT(G7,1)="L","外注品",LEFT(G7,1)="W","内製品",G7="","購買品")</f>
        <v>内製品</v>
      </c>
    </row>
    <row r="8" spans="1:65">
      <c r="A8" s="2" t="str">
        <f t="shared" ref="A8" si="22">IF(B8="","","WG01")</f>
        <v>WG01</v>
      </c>
      <c r="B8" s="2" t="s">
        <v>134</v>
      </c>
      <c r="C8" s="2" t="s">
        <v>148</v>
      </c>
      <c r="D8" s="10" t="str">
        <f t="shared" ref="D8" si="23">BK8</f>
        <v>E345050_01</v>
      </c>
      <c r="E8" s="10">
        <f t="shared" ref="E8" si="24">BL8</f>
        <v>0</v>
      </c>
      <c r="F8" s="2"/>
      <c r="G8" s="3" t="s">
        <v>352</v>
      </c>
      <c r="H8" s="3" t="str" cm="1">
        <f t="array" ref="H8">IFERROR(_xlfn.IFS(B8="","",AND(B8="",G8=""),"",G8="","記載要"),"")</f>
        <v/>
      </c>
      <c r="I8" s="2"/>
      <c r="J8" s="2"/>
      <c r="K8" s="2" t="str">
        <f t="shared" si="3"/>
        <v>11WP01097043</v>
      </c>
      <c r="L8" s="7" t="str">
        <f t="shared" si="4"/>
        <v>2001/01/01</v>
      </c>
      <c r="M8" s="7" t="str">
        <f t="shared" si="5"/>
        <v>2199/12/31</v>
      </c>
      <c r="N8" s="2" t="str">
        <f t="shared" ref="N8" si="25">IF(LEFT(G8,1)="W",K8,"")</f>
        <v>11WP01097043</v>
      </c>
      <c r="O8" s="13">
        <v>15</v>
      </c>
      <c r="P8" s="15"/>
      <c r="Q8" s="13" t="str" cm="1">
        <f t="array" ref="Q8">_xlfn.IFS(AND(C8="",G8=""),"",LEFT(G8,1)="L","記載要",LEFT(G8,1)="W","",AND(C8,G8=""),"記載要")</f>
        <v/>
      </c>
      <c r="R8" s="18" t="str">
        <f t="shared" si="13"/>
        <v/>
      </c>
      <c r="S8" s="18"/>
      <c r="T8" s="2"/>
      <c r="U8" s="2"/>
      <c r="V8" s="2"/>
      <c r="W8" s="2"/>
      <c r="X8" s="2"/>
      <c r="Y8" s="2"/>
      <c r="Z8" s="2"/>
      <c r="AA8" s="13">
        <v>1</v>
      </c>
      <c r="AB8" s="13">
        <f t="shared" si="6"/>
        <v>0</v>
      </c>
      <c r="AC8" s="13">
        <f t="shared" si="7"/>
        <v>0</v>
      </c>
      <c r="AD8" s="15"/>
      <c r="AE8" s="15"/>
      <c r="AF8" s="13" t="str">
        <f t="shared" si="8"/>
        <v>1</v>
      </c>
      <c r="AG8" s="15"/>
      <c r="AH8" s="15"/>
      <c r="AI8" s="15"/>
      <c r="AJ8" s="14"/>
      <c r="AK8" s="15" cm="1">
        <f t="array" ref="AK8">_xlfn.IFS(B8="","",LEFT(G8,1)="L",1,LEFT(G8,1)="W",1,AND(LEFT(B8,1)="H",G8=""),0)</f>
        <v>1</v>
      </c>
      <c r="AL8" s="15"/>
      <c r="AM8" s="15"/>
      <c r="AN8" s="15"/>
      <c r="AO8" s="15"/>
      <c r="AP8" s="15"/>
      <c r="AQ8" s="15"/>
      <c r="AR8" s="15"/>
      <c r="AS8" s="15" t="str">
        <f t="shared" ref="AS8" si="26">IF(Q8="","",1)</f>
        <v/>
      </c>
      <c r="AT8" s="15" t="s">
        <v>115</v>
      </c>
      <c r="AU8" s="13" t="str">
        <f t="shared" si="9"/>
        <v>0</v>
      </c>
      <c r="AV8" s="15"/>
      <c r="AW8" s="15"/>
      <c r="AX8" s="15"/>
      <c r="AY8" s="15"/>
      <c r="AZ8" s="14"/>
      <c r="BA8" s="15"/>
      <c r="BB8" s="15"/>
      <c r="BC8" s="15"/>
      <c r="BD8" s="13" t="str">
        <f t="shared" si="10"/>
        <v>0</v>
      </c>
      <c r="BE8" s="2"/>
      <c r="BF8" s="2"/>
      <c r="BG8" s="2"/>
      <c r="BH8" s="2"/>
      <c r="BI8" s="2"/>
      <c r="BJ8" s="2"/>
      <c r="BK8" s="2" t="s">
        <v>153</v>
      </c>
      <c r="BL8" s="10"/>
      <c r="BM8" t="str" cm="1">
        <f t="array" ref="BM8">_xlfn.IFS(LEFT(G8,1)="L","外注品",LEFT(G8,1)="W","内製品",G8="","購買品")</f>
        <v>内製品</v>
      </c>
    </row>
    <row r="9" spans="1:65">
      <c r="A9" s="2" t="str">
        <f t="shared" si="0"/>
        <v>WG01</v>
      </c>
      <c r="B9" s="2" t="s">
        <v>135</v>
      </c>
      <c r="C9" s="2" t="s">
        <v>148</v>
      </c>
      <c r="D9" s="10" t="str">
        <f t="shared" si="1"/>
        <v>E345050_01</v>
      </c>
      <c r="E9" s="10">
        <f t="shared" si="2"/>
        <v>0</v>
      </c>
      <c r="F9" s="2"/>
      <c r="G9" s="3" t="s">
        <v>352</v>
      </c>
      <c r="H9" s="3" t="str" cm="1">
        <f t="array" ref="H9">IFERROR(_xlfn.IFS(B9="","",AND(B9="",G9=""),"",G9="","記載要"),"")</f>
        <v/>
      </c>
      <c r="I9" s="2"/>
      <c r="J9" s="2"/>
      <c r="K9" s="2" t="str">
        <f t="shared" si="3"/>
        <v>11WP01097044</v>
      </c>
      <c r="L9" s="7" t="str">
        <f t="shared" si="4"/>
        <v>2001/01/01</v>
      </c>
      <c r="M9" s="7" t="str">
        <f t="shared" si="5"/>
        <v>2199/12/31</v>
      </c>
      <c r="N9" s="2" t="str">
        <f t="shared" si="15"/>
        <v>11WP01097044</v>
      </c>
      <c r="O9" s="13">
        <v>15</v>
      </c>
      <c r="P9" s="15"/>
      <c r="Q9" s="13" t="str" cm="1">
        <f t="array" ref="Q9">_xlfn.IFS(AND(C9="",G9=""),"",LEFT(G9,1)="L","記載要",LEFT(G9,1)="W","",AND(C9,G9=""),"記載要")</f>
        <v/>
      </c>
      <c r="R9" s="18" t="str">
        <f t="shared" si="13"/>
        <v/>
      </c>
      <c r="S9" s="18"/>
      <c r="T9" s="2"/>
      <c r="U9" s="2"/>
      <c r="V9" s="2"/>
      <c r="W9" s="2"/>
      <c r="X9" s="2"/>
      <c r="Y9" s="2"/>
      <c r="Z9" s="2"/>
      <c r="AA9" s="13">
        <v>1</v>
      </c>
      <c r="AB9" s="13">
        <f t="shared" si="6"/>
        <v>0</v>
      </c>
      <c r="AC9" s="13">
        <f t="shared" si="7"/>
        <v>0</v>
      </c>
      <c r="AD9" s="15"/>
      <c r="AE9" s="15"/>
      <c r="AF9" s="13" t="str">
        <f t="shared" si="8"/>
        <v>1</v>
      </c>
      <c r="AG9" s="15"/>
      <c r="AH9" s="15"/>
      <c r="AI9" s="15"/>
      <c r="AJ9" s="14"/>
      <c r="AK9" s="15" cm="1">
        <f t="array" ref="AK9">_xlfn.IFS(B9="","",LEFT(G9,1)="L",1,LEFT(G9,1)="W",1,AND(LEFT(B9,1)="H",G9=""),0)</f>
        <v>1</v>
      </c>
      <c r="AL9" s="15"/>
      <c r="AM9" s="15"/>
      <c r="AN9" s="15"/>
      <c r="AO9" s="15"/>
      <c r="AP9" s="15"/>
      <c r="AQ9" s="15"/>
      <c r="AR9" s="15"/>
      <c r="AS9" s="15" t="str">
        <f t="shared" si="16"/>
        <v/>
      </c>
      <c r="AT9" s="15" t="s">
        <v>115</v>
      </c>
      <c r="AU9" s="13" t="str">
        <f t="shared" si="9"/>
        <v>0</v>
      </c>
      <c r="AV9" s="15"/>
      <c r="AW9" s="15"/>
      <c r="AX9" s="15"/>
      <c r="AY9" s="15"/>
      <c r="AZ9" s="14"/>
      <c r="BA9" s="15"/>
      <c r="BB9" s="15"/>
      <c r="BC9" s="15"/>
      <c r="BD9" s="13" t="str">
        <f t="shared" si="10"/>
        <v>0</v>
      </c>
      <c r="BE9" s="2"/>
      <c r="BF9" s="2"/>
      <c r="BG9" s="2"/>
      <c r="BH9" s="2"/>
      <c r="BI9" s="2"/>
      <c r="BJ9" s="2"/>
      <c r="BK9" s="2" t="s">
        <v>153</v>
      </c>
      <c r="BL9" s="10"/>
      <c r="BM9" t="str" cm="1">
        <f t="array" ref="BM9">_xlfn.IFS(LEFT(G9,1)="L","外注品",LEFT(G9,1)="W","内製品",G9="","購買品")</f>
        <v>内製品</v>
      </c>
    </row>
    <row r="10" spans="1:65">
      <c r="A10" s="2" t="str">
        <f t="shared" si="0"/>
        <v>WG01</v>
      </c>
      <c r="B10" s="2" t="s">
        <v>136</v>
      </c>
      <c r="C10" s="2" t="s">
        <v>148</v>
      </c>
      <c r="D10" s="10" t="str">
        <f t="shared" ref="D10:D76" si="27">BK10</f>
        <v>E345050_01</v>
      </c>
      <c r="E10" s="10">
        <f t="shared" ref="E10:E76" si="28">BL10</f>
        <v>0</v>
      </c>
      <c r="F10" s="2"/>
      <c r="G10" s="3" t="s">
        <v>352</v>
      </c>
      <c r="H10" s="3" t="str" cm="1">
        <f t="array" ref="H10">IFERROR(_xlfn.IFS(B10="","",AND(B10="",G10=""),"",G10="","記載要"),"")</f>
        <v/>
      </c>
      <c r="I10" s="2"/>
      <c r="J10" s="2"/>
      <c r="K10" s="2" t="str">
        <f t="shared" si="3"/>
        <v>11WP01097045</v>
      </c>
      <c r="L10" s="7" t="str">
        <f t="shared" si="4"/>
        <v>2001/01/01</v>
      </c>
      <c r="M10" s="7" t="str">
        <f t="shared" si="5"/>
        <v>2199/12/31</v>
      </c>
      <c r="N10" s="2" t="str">
        <f t="shared" si="15"/>
        <v>11WP01097045</v>
      </c>
      <c r="O10" s="13">
        <v>15</v>
      </c>
      <c r="P10" s="15"/>
      <c r="Q10" s="13" t="str" cm="1">
        <f t="array" ref="Q10">_xlfn.IFS(AND(C10="",G10=""),"",LEFT(G10,1)="L","記載要",LEFT(G10,1)="W","",AND(C10,G10=""),"記載要")</f>
        <v/>
      </c>
      <c r="R10" s="18" t="str">
        <f t="shared" si="13"/>
        <v/>
      </c>
      <c r="S10" s="18"/>
      <c r="T10" s="2"/>
      <c r="U10" s="2"/>
      <c r="V10" s="2"/>
      <c r="W10" s="2"/>
      <c r="X10" s="2"/>
      <c r="Y10" s="2"/>
      <c r="Z10" s="2"/>
      <c r="AA10" s="13">
        <v>1</v>
      </c>
      <c r="AB10" s="13">
        <f t="shared" si="6"/>
        <v>0</v>
      </c>
      <c r="AC10" s="13">
        <f t="shared" si="7"/>
        <v>0</v>
      </c>
      <c r="AD10" s="15"/>
      <c r="AE10" s="15"/>
      <c r="AF10" s="13" t="str">
        <f t="shared" si="8"/>
        <v>1</v>
      </c>
      <c r="AG10" s="15"/>
      <c r="AH10" s="15"/>
      <c r="AI10" s="15"/>
      <c r="AJ10" s="14"/>
      <c r="AK10" s="15" cm="1">
        <f t="array" ref="AK10">_xlfn.IFS(B10="","",LEFT(G10,1)="L",1,LEFT(G10,1)="W",1,AND(LEFT(B10,1)="H",G10=""),0)</f>
        <v>1</v>
      </c>
      <c r="AL10" s="15"/>
      <c r="AM10" s="15"/>
      <c r="AN10" s="15"/>
      <c r="AO10" s="15"/>
      <c r="AP10" s="15"/>
      <c r="AQ10" s="15"/>
      <c r="AR10" s="15"/>
      <c r="AS10" s="15" t="str">
        <f t="shared" si="16"/>
        <v/>
      </c>
      <c r="AT10" s="15" t="s">
        <v>115</v>
      </c>
      <c r="AU10" s="13" t="str">
        <f t="shared" si="9"/>
        <v>0</v>
      </c>
      <c r="AV10" s="15"/>
      <c r="AW10" s="15"/>
      <c r="AX10" s="15"/>
      <c r="AY10" s="15"/>
      <c r="AZ10" s="14"/>
      <c r="BA10" s="15"/>
      <c r="BB10" s="15"/>
      <c r="BC10" s="15"/>
      <c r="BD10" s="13" t="str">
        <f t="shared" si="10"/>
        <v>0</v>
      </c>
      <c r="BE10" s="2"/>
      <c r="BF10" s="2"/>
      <c r="BG10" s="2"/>
      <c r="BH10" s="2"/>
      <c r="BI10" s="2"/>
      <c r="BJ10" s="2"/>
      <c r="BK10" s="2" t="s">
        <v>153</v>
      </c>
      <c r="BL10" s="10"/>
      <c r="BM10" t="str" cm="1">
        <f t="array" ref="BM10">_xlfn.IFS(LEFT(G10,1)="L","外注品",LEFT(G10,1)="W","内製品",G10="","購買品")</f>
        <v>内製品</v>
      </c>
    </row>
    <row r="11" spans="1:65">
      <c r="A11" s="2" t="str">
        <f t="shared" si="0"/>
        <v>WG01</v>
      </c>
      <c r="B11" s="2" t="s">
        <v>137</v>
      </c>
      <c r="C11" s="2" t="s">
        <v>149</v>
      </c>
      <c r="D11" s="10" t="str">
        <f t="shared" si="27"/>
        <v>E394338_01</v>
      </c>
      <c r="E11" s="10">
        <f t="shared" si="28"/>
        <v>0</v>
      </c>
      <c r="F11" s="2"/>
      <c r="G11" s="3" t="s">
        <v>352</v>
      </c>
      <c r="H11" s="3" t="str" cm="1">
        <f t="array" ref="H11">IFERROR(_xlfn.IFS(B11="","",AND(B11="",G11=""),"",G11="","記載要"),"")</f>
        <v/>
      </c>
      <c r="I11" s="2"/>
      <c r="J11" s="2"/>
      <c r="K11" s="2" t="str">
        <f t="shared" si="3"/>
        <v>11WP01091745</v>
      </c>
      <c r="L11" s="7" t="str">
        <f t="shared" si="4"/>
        <v>2001/01/01</v>
      </c>
      <c r="M11" s="7" t="str">
        <f t="shared" si="5"/>
        <v>2199/12/31</v>
      </c>
      <c r="N11" s="2" t="str">
        <f t="shared" si="15"/>
        <v>11WP01091745</v>
      </c>
      <c r="O11" s="13">
        <v>15</v>
      </c>
      <c r="P11" s="15"/>
      <c r="Q11" s="13" t="str" cm="1">
        <f t="array" ref="Q11">_xlfn.IFS(AND(C11="",G11=""),"",LEFT(G11,1)="L","記載要",LEFT(G11,1)="W","",AND(C11,G11=""),"記載要")</f>
        <v/>
      </c>
      <c r="R11" s="18" t="str">
        <f t="shared" si="13"/>
        <v/>
      </c>
      <c r="S11" s="18"/>
      <c r="T11" s="2"/>
      <c r="U11" s="2"/>
      <c r="V11" s="2"/>
      <c r="W11" s="2"/>
      <c r="X11" s="2"/>
      <c r="Y11" s="2"/>
      <c r="Z11" s="2"/>
      <c r="AA11" s="13">
        <v>1</v>
      </c>
      <c r="AB11" s="13">
        <f t="shared" si="6"/>
        <v>0</v>
      </c>
      <c r="AC11" s="13">
        <f t="shared" si="7"/>
        <v>0</v>
      </c>
      <c r="AD11" s="15"/>
      <c r="AE11" s="15"/>
      <c r="AF11" s="13" t="str">
        <f t="shared" si="8"/>
        <v>1</v>
      </c>
      <c r="AG11" s="15"/>
      <c r="AH11" s="15"/>
      <c r="AI11" s="15"/>
      <c r="AJ11" s="14"/>
      <c r="AK11" s="15" cm="1">
        <f t="array" ref="AK11">_xlfn.IFS(B11="","",LEFT(G11,1)="L",1,LEFT(G11,1)="W",1,AND(LEFT(B11,1)="H",G11=""),0)</f>
        <v>1</v>
      </c>
      <c r="AL11" s="15"/>
      <c r="AM11" s="15"/>
      <c r="AN11" s="15"/>
      <c r="AO11" s="15"/>
      <c r="AP11" s="15"/>
      <c r="AQ11" s="15"/>
      <c r="AR11" s="15"/>
      <c r="AS11" s="15" t="str">
        <f t="shared" si="16"/>
        <v/>
      </c>
      <c r="AT11" s="15" t="s">
        <v>115</v>
      </c>
      <c r="AU11" s="13" t="str">
        <f t="shared" si="9"/>
        <v>0</v>
      </c>
      <c r="AV11" s="15"/>
      <c r="AW11" s="15"/>
      <c r="AX11" s="15"/>
      <c r="AY11" s="15"/>
      <c r="AZ11" s="14"/>
      <c r="BA11" s="15"/>
      <c r="BB11" s="15"/>
      <c r="BC11" s="15"/>
      <c r="BD11" s="13" t="str">
        <f t="shared" si="10"/>
        <v>0</v>
      </c>
      <c r="BE11" s="2"/>
      <c r="BF11" s="2"/>
      <c r="BG11" s="2"/>
      <c r="BH11" s="2"/>
      <c r="BI11" s="2"/>
      <c r="BJ11" s="2"/>
      <c r="BK11" s="2" t="s">
        <v>154</v>
      </c>
      <c r="BL11" s="10"/>
      <c r="BM11" t="str" cm="1">
        <f t="array" ref="BM11">_xlfn.IFS(LEFT(G11,1)="L","外注品",LEFT(G11,1)="W","内製品",G11="","購買品")</f>
        <v>内製品</v>
      </c>
    </row>
    <row r="12" spans="1:65">
      <c r="A12" s="2" t="str">
        <f t="shared" si="0"/>
        <v>WG01</v>
      </c>
      <c r="B12" s="2" t="s">
        <v>138</v>
      </c>
      <c r="C12" s="2" t="s">
        <v>149</v>
      </c>
      <c r="D12" s="10" t="str">
        <f t="shared" si="27"/>
        <v>E394338_01</v>
      </c>
      <c r="E12" s="10">
        <f t="shared" si="28"/>
        <v>0</v>
      </c>
      <c r="F12" s="2"/>
      <c r="G12" s="3" t="s">
        <v>352</v>
      </c>
      <c r="H12" s="3" t="str" cm="1">
        <f t="array" ref="H12">IFERROR(_xlfn.IFS(B12="","",AND(B12="",G12=""),"",G12="","記載要"),"")</f>
        <v/>
      </c>
      <c r="I12" s="2"/>
      <c r="J12" s="2"/>
      <c r="K12" s="2" t="str">
        <f t="shared" si="3"/>
        <v>11WP01091746</v>
      </c>
      <c r="L12" s="7" t="str">
        <f t="shared" si="4"/>
        <v>2001/01/01</v>
      </c>
      <c r="M12" s="7" t="str">
        <f t="shared" si="5"/>
        <v>2199/12/31</v>
      </c>
      <c r="N12" s="2" t="str">
        <f t="shared" si="15"/>
        <v>11WP01091746</v>
      </c>
      <c r="O12" s="13">
        <v>15</v>
      </c>
      <c r="P12" s="15"/>
      <c r="Q12" s="13" t="str" cm="1">
        <f t="array" ref="Q12">_xlfn.IFS(AND(C12="",G12=""),"",LEFT(G12,1)="L","記載要",LEFT(G12,1)="W","",AND(C12,G12=""),"記載要")</f>
        <v/>
      </c>
      <c r="R12" s="18" t="str">
        <f t="shared" si="13"/>
        <v/>
      </c>
      <c r="S12" s="18"/>
      <c r="T12" s="2"/>
      <c r="U12" s="2"/>
      <c r="V12" s="2"/>
      <c r="W12" s="2"/>
      <c r="X12" s="2"/>
      <c r="Y12" s="2"/>
      <c r="Z12" s="2"/>
      <c r="AA12" s="13">
        <v>1</v>
      </c>
      <c r="AB12" s="13">
        <f t="shared" si="6"/>
        <v>0</v>
      </c>
      <c r="AC12" s="13">
        <f t="shared" si="7"/>
        <v>0</v>
      </c>
      <c r="AD12" s="15"/>
      <c r="AE12" s="15"/>
      <c r="AF12" s="13" t="str">
        <f t="shared" si="8"/>
        <v>1</v>
      </c>
      <c r="AG12" s="15"/>
      <c r="AH12" s="15"/>
      <c r="AI12" s="15"/>
      <c r="AJ12" s="14"/>
      <c r="AK12" s="15" cm="1">
        <f t="array" ref="AK12">_xlfn.IFS(B12="","",LEFT(G12,1)="L",1,LEFT(G12,1)="W",1,AND(LEFT(B12,1)="H",G12=""),0)</f>
        <v>1</v>
      </c>
      <c r="AL12" s="15"/>
      <c r="AM12" s="15"/>
      <c r="AN12" s="15"/>
      <c r="AO12" s="15"/>
      <c r="AP12" s="15"/>
      <c r="AQ12" s="15"/>
      <c r="AR12" s="15"/>
      <c r="AS12" s="15" t="str">
        <f t="shared" si="16"/>
        <v/>
      </c>
      <c r="AT12" s="15" t="s">
        <v>115</v>
      </c>
      <c r="AU12" s="13" t="str">
        <f t="shared" si="9"/>
        <v>0</v>
      </c>
      <c r="AV12" s="15"/>
      <c r="AW12" s="15"/>
      <c r="AX12" s="15"/>
      <c r="AY12" s="15"/>
      <c r="AZ12" s="14"/>
      <c r="BA12" s="15"/>
      <c r="BB12" s="15"/>
      <c r="BC12" s="15"/>
      <c r="BD12" s="13" t="str">
        <f t="shared" si="10"/>
        <v>0</v>
      </c>
      <c r="BE12" s="2"/>
      <c r="BF12" s="2"/>
      <c r="BG12" s="2"/>
      <c r="BH12" s="2"/>
      <c r="BI12" s="2"/>
      <c r="BJ12" s="2"/>
      <c r="BK12" s="2" t="s">
        <v>154</v>
      </c>
      <c r="BL12" s="10"/>
      <c r="BM12" t="str" cm="1">
        <f t="array" ref="BM12">_xlfn.IFS(LEFT(G12,1)="L","外注品",LEFT(G12,1)="W","内製品",G12="","購買品")</f>
        <v>内製品</v>
      </c>
    </row>
    <row r="13" spans="1:65">
      <c r="A13" s="2" t="str">
        <f t="shared" si="0"/>
        <v>WG01</v>
      </c>
      <c r="B13" s="2" t="s">
        <v>139</v>
      </c>
      <c r="C13" s="2" t="s">
        <v>149</v>
      </c>
      <c r="D13" s="10" t="str">
        <f t="shared" si="27"/>
        <v>E394338_01</v>
      </c>
      <c r="E13" s="10">
        <f t="shared" si="28"/>
        <v>0</v>
      </c>
      <c r="F13" s="2"/>
      <c r="G13" s="3" t="s">
        <v>352</v>
      </c>
      <c r="H13" s="3" t="str" cm="1">
        <f t="array" ref="H13">IFERROR(_xlfn.IFS(B13="","",AND(B13="",G13=""),"",G13="","記載要"),"")</f>
        <v/>
      </c>
      <c r="I13" s="2"/>
      <c r="J13" s="2"/>
      <c r="K13" s="2" t="str">
        <f t="shared" si="3"/>
        <v>11WP01091747</v>
      </c>
      <c r="L13" s="7" t="str">
        <f t="shared" si="4"/>
        <v>2001/01/01</v>
      </c>
      <c r="M13" s="7" t="str">
        <f t="shared" si="5"/>
        <v>2199/12/31</v>
      </c>
      <c r="N13" s="2" t="str">
        <f t="shared" si="15"/>
        <v>11WP01091747</v>
      </c>
      <c r="O13" s="13">
        <v>15</v>
      </c>
      <c r="P13" s="15"/>
      <c r="Q13" s="13" t="str" cm="1">
        <f t="array" ref="Q13">_xlfn.IFS(AND(C13="",G13=""),"",LEFT(G13,1)="L","記載要",LEFT(G13,1)="W","",AND(C13,G13=""),"記載要")</f>
        <v/>
      </c>
      <c r="R13" s="18" t="str">
        <f t="shared" si="13"/>
        <v/>
      </c>
      <c r="S13" s="18"/>
      <c r="T13" s="2"/>
      <c r="U13" s="2"/>
      <c r="V13" s="2"/>
      <c r="W13" s="2"/>
      <c r="X13" s="2"/>
      <c r="Y13" s="2"/>
      <c r="Z13" s="2"/>
      <c r="AA13" s="13">
        <v>1</v>
      </c>
      <c r="AB13" s="13">
        <f t="shared" si="6"/>
        <v>0</v>
      </c>
      <c r="AC13" s="13">
        <f t="shared" si="7"/>
        <v>0</v>
      </c>
      <c r="AD13" s="15"/>
      <c r="AE13" s="15"/>
      <c r="AF13" s="13" t="str">
        <f t="shared" si="8"/>
        <v>1</v>
      </c>
      <c r="AG13" s="15"/>
      <c r="AH13" s="15"/>
      <c r="AI13" s="15"/>
      <c r="AJ13" s="14"/>
      <c r="AK13" s="15" cm="1">
        <f t="array" ref="AK13">_xlfn.IFS(B13="","",LEFT(G13,1)="L",1,LEFT(G13,1)="W",1,AND(LEFT(B13,1)="H",G13=""),0)</f>
        <v>1</v>
      </c>
      <c r="AL13" s="15"/>
      <c r="AM13" s="15"/>
      <c r="AN13" s="15"/>
      <c r="AO13" s="15"/>
      <c r="AP13" s="15"/>
      <c r="AQ13" s="15"/>
      <c r="AR13" s="15"/>
      <c r="AS13" s="15" t="str">
        <f t="shared" si="16"/>
        <v/>
      </c>
      <c r="AT13" s="15" t="s">
        <v>115</v>
      </c>
      <c r="AU13" s="13" t="str">
        <f t="shared" si="9"/>
        <v>0</v>
      </c>
      <c r="AV13" s="15"/>
      <c r="AW13" s="15"/>
      <c r="AX13" s="15"/>
      <c r="AY13" s="15"/>
      <c r="AZ13" s="14"/>
      <c r="BA13" s="15"/>
      <c r="BB13" s="15"/>
      <c r="BC13" s="15"/>
      <c r="BD13" s="13" t="str">
        <f t="shared" si="10"/>
        <v>0</v>
      </c>
      <c r="BE13" s="2"/>
      <c r="BF13" s="2"/>
      <c r="BG13" s="2"/>
      <c r="BH13" s="2"/>
      <c r="BI13" s="2"/>
      <c r="BJ13" s="2"/>
      <c r="BK13" s="2" t="s">
        <v>154</v>
      </c>
      <c r="BL13" s="10"/>
      <c r="BM13" t="str" cm="1">
        <f t="array" ref="BM13">_xlfn.IFS(LEFT(G13,1)="L","外注品",LEFT(G13,1)="W","内製品",G13="","購買品")</f>
        <v>内製品</v>
      </c>
    </row>
    <row r="14" spans="1:65">
      <c r="A14" s="2" t="str">
        <f t="shared" si="0"/>
        <v>WG01</v>
      </c>
      <c r="B14" s="2" t="s">
        <v>140</v>
      </c>
      <c r="C14" s="2" t="s">
        <v>149</v>
      </c>
      <c r="D14" s="10" t="str">
        <f t="shared" si="27"/>
        <v>E394338_01</v>
      </c>
      <c r="E14" s="10">
        <f t="shared" si="28"/>
        <v>0</v>
      </c>
      <c r="F14" s="2"/>
      <c r="G14" s="3" t="s">
        <v>352</v>
      </c>
      <c r="H14" s="3" t="str" cm="1">
        <f t="array" ref="H14">IFERROR(_xlfn.IFS(B14="","",AND(B14="",G14=""),"",G14="","記載要"),"")</f>
        <v/>
      </c>
      <c r="I14" s="2" t="s">
        <v>115</v>
      </c>
      <c r="J14" s="2" t="s">
        <v>115</v>
      </c>
      <c r="K14" s="2" t="str">
        <f t="shared" si="3"/>
        <v>11WP01091748</v>
      </c>
      <c r="L14" s="7" t="str">
        <f t="shared" si="4"/>
        <v>2001/01/01</v>
      </c>
      <c r="M14" s="7" t="str">
        <f t="shared" si="5"/>
        <v>2199/12/31</v>
      </c>
      <c r="N14" s="2" t="str">
        <f t="shared" si="15"/>
        <v>11WP01091748</v>
      </c>
      <c r="O14" s="13">
        <v>15</v>
      </c>
      <c r="P14" s="15"/>
      <c r="Q14" s="13" t="str" cm="1">
        <f t="array" ref="Q14">_xlfn.IFS(AND(C14="",G14=""),"",LEFT(G14,1)="L","記載要",LEFT(G14,1)="W","",AND(C14,G14=""),"記載要")</f>
        <v/>
      </c>
      <c r="R14" s="18" t="str">
        <f t="shared" si="13"/>
        <v/>
      </c>
      <c r="S14" s="18"/>
      <c r="T14" s="2"/>
      <c r="U14" s="2"/>
      <c r="V14" s="2"/>
      <c r="W14" s="2"/>
      <c r="X14" s="2"/>
      <c r="Y14" s="2"/>
      <c r="Z14" s="2"/>
      <c r="AA14" s="13">
        <v>1</v>
      </c>
      <c r="AB14" s="13">
        <f t="shared" si="6"/>
        <v>0</v>
      </c>
      <c r="AC14" s="13">
        <f t="shared" si="7"/>
        <v>0</v>
      </c>
      <c r="AD14" s="16" t="s">
        <v>115</v>
      </c>
      <c r="AE14" s="15" t="s">
        <v>115</v>
      </c>
      <c r="AF14" s="13" t="str">
        <f t="shared" si="8"/>
        <v>1</v>
      </c>
      <c r="AG14" s="15" t="s">
        <v>115</v>
      </c>
      <c r="AH14" s="15" t="s">
        <v>115</v>
      </c>
      <c r="AI14" s="15" t="s">
        <v>115</v>
      </c>
      <c r="AJ14" s="14" t="s">
        <v>115</v>
      </c>
      <c r="AK14" s="15" cm="1">
        <f t="array" ref="AK14">_xlfn.IFS(B14="","",LEFT(G14,1)="L",1,LEFT(G14,1)="W",1,AND(LEFT(B14,1)="H",G14=""),0)</f>
        <v>1</v>
      </c>
      <c r="AL14" s="15" t="s">
        <v>115</v>
      </c>
      <c r="AM14" s="15" t="s">
        <v>115</v>
      </c>
      <c r="AN14" s="15" t="s">
        <v>115</v>
      </c>
      <c r="AO14" s="15" t="s">
        <v>115</v>
      </c>
      <c r="AP14" s="15" t="s">
        <v>115</v>
      </c>
      <c r="AQ14" s="15" t="s">
        <v>115</v>
      </c>
      <c r="AR14" s="15" t="s">
        <v>115</v>
      </c>
      <c r="AS14" s="15" t="str">
        <f t="shared" si="16"/>
        <v/>
      </c>
      <c r="AT14" s="15" t="s">
        <v>115</v>
      </c>
      <c r="AU14" s="13" t="str">
        <f t="shared" si="9"/>
        <v>0</v>
      </c>
      <c r="AV14" s="15" t="s">
        <v>115</v>
      </c>
      <c r="AW14" s="15" t="s">
        <v>115</v>
      </c>
      <c r="AX14" s="15" t="s">
        <v>115</v>
      </c>
      <c r="AY14" s="15" t="s">
        <v>115</v>
      </c>
      <c r="AZ14" s="14" t="s">
        <v>115</v>
      </c>
      <c r="BA14" s="15" t="s">
        <v>115</v>
      </c>
      <c r="BB14" s="15" t="s">
        <v>115</v>
      </c>
      <c r="BC14" s="15" t="s">
        <v>115</v>
      </c>
      <c r="BD14" s="13" t="str">
        <f t="shared" si="10"/>
        <v>0</v>
      </c>
      <c r="BE14" s="2" t="s">
        <v>115</v>
      </c>
      <c r="BF14" s="2" t="s">
        <v>115</v>
      </c>
      <c r="BG14" s="2" t="s">
        <v>115</v>
      </c>
      <c r="BH14" s="2" t="s">
        <v>115</v>
      </c>
      <c r="BI14" s="2" t="s">
        <v>115</v>
      </c>
      <c r="BJ14" s="2" t="s">
        <v>115</v>
      </c>
      <c r="BK14" s="2" t="s">
        <v>154</v>
      </c>
      <c r="BL14" s="10"/>
      <c r="BM14" t="str" cm="1">
        <f t="array" ref="BM14">_xlfn.IFS(LEFT(G14,1)="L","外注品",LEFT(G14,1)="W","内製品",G14="","購買品")</f>
        <v>内製品</v>
      </c>
    </row>
    <row r="15" spans="1:65">
      <c r="A15" s="2" t="str">
        <f t="shared" ref="A15:A17" si="29">IF(B15="","","WG01")</f>
        <v>WG01</v>
      </c>
      <c r="B15" s="2" t="s">
        <v>141</v>
      </c>
      <c r="C15" s="2" t="s">
        <v>150</v>
      </c>
      <c r="D15" s="10" t="str">
        <f t="shared" ref="D15:D17" si="30">BK15</f>
        <v>E394338_01</v>
      </c>
      <c r="E15" s="10">
        <f t="shared" ref="E15:E17" si="31">BL15</f>
        <v>0</v>
      </c>
      <c r="F15" s="2"/>
      <c r="G15" s="3"/>
      <c r="H15" s="3" t="s">
        <v>353</v>
      </c>
      <c r="I15" s="2" t="s">
        <v>115</v>
      </c>
      <c r="J15" s="2" t="s">
        <v>115</v>
      </c>
      <c r="K15" s="2" t="str">
        <f t="shared" ref="K15:K17" si="32">IF(G15="","","11"&amp;G15&amp;RIGHT(B15,5))</f>
        <v/>
      </c>
      <c r="L15" s="7" t="str">
        <f t="shared" ref="L15:L17" si="33">IF(B15="","","2001/01/01")</f>
        <v>2001/01/01</v>
      </c>
      <c r="M15" s="7" t="str">
        <f t="shared" ref="M15:M17" si="34">IF(C15="","","2199/12/31")</f>
        <v>2199/12/31</v>
      </c>
      <c r="N15" s="2" t="str">
        <f t="shared" ref="N15:N17" si="35">IF(LEFT(G15,1)="W",K15,"")</f>
        <v/>
      </c>
      <c r="O15" s="13" t="str">
        <f t="shared" ref="O15:O17" si="36">IF(G15="","","記載要")</f>
        <v/>
      </c>
      <c r="P15" s="15"/>
      <c r="Q15" s="13">
        <v>15</v>
      </c>
      <c r="R15" s="18">
        <v>100000000</v>
      </c>
      <c r="S15" s="18" t="str" cm="1">
        <f t="array" ref="S15">_xlfn.IFS(LEFT(G15,1)="L","記載要",LEFT(G15,1)="W","記載要",G15="","")</f>
        <v/>
      </c>
      <c r="T15" s="2"/>
      <c r="U15" s="2"/>
      <c r="V15" s="2"/>
      <c r="W15" s="2"/>
      <c r="X15" s="2"/>
      <c r="Y15" s="2"/>
      <c r="Z15" s="2"/>
      <c r="AA15" s="13">
        <v>1</v>
      </c>
      <c r="AB15" s="13">
        <f t="shared" ref="AB15:AB17" si="37">IF(B15="","",0)</f>
        <v>0</v>
      </c>
      <c r="AC15" s="13">
        <f t="shared" ref="AC15:AC17" si="38">IF(B15="","",0)</f>
        <v>0</v>
      </c>
      <c r="AD15" s="15" t="s">
        <v>115</v>
      </c>
      <c r="AE15" s="15" t="s">
        <v>115</v>
      </c>
      <c r="AF15" s="13" t="str">
        <f t="shared" ref="AF15:AF16" si="39">IF(B15="","","1")</f>
        <v>1</v>
      </c>
      <c r="AG15" s="15" t="s">
        <v>115</v>
      </c>
      <c r="AH15" s="15" t="s">
        <v>115</v>
      </c>
      <c r="AI15" s="15" t="s">
        <v>115</v>
      </c>
      <c r="AJ15" s="14" t="s">
        <v>115</v>
      </c>
      <c r="AK15" s="15" cm="1">
        <f t="array" ref="AK15">_xlfn.IFS(B15="","",LEFT(G15,1)="L",1,LEFT(G15,1)="W",1,AND(LEFT(B15,1)="H",G15=""),0)</f>
        <v>0</v>
      </c>
      <c r="AL15" s="15" t="s">
        <v>115</v>
      </c>
      <c r="AM15" s="15" t="s">
        <v>115</v>
      </c>
      <c r="AN15" s="15" t="s">
        <v>115</v>
      </c>
      <c r="AO15" s="15" t="s">
        <v>115</v>
      </c>
      <c r="AP15" s="15" t="s">
        <v>115</v>
      </c>
      <c r="AQ15" s="15" t="s">
        <v>115</v>
      </c>
      <c r="AR15" s="15" t="s">
        <v>115</v>
      </c>
      <c r="AS15" s="15">
        <f t="shared" ref="AS15:AS17" si="40">IF(Q15="","",1)</f>
        <v>1</v>
      </c>
      <c r="AT15" s="15" t="s">
        <v>115</v>
      </c>
      <c r="AU15" s="13" t="str">
        <f t="shared" ref="AU15:AU17" si="41">IF(B15="","","0")</f>
        <v>0</v>
      </c>
      <c r="AV15" s="15" t="s">
        <v>115</v>
      </c>
      <c r="AW15" s="15" t="s">
        <v>115</v>
      </c>
      <c r="AX15" s="15" t="s">
        <v>115</v>
      </c>
      <c r="AY15" s="15" t="s">
        <v>115</v>
      </c>
      <c r="AZ15" s="14" t="s">
        <v>115</v>
      </c>
      <c r="BA15" s="15" t="s">
        <v>115</v>
      </c>
      <c r="BB15" s="15" t="s">
        <v>115</v>
      </c>
      <c r="BC15" s="15" t="s">
        <v>115</v>
      </c>
      <c r="BD15" s="13" t="str">
        <f t="shared" ref="BD15:BD17" si="42">IF(B15="","","0")</f>
        <v>0</v>
      </c>
      <c r="BE15" s="2" t="s">
        <v>115</v>
      </c>
      <c r="BF15" s="2" t="s">
        <v>115</v>
      </c>
      <c r="BG15" s="2" t="s">
        <v>115</v>
      </c>
      <c r="BH15" s="2" t="s">
        <v>115</v>
      </c>
      <c r="BI15" s="2" t="s">
        <v>115</v>
      </c>
      <c r="BJ15" s="2" t="s">
        <v>115</v>
      </c>
      <c r="BK15" s="2" t="s">
        <v>154</v>
      </c>
      <c r="BL15" s="10"/>
      <c r="BM15" t="str" cm="1">
        <f t="array" ref="BM15">_xlfn.IFS(LEFT(G15,1)="L","外注品",LEFT(G15,1)="W","内製品",G15="","購買品")</f>
        <v>購買品</v>
      </c>
    </row>
    <row r="16" spans="1:65">
      <c r="A16" s="2" t="str">
        <f t="shared" si="29"/>
        <v>WG01</v>
      </c>
      <c r="B16" s="2" t="s">
        <v>141</v>
      </c>
      <c r="C16" s="2" t="s">
        <v>150</v>
      </c>
      <c r="D16" s="10" t="str">
        <f t="shared" si="30"/>
        <v>E394338_01</v>
      </c>
      <c r="E16" s="10">
        <f t="shared" si="31"/>
        <v>0</v>
      </c>
      <c r="F16" s="2"/>
      <c r="G16" s="3"/>
      <c r="H16" s="3">
        <v>43453</v>
      </c>
      <c r="I16" s="2" t="s">
        <v>115</v>
      </c>
      <c r="J16" s="2" t="s">
        <v>115</v>
      </c>
      <c r="K16" s="2" t="str">
        <f t="shared" si="32"/>
        <v/>
      </c>
      <c r="L16" s="7" t="str">
        <f t="shared" si="33"/>
        <v>2001/01/01</v>
      </c>
      <c r="M16" s="7" t="str">
        <f t="shared" si="34"/>
        <v>2199/12/31</v>
      </c>
      <c r="N16" s="2" t="str">
        <f t="shared" si="35"/>
        <v/>
      </c>
      <c r="O16" s="13" t="str">
        <f t="shared" si="36"/>
        <v/>
      </c>
      <c r="P16" s="15"/>
      <c r="Q16" s="13">
        <v>15</v>
      </c>
      <c r="R16" s="18">
        <v>100000000</v>
      </c>
      <c r="S16" s="18" t="str" cm="1">
        <f t="array" ref="S16">_xlfn.IFS(LEFT(G16,1)="L","記載要",LEFT(G16,1)="W","記載要",G16="","")</f>
        <v/>
      </c>
      <c r="T16" s="2"/>
      <c r="U16" s="2"/>
      <c r="V16" s="2"/>
      <c r="W16" s="2"/>
      <c r="X16" s="2"/>
      <c r="Y16" s="2"/>
      <c r="Z16" s="2"/>
      <c r="AA16" s="13">
        <v>1</v>
      </c>
      <c r="AB16" s="13">
        <f t="shared" si="37"/>
        <v>0</v>
      </c>
      <c r="AC16" s="13">
        <f t="shared" si="38"/>
        <v>0</v>
      </c>
      <c r="AD16" s="15" t="s">
        <v>115</v>
      </c>
      <c r="AE16" s="15" t="s">
        <v>115</v>
      </c>
      <c r="AF16" s="13" t="str">
        <f t="shared" si="39"/>
        <v>1</v>
      </c>
      <c r="AG16" s="15" t="s">
        <v>115</v>
      </c>
      <c r="AH16" s="15" t="s">
        <v>115</v>
      </c>
      <c r="AI16" s="15" t="s">
        <v>115</v>
      </c>
      <c r="AJ16" s="14" t="s">
        <v>115</v>
      </c>
      <c r="AK16" s="15" cm="1">
        <f t="array" ref="AK16">_xlfn.IFS(B16="","",LEFT(G16,1)="L",1,LEFT(G16,1)="W",1,AND(LEFT(B16,1)="H",G16=""),0)</f>
        <v>0</v>
      </c>
      <c r="AL16" s="15" t="s">
        <v>115</v>
      </c>
      <c r="AM16" s="15" t="s">
        <v>115</v>
      </c>
      <c r="AN16" s="15" t="s">
        <v>115</v>
      </c>
      <c r="AO16" s="15" t="s">
        <v>115</v>
      </c>
      <c r="AP16" s="15" t="s">
        <v>115</v>
      </c>
      <c r="AQ16" s="15" t="s">
        <v>115</v>
      </c>
      <c r="AR16" s="15" t="s">
        <v>115</v>
      </c>
      <c r="AS16" s="15">
        <f t="shared" si="40"/>
        <v>1</v>
      </c>
      <c r="AT16" s="15" t="s">
        <v>115</v>
      </c>
      <c r="AU16" s="13" t="str">
        <f t="shared" si="41"/>
        <v>0</v>
      </c>
      <c r="AV16" s="15" t="s">
        <v>115</v>
      </c>
      <c r="AW16" s="15" t="s">
        <v>115</v>
      </c>
      <c r="AX16" s="15" t="s">
        <v>115</v>
      </c>
      <c r="AY16" s="15" t="s">
        <v>115</v>
      </c>
      <c r="AZ16" s="14" t="s">
        <v>115</v>
      </c>
      <c r="BA16" s="15" t="s">
        <v>115</v>
      </c>
      <c r="BB16" s="15" t="s">
        <v>115</v>
      </c>
      <c r="BC16" s="15" t="s">
        <v>115</v>
      </c>
      <c r="BD16" s="13" t="str">
        <f t="shared" si="42"/>
        <v>0</v>
      </c>
      <c r="BE16" s="2" t="s">
        <v>115</v>
      </c>
      <c r="BF16" s="2" t="s">
        <v>115</v>
      </c>
      <c r="BG16" s="2" t="s">
        <v>115</v>
      </c>
      <c r="BH16" s="2" t="s">
        <v>115</v>
      </c>
      <c r="BI16" s="2" t="s">
        <v>115</v>
      </c>
      <c r="BJ16" s="2" t="s">
        <v>115</v>
      </c>
      <c r="BK16" s="2" t="s">
        <v>154</v>
      </c>
      <c r="BL16" s="10"/>
      <c r="BM16" t="str" cm="1">
        <f t="array" ref="BM16">_xlfn.IFS(LEFT(G16,1)="L","外注品",LEFT(G16,1)="W","内製品",G16="","購買品")</f>
        <v>購買品</v>
      </c>
    </row>
    <row r="17" spans="1:65">
      <c r="A17" s="2" t="str">
        <f t="shared" si="29"/>
        <v>WG01</v>
      </c>
      <c r="B17" s="2" t="s">
        <v>141</v>
      </c>
      <c r="C17" s="2" t="s">
        <v>150</v>
      </c>
      <c r="D17" s="10" t="str">
        <f t="shared" si="30"/>
        <v>E394338_01</v>
      </c>
      <c r="E17" s="10">
        <f t="shared" si="31"/>
        <v>0</v>
      </c>
      <c r="F17" s="2"/>
      <c r="G17" s="3"/>
      <c r="H17" s="3">
        <v>47081</v>
      </c>
      <c r="I17" s="2" t="s">
        <v>115</v>
      </c>
      <c r="J17" s="2" t="s">
        <v>115</v>
      </c>
      <c r="K17" s="2" t="str">
        <f t="shared" si="32"/>
        <v/>
      </c>
      <c r="L17" s="7" t="str">
        <f t="shared" si="33"/>
        <v>2001/01/01</v>
      </c>
      <c r="M17" s="7" t="str">
        <f t="shared" si="34"/>
        <v>2199/12/31</v>
      </c>
      <c r="N17" s="2" t="str">
        <f t="shared" si="35"/>
        <v/>
      </c>
      <c r="O17" s="13" t="str">
        <f t="shared" si="36"/>
        <v/>
      </c>
      <c r="P17" s="15"/>
      <c r="Q17" s="13">
        <v>15</v>
      </c>
      <c r="R17" s="18">
        <v>100000000</v>
      </c>
      <c r="S17" s="18" t="str" cm="1">
        <f t="array" ref="S17">_xlfn.IFS(LEFT(G17,1)="L","記載要",LEFT(G17,1)="W","記載要",G17="","")</f>
        <v/>
      </c>
      <c r="T17" s="2"/>
      <c r="U17" s="2"/>
      <c r="V17" s="2"/>
      <c r="W17" s="2"/>
      <c r="X17" s="2"/>
      <c r="Y17" s="2"/>
      <c r="Z17" s="2"/>
      <c r="AA17" s="13">
        <v>1</v>
      </c>
      <c r="AB17" s="13">
        <f t="shared" si="37"/>
        <v>0</v>
      </c>
      <c r="AC17" s="13">
        <f t="shared" si="38"/>
        <v>0</v>
      </c>
      <c r="AD17" s="15" t="s">
        <v>115</v>
      </c>
      <c r="AE17" s="15" t="s">
        <v>115</v>
      </c>
      <c r="AF17" s="13">
        <v>0</v>
      </c>
      <c r="AG17" s="15" t="s">
        <v>115</v>
      </c>
      <c r="AH17" s="15" t="s">
        <v>115</v>
      </c>
      <c r="AI17" s="15" t="s">
        <v>115</v>
      </c>
      <c r="AJ17" s="14" t="s">
        <v>115</v>
      </c>
      <c r="AK17" s="15" cm="1">
        <f t="array" ref="AK17">_xlfn.IFS(B17="","",LEFT(G17,1)="L",1,LEFT(G17,1)="W",1,AND(LEFT(B17,1)="H",G17=""),0)</f>
        <v>0</v>
      </c>
      <c r="AL17" s="15" t="s">
        <v>115</v>
      </c>
      <c r="AM17" s="15" t="s">
        <v>115</v>
      </c>
      <c r="AN17" s="15" t="s">
        <v>115</v>
      </c>
      <c r="AO17" s="15" t="s">
        <v>115</v>
      </c>
      <c r="AP17" s="15" t="s">
        <v>115</v>
      </c>
      <c r="AQ17" s="15" t="s">
        <v>115</v>
      </c>
      <c r="AR17" s="15" t="s">
        <v>115</v>
      </c>
      <c r="AS17" s="15">
        <f t="shared" si="40"/>
        <v>1</v>
      </c>
      <c r="AT17" s="15" t="s">
        <v>115</v>
      </c>
      <c r="AU17" s="13" t="str">
        <f t="shared" si="41"/>
        <v>0</v>
      </c>
      <c r="AV17" s="15" t="s">
        <v>115</v>
      </c>
      <c r="AW17" s="15" t="s">
        <v>115</v>
      </c>
      <c r="AX17" s="15" t="s">
        <v>115</v>
      </c>
      <c r="AY17" s="15" t="s">
        <v>115</v>
      </c>
      <c r="AZ17" s="14" t="s">
        <v>115</v>
      </c>
      <c r="BA17" s="15" t="s">
        <v>115</v>
      </c>
      <c r="BB17" s="15" t="s">
        <v>115</v>
      </c>
      <c r="BC17" s="15" t="s">
        <v>115</v>
      </c>
      <c r="BD17" s="13" t="str">
        <f t="shared" si="42"/>
        <v>0</v>
      </c>
      <c r="BE17" s="2" t="s">
        <v>115</v>
      </c>
      <c r="BF17" s="2" t="s">
        <v>115</v>
      </c>
      <c r="BG17" s="2" t="s">
        <v>115</v>
      </c>
      <c r="BH17" s="2" t="s">
        <v>115</v>
      </c>
      <c r="BI17" s="2" t="s">
        <v>115</v>
      </c>
      <c r="BJ17" s="2" t="s">
        <v>115</v>
      </c>
      <c r="BK17" s="2" t="s">
        <v>154</v>
      </c>
      <c r="BL17" s="10"/>
      <c r="BM17" t="str" cm="1">
        <f t="array" ref="BM17">_xlfn.IFS(LEFT(G17,1)="L","外注品",LEFT(G17,1)="W","内製品",G17="","購買品")</f>
        <v>購買品</v>
      </c>
    </row>
    <row r="18" spans="1:65">
      <c r="A18" s="2" t="str">
        <f t="shared" si="0"/>
        <v>WG01</v>
      </c>
      <c r="B18" s="2" t="s">
        <v>141</v>
      </c>
      <c r="C18" s="2" t="s">
        <v>150</v>
      </c>
      <c r="D18" s="10" t="str">
        <f t="shared" si="27"/>
        <v>E394338_01</v>
      </c>
      <c r="E18" s="10">
        <f t="shared" si="28"/>
        <v>0</v>
      </c>
      <c r="F18" s="2"/>
      <c r="G18" s="3"/>
      <c r="H18" s="3">
        <v>27616</v>
      </c>
      <c r="I18" s="2" t="s">
        <v>115</v>
      </c>
      <c r="J18" s="2" t="s">
        <v>115</v>
      </c>
      <c r="K18" s="2" t="str">
        <f t="shared" si="3"/>
        <v/>
      </c>
      <c r="L18" s="7" t="str">
        <f t="shared" si="4"/>
        <v>2001/01/01</v>
      </c>
      <c r="M18" s="7" t="str">
        <f t="shared" si="5"/>
        <v>2199/12/31</v>
      </c>
      <c r="N18" s="2" t="str">
        <f t="shared" si="15"/>
        <v/>
      </c>
      <c r="O18" s="13" t="str">
        <f t="shared" ref="O18:O76" si="43">IF(G18="","","記載要")</f>
        <v/>
      </c>
      <c r="P18" s="15"/>
      <c r="Q18" s="13">
        <v>15</v>
      </c>
      <c r="R18" s="18">
        <v>100000000</v>
      </c>
      <c r="S18" s="18" t="str" cm="1">
        <f t="array" ref="S18">_xlfn.IFS(LEFT(G18,1)="L","記載要",LEFT(G18,1)="W","記載要",G18="","")</f>
        <v/>
      </c>
      <c r="T18" s="2"/>
      <c r="U18" s="2"/>
      <c r="V18" s="2"/>
      <c r="W18" s="2"/>
      <c r="X18" s="2"/>
      <c r="Y18" s="2"/>
      <c r="Z18" s="2"/>
      <c r="AA18" s="13">
        <v>1</v>
      </c>
      <c r="AB18" s="13">
        <f t="shared" si="6"/>
        <v>0</v>
      </c>
      <c r="AC18" s="13">
        <f t="shared" si="7"/>
        <v>0</v>
      </c>
      <c r="AD18" s="15" t="s">
        <v>115</v>
      </c>
      <c r="AE18" s="15" t="s">
        <v>115</v>
      </c>
      <c r="AF18" s="13" t="str">
        <f t="shared" si="8"/>
        <v>1</v>
      </c>
      <c r="AG18" s="15" t="s">
        <v>115</v>
      </c>
      <c r="AH18" s="15" t="s">
        <v>115</v>
      </c>
      <c r="AI18" s="15" t="s">
        <v>115</v>
      </c>
      <c r="AJ18" s="14" t="s">
        <v>115</v>
      </c>
      <c r="AK18" s="15" cm="1">
        <f t="array" ref="AK18">_xlfn.IFS(B18="","",LEFT(G18,1)="L",1,LEFT(G18,1)="W",1,AND(LEFT(B18,1)="H",G18=""),0)</f>
        <v>0</v>
      </c>
      <c r="AL18" s="15" t="s">
        <v>115</v>
      </c>
      <c r="AM18" s="15" t="s">
        <v>115</v>
      </c>
      <c r="AN18" s="15" t="s">
        <v>115</v>
      </c>
      <c r="AO18" s="15" t="s">
        <v>115</v>
      </c>
      <c r="AP18" s="15" t="s">
        <v>115</v>
      </c>
      <c r="AQ18" s="15" t="s">
        <v>115</v>
      </c>
      <c r="AR18" s="15" t="s">
        <v>115</v>
      </c>
      <c r="AS18" s="15">
        <f t="shared" si="16"/>
        <v>1</v>
      </c>
      <c r="AT18" s="15" t="s">
        <v>115</v>
      </c>
      <c r="AU18" s="13" t="str">
        <f t="shared" si="9"/>
        <v>0</v>
      </c>
      <c r="AV18" s="15" t="s">
        <v>115</v>
      </c>
      <c r="AW18" s="15" t="s">
        <v>115</v>
      </c>
      <c r="AX18" s="15" t="s">
        <v>115</v>
      </c>
      <c r="AY18" s="15" t="s">
        <v>115</v>
      </c>
      <c r="AZ18" s="14" t="s">
        <v>115</v>
      </c>
      <c r="BA18" s="15" t="s">
        <v>115</v>
      </c>
      <c r="BB18" s="15" t="s">
        <v>115</v>
      </c>
      <c r="BC18" s="15" t="s">
        <v>115</v>
      </c>
      <c r="BD18" s="13" t="str">
        <f t="shared" si="10"/>
        <v>0</v>
      </c>
      <c r="BE18" s="2" t="s">
        <v>115</v>
      </c>
      <c r="BF18" s="2" t="s">
        <v>115</v>
      </c>
      <c r="BG18" s="2" t="s">
        <v>115</v>
      </c>
      <c r="BH18" s="2" t="s">
        <v>115</v>
      </c>
      <c r="BI18" s="2" t="s">
        <v>115</v>
      </c>
      <c r="BJ18" s="2" t="s">
        <v>115</v>
      </c>
      <c r="BK18" s="2" t="s">
        <v>154</v>
      </c>
      <c r="BL18" s="10"/>
      <c r="BM18" t="str" cm="1">
        <f t="array" ref="BM18">_xlfn.IFS(LEFT(G18,1)="L","外注品",LEFT(G18,1)="W","内製品",G18="","購買品")</f>
        <v>購買品</v>
      </c>
    </row>
    <row r="19" spans="1:65">
      <c r="A19" s="2" t="str">
        <f t="shared" si="0"/>
        <v>WG01</v>
      </c>
      <c r="B19" s="2" t="s">
        <v>142</v>
      </c>
      <c r="C19" s="2" t="s">
        <v>151</v>
      </c>
      <c r="D19" s="10" t="str">
        <f t="shared" si="27"/>
        <v>E394340_01</v>
      </c>
      <c r="E19" s="10">
        <f t="shared" si="28"/>
        <v>0</v>
      </c>
      <c r="F19" s="2"/>
      <c r="G19" s="3" t="s">
        <v>352</v>
      </c>
      <c r="H19" s="3" t="str" cm="1">
        <f t="array" ref="H19">IFERROR(_xlfn.IFS(B19="","",AND(B19="",G19=""),"",G19="","記載要"),"")</f>
        <v/>
      </c>
      <c r="I19" s="2" t="s">
        <v>115</v>
      </c>
      <c r="J19" s="2" t="s">
        <v>115</v>
      </c>
      <c r="K19" s="2" t="str">
        <f t="shared" si="3"/>
        <v>11WP01091750</v>
      </c>
      <c r="L19" s="7" t="str">
        <f t="shared" si="4"/>
        <v>2001/01/01</v>
      </c>
      <c r="M19" s="7" t="str">
        <f t="shared" si="5"/>
        <v>2199/12/31</v>
      </c>
      <c r="N19" s="2" t="str">
        <f t="shared" si="15"/>
        <v>11WP01091750</v>
      </c>
      <c r="O19" s="13">
        <v>15</v>
      </c>
      <c r="P19" s="15"/>
      <c r="Q19" s="13" t="str" cm="1">
        <f t="array" ref="Q19">_xlfn.IFS(AND(C19="",G19=""),"",LEFT(G19,1)="L","記載要",LEFT(G19,1)="W","",AND(C19,G19=""),"記載要")</f>
        <v/>
      </c>
      <c r="R19" s="18" t="str">
        <f t="shared" si="13"/>
        <v/>
      </c>
      <c r="S19" s="18"/>
      <c r="T19" s="2"/>
      <c r="U19" s="2"/>
      <c r="V19" s="2"/>
      <c r="W19" s="2"/>
      <c r="X19" s="2"/>
      <c r="Y19" s="2"/>
      <c r="Z19" s="2"/>
      <c r="AA19" s="13">
        <v>1</v>
      </c>
      <c r="AB19" s="13">
        <f t="shared" si="6"/>
        <v>0</v>
      </c>
      <c r="AC19" s="13">
        <f t="shared" si="7"/>
        <v>0</v>
      </c>
      <c r="AD19" s="15" t="s">
        <v>115</v>
      </c>
      <c r="AE19" s="15" t="s">
        <v>115</v>
      </c>
      <c r="AF19" s="13" t="str">
        <f t="shared" si="8"/>
        <v>1</v>
      </c>
      <c r="AG19" s="15" t="s">
        <v>115</v>
      </c>
      <c r="AH19" s="15" t="s">
        <v>115</v>
      </c>
      <c r="AI19" s="15" t="s">
        <v>115</v>
      </c>
      <c r="AJ19" s="14" t="s">
        <v>115</v>
      </c>
      <c r="AK19" s="15" cm="1">
        <f t="array" ref="AK19">_xlfn.IFS(B19="","",LEFT(G19,1)="L",1,LEFT(G19,1)="W",1,AND(LEFT(B19,1)="H",G19=""),0)</f>
        <v>1</v>
      </c>
      <c r="AL19" s="15" t="s">
        <v>115</v>
      </c>
      <c r="AM19" s="15" t="s">
        <v>115</v>
      </c>
      <c r="AN19" s="15" t="s">
        <v>115</v>
      </c>
      <c r="AO19" s="15" t="s">
        <v>115</v>
      </c>
      <c r="AP19" s="15" t="s">
        <v>115</v>
      </c>
      <c r="AQ19" s="15" t="s">
        <v>115</v>
      </c>
      <c r="AR19" s="15" t="s">
        <v>115</v>
      </c>
      <c r="AS19" s="15" t="str">
        <f t="shared" si="16"/>
        <v/>
      </c>
      <c r="AT19" s="15" t="s">
        <v>115</v>
      </c>
      <c r="AU19" s="13" t="str">
        <f t="shared" si="9"/>
        <v>0</v>
      </c>
      <c r="AV19" s="15" t="s">
        <v>115</v>
      </c>
      <c r="AW19" s="15" t="s">
        <v>115</v>
      </c>
      <c r="AX19" s="15" t="s">
        <v>115</v>
      </c>
      <c r="AY19" s="15" t="s">
        <v>115</v>
      </c>
      <c r="AZ19" s="14" t="s">
        <v>115</v>
      </c>
      <c r="BA19" s="15" t="s">
        <v>115</v>
      </c>
      <c r="BB19" s="15" t="s">
        <v>115</v>
      </c>
      <c r="BC19" s="15" t="s">
        <v>115</v>
      </c>
      <c r="BD19" s="13" t="str">
        <f t="shared" si="10"/>
        <v>0</v>
      </c>
      <c r="BE19" s="2" t="s">
        <v>115</v>
      </c>
      <c r="BF19" s="2" t="s">
        <v>115</v>
      </c>
      <c r="BG19" s="2" t="s">
        <v>115</v>
      </c>
      <c r="BH19" s="2" t="s">
        <v>115</v>
      </c>
      <c r="BI19" s="2" t="s">
        <v>115</v>
      </c>
      <c r="BJ19" s="2" t="s">
        <v>115</v>
      </c>
      <c r="BK19" s="2" t="s">
        <v>155</v>
      </c>
      <c r="BL19" s="10"/>
      <c r="BM19" t="str" cm="1">
        <f t="array" ref="BM19">_xlfn.IFS(LEFT(G19,1)="L","外注品",LEFT(G19,1)="W","内製品",G19="","購買品")</f>
        <v>内製品</v>
      </c>
    </row>
    <row r="20" spans="1:65">
      <c r="A20" s="2" t="str">
        <f t="shared" si="0"/>
        <v>WG01</v>
      </c>
      <c r="B20" s="2" t="s">
        <v>143</v>
      </c>
      <c r="C20" s="2" t="s">
        <v>151</v>
      </c>
      <c r="D20" s="10" t="str">
        <f t="shared" si="27"/>
        <v>E394340_01</v>
      </c>
      <c r="E20" s="10">
        <f t="shared" si="28"/>
        <v>0</v>
      </c>
      <c r="F20" s="2"/>
      <c r="G20" s="3" t="s">
        <v>352</v>
      </c>
      <c r="H20" s="3" t="str" cm="1">
        <f t="array" ref="H20">IFERROR(_xlfn.IFS(B20="","",AND(B20="",G20=""),"",G20="","記載要"),"")</f>
        <v/>
      </c>
      <c r="I20" s="2" t="s">
        <v>115</v>
      </c>
      <c r="J20" s="2" t="s">
        <v>115</v>
      </c>
      <c r="K20" s="2" t="str">
        <f t="shared" si="3"/>
        <v>11WP01091751</v>
      </c>
      <c r="L20" s="7" t="str">
        <f t="shared" si="4"/>
        <v>2001/01/01</v>
      </c>
      <c r="M20" s="7" t="str">
        <f t="shared" si="5"/>
        <v>2199/12/31</v>
      </c>
      <c r="N20" s="2" t="str">
        <f t="shared" si="15"/>
        <v>11WP01091751</v>
      </c>
      <c r="O20" s="13">
        <v>15</v>
      </c>
      <c r="P20" s="15"/>
      <c r="Q20" s="13" t="str" cm="1">
        <f t="array" ref="Q20">_xlfn.IFS(AND(C20="",G20=""),"",LEFT(G20,1)="L","記載要",LEFT(G20,1)="W","",AND(C20,G20=""),"記載要")</f>
        <v/>
      </c>
      <c r="R20" s="18" t="str">
        <f t="shared" si="13"/>
        <v/>
      </c>
      <c r="S20" s="18"/>
      <c r="T20" s="2"/>
      <c r="U20" s="2"/>
      <c r="V20" s="2"/>
      <c r="W20" s="2"/>
      <c r="X20" s="2"/>
      <c r="Y20" s="2"/>
      <c r="Z20" s="2"/>
      <c r="AA20" s="13">
        <v>1</v>
      </c>
      <c r="AB20" s="13">
        <f t="shared" si="6"/>
        <v>0</v>
      </c>
      <c r="AC20" s="13">
        <f t="shared" si="7"/>
        <v>0</v>
      </c>
      <c r="AD20" s="15" t="s">
        <v>115</v>
      </c>
      <c r="AE20" s="15" t="s">
        <v>115</v>
      </c>
      <c r="AF20" s="13" t="str">
        <f t="shared" si="8"/>
        <v>1</v>
      </c>
      <c r="AG20" s="15" t="s">
        <v>115</v>
      </c>
      <c r="AH20" s="15" t="s">
        <v>115</v>
      </c>
      <c r="AI20" s="15" t="s">
        <v>115</v>
      </c>
      <c r="AJ20" s="14" t="s">
        <v>115</v>
      </c>
      <c r="AK20" s="15" cm="1">
        <f t="array" ref="AK20">_xlfn.IFS(B20="","",LEFT(G20,1)="L",1,LEFT(G20,1)="W",1,AND(LEFT(B20,1)="H",G20=""),0)</f>
        <v>1</v>
      </c>
      <c r="AL20" s="15" t="s">
        <v>115</v>
      </c>
      <c r="AM20" s="15" t="s">
        <v>115</v>
      </c>
      <c r="AN20" s="15" t="s">
        <v>115</v>
      </c>
      <c r="AO20" s="15" t="s">
        <v>115</v>
      </c>
      <c r="AP20" s="15" t="s">
        <v>115</v>
      </c>
      <c r="AQ20" s="15" t="s">
        <v>115</v>
      </c>
      <c r="AR20" s="15" t="s">
        <v>115</v>
      </c>
      <c r="AS20" s="15" t="str">
        <f t="shared" si="16"/>
        <v/>
      </c>
      <c r="AT20" s="15" t="s">
        <v>115</v>
      </c>
      <c r="AU20" s="13" t="str">
        <f t="shared" si="9"/>
        <v>0</v>
      </c>
      <c r="AV20" s="15" t="s">
        <v>115</v>
      </c>
      <c r="AW20" s="15" t="s">
        <v>115</v>
      </c>
      <c r="AX20" s="15" t="s">
        <v>115</v>
      </c>
      <c r="AY20" s="15" t="s">
        <v>115</v>
      </c>
      <c r="AZ20" s="14" t="s">
        <v>115</v>
      </c>
      <c r="BA20" s="15" t="s">
        <v>115</v>
      </c>
      <c r="BB20" s="15" t="s">
        <v>115</v>
      </c>
      <c r="BC20" s="15" t="s">
        <v>115</v>
      </c>
      <c r="BD20" s="13" t="str">
        <f t="shared" si="10"/>
        <v>0</v>
      </c>
      <c r="BE20" s="2" t="s">
        <v>115</v>
      </c>
      <c r="BF20" s="2" t="s">
        <v>115</v>
      </c>
      <c r="BG20" s="2" t="s">
        <v>115</v>
      </c>
      <c r="BH20" s="2" t="s">
        <v>115</v>
      </c>
      <c r="BI20" s="2" t="s">
        <v>115</v>
      </c>
      <c r="BJ20" s="2" t="s">
        <v>115</v>
      </c>
      <c r="BK20" s="2" t="s">
        <v>155</v>
      </c>
      <c r="BL20" s="10"/>
      <c r="BM20" t="str" cm="1">
        <f t="array" ref="BM20">_xlfn.IFS(LEFT(G20,1)="L","外注品",LEFT(G20,1)="W","内製品",G20="","購買品")</f>
        <v>内製品</v>
      </c>
    </row>
    <row r="21" spans="1:65">
      <c r="A21" s="2" t="str">
        <f t="shared" si="0"/>
        <v>WG01</v>
      </c>
      <c r="B21" s="2" t="s">
        <v>144</v>
      </c>
      <c r="C21" s="2" t="s">
        <v>151</v>
      </c>
      <c r="D21" s="10" t="str">
        <f t="shared" si="27"/>
        <v>E394340_01</v>
      </c>
      <c r="E21" s="10">
        <f t="shared" si="28"/>
        <v>0</v>
      </c>
      <c r="F21" s="2"/>
      <c r="G21" s="3" t="s">
        <v>352</v>
      </c>
      <c r="H21" s="3" t="str" cm="1">
        <f t="array" ref="H21">IFERROR(_xlfn.IFS(B21="","",AND(B21="",G21=""),"",G21="","記載要"),"")</f>
        <v/>
      </c>
      <c r="I21" s="2" t="s">
        <v>115</v>
      </c>
      <c r="J21" s="2" t="s">
        <v>115</v>
      </c>
      <c r="K21" s="2" t="str">
        <f t="shared" si="3"/>
        <v>11WP01091752</v>
      </c>
      <c r="L21" s="7" t="str">
        <f t="shared" si="4"/>
        <v>2001/01/01</v>
      </c>
      <c r="M21" s="7" t="str">
        <f t="shared" si="5"/>
        <v>2199/12/31</v>
      </c>
      <c r="N21" s="2" t="str">
        <f t="shared" si="15"/>
        <v>11WP01091752</v>
      </c>
      <c r="O21" s="13">
        <v>15</v>
      </c>
      <c r="P21" s="15"/>
      <c r="Q21" s="13" t="str" cm="1">
        <f t="array" ref="Q21">_xlfn.IFS(AND(C21="",G21=""),"",LEFT(G21,1)="L","記載要",LEFT(G21,1)="W","",AND(C21,G21=""),"記載要")</f>
        <v/>
      </c>
      <c r="R21" s="18" t="str">
        <f t="shared" si="13"/>
        <v/>
      </c>
      <c r="S21" s="18"/>
      <c r="T21" s="2"/>
      <c r="U21" s="2"/>
      <c r="V21" s="2"/>
      <c r="W21" s="2"/>
      <c r="X21" s="2"/>
      <c r="Y21" s="2"/>
      <c r="Z21" s="2"/>
      <c r="AA21" s="13">
        <v>1</v>
      </c>
      <c r="AB21" s="13">
        <f t="shared" si="6"/>
        <v>0</v>
      </c>
      <c r="AC21" s="13">
        <f t="shared" si="7"/>
        <v>0</v>
      </c>
      <c r="AD21" s="15" t="s">
        <v>115</v>
      </c>
      <c r="AE21" s="15" t="s">
        <v>115</v>
      </c>
      <c r="AF21" s="13" t="str">
        <f t="shared" si="8"/>
        <v>1</v>
      </c>
      <c r="AG21" s="15" t="s">
        <v>115</v>
      </c>
      <c r="AH21" s="15" t="s">
        <v>115</v>
      </c>
      <c r="AI21" s="15" t="s">
        <v>115</v>
      </c>
      <c r="AJ21" s="14" t="s">
        <v>115</v>
      </c>
      <c r="AK21" s="15" cm="1">
        <f t="array" ref="AK21">_xlfn.IFS(B21="","",LEFT(G21,1)="L",1,LEFT(G21,1)="W",1,AND(LEFT(B21,1)="H",G21=""),0)</f>
        <v>1</v>
      </c>
      <c r="AL21" s="15" t="s">
        <v>115</v>
      </c>
      <c r="AM21" s="15" t="s">
        <v>115</v>
      </c>
      <c r="AN21" s="15" t="s">
        <v>115</v>
      </c>
      <c r="AO21" s="15" t="s">
        <v>115</v>
      </c>
      <c r="AP21" s="15" t="s">
        <v>115</v>
      </c>
      <c r="AQ21" s="15" t="s">
        <v>115</v>
      </c>
      <c r="AR21" s="15" t="s">
        <v>115</v>
      </c>
      <c r="AS21" s="15" t="str">
        <f t="shared" si="16"/>
        <v/>
      </c>
      <c r="AT21" s="15" t="s">
        <v>115</v>
      </c>
      <c r="AU21" s="13" t="str">
        <f t="shared" si="9"/>
        <v>0</v>
      </c>
      <c r="AV21" s="15" t="s">
        <v>115</v>
      </c>
      <c r="AW21" s="15" t="s">
        <v>115</v>
      </c>
      <c r="AX21" s="15" t="s">
        <v>115</v>
      </c>
      <c r="AY21" s="15" t="s">
        <v>115</v>
      </c>
      <c r="AZ21" s="14" t="s">
        <v>115</v>
      </c>
      <c r="BA21" s="15" t="s">
        <v>115</v>
      </c>
      <c r="BB21" s="15" t="s">
        <v>115</v>
      </c>
      <c r="BC21" s="15" t="s">
        <v>115</v>
      </c>
      <c r="BD21" s="13" t="str">
        <f t="shared" si="10"/>
        <v>0</v>
      </c>
      <c r="BE21" s="2" t="s">
        <v>115</v>
      </c>
      <c r="BF21" s="2" t="s">
        <v>115</v>
      </c>
      <c r="BG21" s="2" t="s">
        <v>115</v>
      </c>
      <c r="BH21" s="2" t="s">
        <v>115</v>
      </c>
      <c r="BI21" s="2" t="s">
        <v>115</v>
      </c>
      <c r="BJ21" s="2" t="s">
        <v>115</v>
      </c>
      <c r="BK21" s="2" t="s">
        <v>155</v>
      </c>
      <c r="BL21" s="10"/>
      <c r="BM21" t="str" cm="1">
        <f t="array" ref="BM21">_xlfn.IFS(LEFT(G21,1)="L","外注品",LEFT(G21,1)="W","内製品",G21="","購買品")</f>
        <v>内製品</v>
      </c>
    </row>
    <row r="22" spans="1:65">
      <c r="A22" s="2" t="str">
        <f t="shared" si="0"/>
        <v>WG01</v>
      </c>
      <c r="B22" s="2" t="s">
        <v>145</v>
      </c>
      <c r="C22" s="2" t="s">
        <v>151</v>
      </c>
      <c r="D22" s="10" t="str">
        <f t="shared" si="27"/>
        <v>E394340_01</v>
      </c>
      <c r="E22" s="10">
        <f t="shared" si="28"/>
        <v>0</v>
      </c>
      <c r="F22" s="2"/>
      <c r="G22" s="3" t="s">
        <v>352</v>
      </c>
      <c r="H22" s="3" t="str" cm="1">
        <f t="array" ref="H22">IFERROR(_xlfn.IFS(B22="","",AND(B22="",G22=""),"",G22="","記載要"),"")</f>
        <v/>
      </c>
      <c r="I22" s="2" t="s">
        <v>115</v>
      </c>
      <c r="J22" s="2" t="s">
        <v>115</v>
      </c>
      <c r="K22" s="2" t="str">
        <f t="shared" si="3"/>
        <v>11WP01091753</v>
      </c>
      <c r="L22" s="7" t="str">
        <f t="shared" si="4"/>
        <v>2001/01/01</v>
      </c>
      <c r="M22" s="7" t="str">
        <f t="shared" si="5"/>
        <v>2199/12/31</v>
      </c>
      <c r="N22" s="2" t="str">
        <f t="shared" si="15"/>
        <v>11WP01091753</v>
      </c>
      <c r="O22" s="13">
        <v>15</v>
      </c>
      <c r="P22" s="15"/>
      <c r="Q22" s="13" t="str" cm="1">
        <f t="array" ref="Q22">_xlfn.IFS(AND(C22="",G22=""),"",LEFT(G22,1)="L","記載要",LEFT(G22,1)="W","",AND(C22,G22=""),"記載要")</f>
        <v/>
      </c>
      <c r="R22" s="18" t="str">
        <f t="shared" si="13"/>
        <v/>
      </c>
      <c r="S22" s="18"/>
      <c r="T22" s="2"/>
      <c r="U22" s="2"/>
      <c r="V22" s="2"/>
      <c r="W22" s="2"/>
      <c r="X22" s="2"/>
      <c r="Y22" s="2"/>
      <c r="Z22" s="2"/>
      <c r="AA22" s="13">
        <v>1</v>
      </c>
      <c r="AB22" s="13">
        <f t="shared" si="6"/>
        <v>0</v>
      </c>
      <c r="AC22" s="13">
        <f t="shared" si="7"/>
        <v>0</v>
      </c>
      <c r="AD22" s="15" t="s">
        <v>115</v>
      </c>
      <c r="AE22" s="15" t="s">
        <v>115</v>
      </c>
      <c r="AF22" s="13" t="str">
        <f t="shared" si="8"/>
        <v>1</v>
      </c>
      <c r="AG22" s="15" t="s">
        <v>115</v>
      </c>
      <c r="AH22" s="15" t="s">
        <v>115</v>
      </c>
      <c r="AI22" s="15" t="s">
        <v>115</v>
      </c>
      <c r="AJ22" s="14" t="s">
        <v>115</v>
      </c>
      <c r="AK22" s="15" cm="1">
        <f t="array" ref="AK22">_xlfn.IFS(B22="","",LEFT(G22,1)="L",1,LEFT(G22,1)="W",1,AND(LEFT(B22,1)="H",G22=""),0)</f>
        <v>1</v>
      </c>
      <c r="AL22" s="15" t="s">
        <v>115</v>
      </c>
      <c r="AM22" s="15" t="s">
        <v>115</v>
      </c>
      <c r="AN22" s="15" t="s">
        <v>115</v>
      </c>
      <c r="AO22" s="15" t="s">
        <v>115</v>
      </c>
      <c r="AP22" s="15" t="s">
        <v>115</v>
      </c>
      <c r="AQ22" s="15" t="s">
        <v>115</v>
      </c>
      <c r="AR22" s="15" t="s">
        <v>115</v>
      </c>
      <c r="AS22" s="15" t="str">
        <f t="shared" si="16"/>
        <v/>
      </c>
      <c r="AT22" s="15" t="s">
        <v>115</v>
      </c>
      <c r="AU22" s="13" t="str">
        <f t="shared" si="9"/>
        <v>0</v>
      </c>
      <c r="AV22" s="15" t="s">
        <v>115</v>
      </c>
      <c r="AW22" s="15" t="s">
        <v>115</v>
      </c>
      <c r="AX22" s="15" t="s">
        <v>115</v>
      </c>
      <c r="AY22" s="15" t="s">
        <v>115</v>
      </c>
      <c r="AZ22" s="14" t="s">
        <v>115</v>
      </c>
      <c r="BA22" s="15" t="s">
        <v>115</v>
      </c>
      <c r="BB22" s="15" t="s">
        <v>115</v>
      </c>
      <c r="BC22" s="15" t="s">
        <v>115</v>
      </c>
      <c r="BD22" s="13" t="str">
        <f t="shared" si="10"/>
        <v>0</v>
      </c>
      <c r="BE22" s="2" t="s">
        <v>115</v>
      </c>
      <c r="BF22" s="2" t="s">
        <v>115</v>
      </c>
      <c r="BG22" s="2" t="s">
        <v>115</v>
      </c>
      <c r="BH22" s="2" t="s">
        <v>115</v>
      </c>
      <c r="BI22" s="2" t="s">
        <v>115</v>
      </c>
      <c r="BJ22" s="2" t="s">
        <v>115</v>
      </c>
      <c r="BK22" s="2" t="s">
        <v>155</v>
      </c>
      <c r="BL22" s="10"/>
      <c r="BM22" t="str" cm="1">
        <f t="array" ref="BM22">_xlfn.IFS(LEFT(G22,1)="L","外注品",LEFT(G22,1)="W","内製品",G22="","購買品")</f>
        <v>内製品</v>
      </c>
    </row>
    <row r="23" spans="1:65">
      <c r="A23" s="2" t="str">
        <f t="shared" ref="A23:A25" si="44">IF(B23="","","WG01")</f>
        <v>WG01</v>
      </c>
      <c r="B23" s="2" t="s">
        <v>146</v>
      </c>
      <c r="C23" s="2" t="s">
        <v>152</v>
      </c>
      <c r="D23" s="10" t="str">
        <f t="shared" ref="D23:D25" si="45">BK23</f>
        <v>E394340_01</v>
      </c>
      <c r="E23" s="10">
        <f t="shared" ref="E23:E25" si="46">BL23</f>
        <v>0</v>
      </c>
      <c r="F23" s="2"/>
      <c r="G23" s="3"/>
      <c r="H23" s="3" t="s">
        <v>353</v>
      </c>
      <c r="I23" s="2" t="s">
        <v>115</v>
      </c>
      <c r="J23" s="2" t="s">
        <v>115</v>
      </c>
      <c r="K23" s="2" t="str">
        <f t="shared" ref="K23:K25" si="47">IF(G23="","","11"&amp;G23&amp;RIGHT(B23,5))</f>
        <v/>
      </c>
      <c r="L23" s="7" t="str">
        <f t="shared" ref="L23:L25" si="48">IF(B23="","","2001/01/01")</f>
        <v>2001/01/01</v>
      </c>
      <c r="M23" s="7" t="str">
        <f t="shared" ref="M23:M25" si="49">IF(C23="","","2199/12/31")</f>
        <v>2199/12/31</v>
      </c>
      <c r="N23" s="2" t="str">
        <f t="shared" ref="N23:N25" si="50">IF(LEFT(G23,1)="W",K23,"")</f>
        <v/>
      </c>
      <c r="O23" s="13" t="str">
        <f t="shared" ref="O23:O25" si="51">IF(G23="","","記載要")</f>
        <v/>
      </c>
      <c r="P23" s="15"/>
      <c r="Q23" s="13">
        <v>15</v>
      </c>
      <c r="R23" s="18">
        <v>100000000</v>
      </c>
      <c r="S23" s="18" t="str" cm="1">
        <f t="array" ref="S23">_xlfn.IFS(LEFT(G23,1)="L","記載要",LEFT(G23,1)="W","記載要",G23="","")</f>
        <v/>
      </c>
      <c r="T23" s="2"/>
      <c r="U23" s="2"/>
      <c r="V23" s="2"/>
      <c r="W23" s="2"/>
      <c r="X23" s="2"/>
      <c r="Y23" s="2"/>
      <c r="Z23" s="2"/>
      <c r="AA23" s="13">
        <v>1</v>
      </c>
      <c r="AB23" s="13">
        <f t="shared" ref="AB23:AB25" si="52">IF(B23="","",0)</f>
        <v>0</v>
      </c>
      <c r="AC23" s="13">
        <f t="shared" ref="AC23:AC25" si="53">IF(B23="","",0)</f>
        <v>0</v>
      </c>
      <c r="AD23" s="15" t="s">
        <v>115</v>
      </c>
      <c r="AE23" s="15" t="s">
        <v>115</v>
      </c>
      <c r="AF23" s="13" t="str">
        <f t="shared" ref="AF23:AF24" si="54">IF(B23="","","1")</f>
        <v>1</v>
      </c>
      <c r="AG23" s="15" t="s">
        <v>115</v>
      </c>
      <c r="AH23" s="15" t="s">
        <v>115</v>
      </c>
      <c r="AI23" s="15" t="s">
        <v>115</v>
      </c>
      <c r="AJ23" s="14" t="s">
        <v>115</v>
      </c>
      <c r="AK23" s="15" cm="1">
        <f t="array" ref="AK23">_xlfn.IFS(B23="","",LEFT(G23,1)="L",1,LEFT(G23,1)="W",1,AND(LEFT(B23,1)="H",G23=""),0)</f>
        <v>0</v>
      </c>
      <c r="AL23" s="15" t="s">
        <v>115</v>
      </c>
      <c r="AM23" s="15" t="s">
        <v>115</v>
      </c>
      <c r="AN23" s="15" t="s">
        <v>115</v>
      </c>
      <c r="AO23" s="15" t="s">
        <v>115</v>
      </c>
      <c r="AP23" s="15" t="s">
        <v>115</v>
      </c>
      <c r="AQ23" s="15" t="s">
        <v>115</v>
      </c>
      <c r="AR23" s="15" t="s">
        <v>115</v>
      </c>
      <c r="AS23" s="15">
        <f t="shared" ref="AS23:AS25" si="55">IF(Q23="","",1)</f>
        <v>1</v>
      </c>
      <c r="AT23" s="15" t="s">
        <v>115</v>
      </c>
      <c r="AU23" s="13" t="str">
        <f t="shared" ref="AU23:AU25" si="56">IF(B23="","","0")</f>
        <v>0</v>
      </c>
      <c r="AV23" s="15" t="s">
        <v>115</v>
      </c>
      <c r="AW23" s="15" t="s">
        <v>115</v>
      </c>
      <c r="AX23" s="15" t="s">
        <v>115</v>
      </c>
      <c r="AY23" s="15" t="s">
        <v>115</v>
      </c>
      <c r="AZ23" s="14" t="s">
        <v>115</v>
      </c>
      <c r="BA23" s="15" t="s">
        <v>115</v>
      </c>
      <c r="BB23" s="15" t="s">
        <v>115</v>
      </c>
      <c r="BC23" s="15" t="s">
        <v>115</v>
      </c>
      <c r="BD23" s="13" t="str">
        <f t="shared" ref="BD23:BD25" si="57">IF(B23="","","0")</f>
        <v>0</v>
      </c>
      <c r="BE23" s="2" t="s">
        <v>115</v>
      </c>
      <c r="BF23" s="2" t="s">
        <v>115</v>
      </c>
      <c r="BG23" s="2" t="s">
        <v>115</v>
      </c>
      <c r="BH23" s="2" t="s">
        <v>115</v>
      </c>
      <c r="BI23" s="2" t="s">
        <v>115</v>
      </c>
      <c r="BJ23" s="2" t="s">
        <v>115</v>
      </c>
      <c r="BK23" s="2" t="s">
        <v>155</v>
      </c>
      <c r="BL23" s="10"/>
      <c r="BM23" t="str" cm="1">
        <f t="array" ref="BM23">_xlfn.IFS(LEFT(G23,1)="L","外注品",LEFT(G23,1)="W","内製品",G23="","購買品")</f>
        <v>購買品</v>
      </c>
    </row>
    <row r="24" spans="1:65">
      <c r="A24" s="2" t="str">
        <f t="shared" si="44"/>
        <v>WG01</v>
      </c>
      <c r="B24" s="2" t="s">
        <v>146</v>
      </c>
      <c r="C24" s="2" t="s">
        <v>152</v>
      </c>
      <c r="D24" s="10" t="str">
        <f t="shared" si="45"/>
        <v>E394340_01</v>
      </c>
      <c r="E24" s="10">
        <f t="shared" si="46"/>
        <v>0</v>
      </c>
      <c r="F24" s="2"/>
      <c r="G24" s="3"/>
      <c r="H24" s="3">
        <v>43453</v>
      </c>
      <c r="I24" s="2" t="s">
        <v>115</v>
      </c>
      <c r="J24" s="2" t="s">
        <v>115</v>
      </c>
      <c r="K24" s="2" t="str">
        <f t="shared" si="47"/>
        <v/>
      </c>
      <c r="L24" s="7" t="str">
        <f t="shared" si="48"/>
        <v>2001/01/01</v>
      </c>
      <c r="M24" s="7" t="str">
        <f t="shared" si="49"/>
        <v>2199/12/31</v>
      </c>
      <c r="N24" s="2" t="str">
        <f t="shared" si="50"/>
        <v/>
      </c>
      <c r="O24" s="13" t="str">
        <f t="shared" si="51"/>
        <v/>
      </c>
      <c r="P24" s="15"/>
      <c r="Q24" s="13">
        <v>15</v>
      </c>
      <c r="R24" s="18">
        <v>100000000</v>
      </c>
      <c r="S24" s="18" t="str" cm="1">
        <f t="array" ref="S24">_xlfn.IFS(LEFT(G24,1)="L","記載要",LEFT(G24,1)="W","記載要",G24="","")</f>
        <v/>
      </c>
      <c r="T24" s="2"/>
      <c r="U24" s="2"/>
      <c r="V24" s="2"/>
      <c r="W24" s="2"/>
      <c r="X24" s="2"/>
      <c r="Y24" s="2"/>
      <c r="Z24" s="2"/>
      <c r="AA24" s="13">
        <v>1</v>
      </c>
      <c r="AB24" s="13">
        <f t="shared" si="52"/>
        <v>0</v>
      </c>
      <c r="AC24" s="13">
        <f t="shared" si="53"/>
        <v>0</v>
      </c>
      <c r="AD24" s="15" t="s">
        <v>115</v>
      </c>
      <c r="AE24" s="15" t="s">
        <v>115</v>
      </c>
      <c r="AF24" s="13" t="str">
        <f t="shared" si="54"/>
        <v>1</v>
      </c>
      <c r="AG24" s="15" t="s">
        <v>115</v>
      </c>
      <c r="AH24" s="15" t="s">
        <v>115</v>
      </c>
      <c r="AI24" s="15" t="s">
        <v>115</v>
      </c>
      <c r="AJ24" s="14" t="s">
        <v>115</v>
      </c>
      <c r="AK24" s="15" cm="1">
        <f t="array" ref="AK24">_xlfn.IFS(B24="","",LEFT(G24,1)="L",1,LEFT(G24,1)="W",1,AND(LEFT(B24,1)="H",G24=""),0)</f>
        <v>0</v>
      </c>
      <c r="AL24" s="15" t="s">
        <v>115</v>
      </c>
      <c r="AM24" s="15" t="s">
        <v>115</v>
      </c>
      <c r="AN24" s="15" t="s">
        <v>115</v>
      </c>
      <c r="AO24" s="15" t="s">
        <v>115</v>
      </c>
      <c r="AP24" s="15" t="s">
        <v>115</v>
      </c>
      <c r="AQ24" s="15" t="s">
        <v>115</v>
      </c>
      <c r="AR24" s="15" t="s">
        <v>115</v>
      </c>
      <c r="AS24" s="15">
        <f t="shared" si="55"/>
        <v>1</v>
      </c>
      <c r="AT24" s="15" t="s">
        <v>115</v>
      </c>
      <c r="AU24" s="13" t="str">
        <f t="shared" si="56"/>
        <v>0</v>
      </c>
      <c r="AV24" s="15" t="s">
        <v>115</v>
      </c>
      <c r="AW24" s="15" t="s">
        <v>115</v>
      </c>
      <c r="AX24" s="15" t="s">
        <v>115</v>
      </c>
      <c r="AY24" s="15" t="s">
        <v>115</v>
      </c>
      <c r="AZ24" s="14" t="s">
        <v>115</v>
      </c>
      <c r="BA24" s="15" t="s">
        <v>115</v>
      </c>
      <c r="BB24" s="15" t="s">
        <v>115</v>
      </c>
      <c r="BC24" s="15" t="s">
        <v>115</v>
      </c>
      <c r="BD24" s="13" t="str">
        <f t="shared" si="57"/>
        <v>0</v>
      </c>
      <c r="BE24" s="2" t="s">
        <v>115</v>
      </c>
      <c r="BF24" s="2" t="s">
        <v>115</v>
      </c>
      <c r="BG24" s="2" t="s">
        <v>115</v>
      </c>
      <c r="BH24" s="2" t="s">
        <v>115</v>
      </c>
      <c r="BI24" s="2" t="s">
        <v>115</v>
      </c>
      <c r="BJ24" s="2" t="s">
        <v>115</v>
      </c>
      <c r="BK24" s="2" t="s">
        <v>155</v>
      </c>
      <c r="BL24" s="10"/>
      <c r="BM24" t="str" cm="1">
        <f t="array" ref="BM24">_xlfn.IFS(LEFT(G24,1)="L","外注品",LEFT(G24,1)="W","内製品",G24="","購買品")</f>
        <v>購買品</v>
      </c>
    </row>
    <row r="25" spans="1:65">
      <c r="A25" s="2" t="str">
        <f t="shared" si="44"/>
        <v>WG01</v>
      </c>
      <c r="B25" s="2" t="s">
        <v>146</v>
      </c>
      <c r="C25" s="2" t="s">
        <v>152</v>
      </c>
      <c r="D25" s="10" t="str">
        <f t="shared" si="45"/>
        <v>E394340_01</v>
      </c>
      <c r="E25" s="10">
        <f t="shared" si="46"/>
        <v>0</v>
      </c>
      <c r="F25" s="2"/>
      <c r="G25" s="3"/>
      <c r="H25" s="3">
        <v>47081</v>
      </c>
      <c r="I25" s="2" t="s">
        <v>115</v>
      </c>
      <c r="J25" s="2" t="s">
        <v>115</v>
      </c>
      <c r="K25" s="2" t="str">
        <f t="shared" si="47"/>
        <v/>
      </c>
      <c r="L25" s="7" t="str">
        <f t="shared" si="48"/>
        <v>2001/01/01</v>
      </c>
      <c r="M25" s="7" t="str">
        <f t="shared" si="49"/>
        <v>2199/12/31</v>
      </c>
      <c r="N25" s="2" t="str">
        <f t="shared" si="50"/>
        <v/>
      </c>
      <c r="O25" s="13" t="str">
        <f t="shared" si="51"/>
        <v/>
      </c>
      <c r="P25" s="15"/>
      <c r="Q25" s="13">
        <v>15</v>
      </c>
      <c r="R25" s="18">
        <v>100000000</v>
      </c>
      <c r="S25" s="18" t="str" cm="1">
        <f t="array" ref="S25">_xlfn.IFS(LEFT(G25,1)="L","記載要",LEFT(G25,1)="W","記載要",G25="","")</f>
        <v/>
      </c>
      <c r="T25" s="2"/>
      <c r="U25" s="2"/>
      <c r="V25" s="2"/>
      <c r="W25" s="2"/>
      <c r="X25" s="2"/>
      <c r="Y25" s="2"/>
      <c r="Z25" s="2"/>
      <c r="AA25" s="13">
        <v>1</v>
      </c>
      <c r="AB25" s="13">
        <f t="shared" si="52"/>
        <v>0</v>
      </c>
      <c r="AC25" s="13">
        <f t="shared" si="53"/>
        <v>0</v>
      </c>
      <c r="AD25" s="15" t="s">
        <v>115</v>
      </c>
      <c r="AE25" s="15" t="s">
        <v>115</v>
      </c>
      <c r="AF25" s="13">
        <v>0</v>
      </c>
      <c r="AG25" s="15" t="s">
        <v>115</v>
      </c>
      <c r="AH25" s="15" t="s">
        <v>115</v>
      </c>
      <c r="AI25" s="15" t="s">
        <v>115</v>
      </c>
      <c r="AJ25" s="14" t="s">
        <v>115</v>
      </c>
      <c r="AK25" s="15" cm="1">
        <f t="array" ref="AK25">_xlfn.IFS(B25="","",LEFT(G25,1)="L",1,LEFT(G25,1)="W",1,AND(LEFT(B25,1)="H",G25=""),0)</f>
        <v>0</v>
      </c>
      <c r="AL25" s="15" t="s">
        <v>115</v>
      </c>
      <c r="AM25" s="15" t="s">
        <v>115</v>
      </c>
      <c r="AN25" s="15" t="s">
        <v>115</v>
      </c>
      <c r="AO25" s="15" t="s">
        <v>115</v>
      </c>
      <c r="AP25" s="15" t="s">
        <v>115</v>
      </c>
      <c r="AQ25" s="15" t="s">
        <v>115</v>
      </c>
      <c r="AR25" s="15" t="s">
        <v>115</v>
      </c>
      <c r="AS25" s="15">
        <f t="shared" si="55"/>
        <v>1</v>
      </c>
      <c r="AT25" s="15" t="s">
        <v>115</v>
      </c>
      <c r="AU25" s="13" t="str">
        <f t="shared" si="56"/>
        <v>0</v>
      </c>
      <c r="AV25" s="15" t="s">
        <v>115</v>
      </c>
      <c r="AW25" s="15" t="s">
        <v>115</v>
      </c>
      <c r="AX25" s="15" t="s">
        <v>115</v>
      </c>
      <c r="AY25" s="15" t="s">
        <v>115</v>
      </c>
      <c r="AZ25" s="14" t="s">
        <v>115</v>
      </c>
      <c r="BA25" s="15" t="s">
        <v>115</v>
      </c>
      <c r="BB25" s="15" t="s">
        <v>115</v>
      </c>
      <c r="BC25" s="15" t="s">
        <v>115</v>
      </c>
      <c r="BD25" s="13" t="str">
        <f t="shared" si="57"/>
        <v>0</v>
      </c>
      <c r="BE25" s="2" t="s">
        <v>115</v>
      </c>
      <c r="BF25" s="2" t="s">
        <v>115</v>
      </c>
      <c r="BG25" s="2" t="s">
        <v>115</v>
      </c>
      <c r="BH25" s="2" t="s">
        <v>115</v>
      </c>
      <c r="BI25" s="2" t="s">
        <v>115</v>
      </c>
      <c r="BJ25" s="2" t="s">
        <v>115</v>
      </c>
      <c r="BK25" s="2" t="s">
        <v>155</v>
      </c>
      <c r="BL25" s="10"/>
      <c r="BM25" t="str" cm="1">
        <f t="array" ref="BM25">_xlfn.IFS(LEFT(G25,1)="L","外注品",LEFT(G25,1)="W","内製品",G25="","購買品")</f>
        <v>購買品</v>
      </c>
    </row>
    <row r="26" spans="1:65">
      <c r="A26" s="2" t="str">
        <f t="shared" si="0"/>
        <v>WG01</v>
      </c>
      <c r="B26" s="2" t="s">
        <v>146</v>
      </c>
      <c r="C26" s="2" t="s">
        <v>152</v>
      </c>
      <c r="D26" s="10" t="str">
        <f t="shared" si="27"/>
        <v>E394340_01</v>
      </c>
      <c r="E26" s="10">
        <f t="shared" si="28"/>
        <v>0</v>
      </c>
      <c r="F26" s="2"/>
      <c r="G26" s="3"/>
      <c r="H26" s="3">
        <v>27616</v>
      </c>
      <c r="I26" s="2" t="s">
        <v>115</v>
      </c>
      <c r="J26" s="2" t="s">
        <v>115</v>
      </c>
      <c r="K26" s="2" t="str">
        <f t="shared" si="3"/>
        <v/>
      </c>
      <c r="L26" s="7" t="str">
        <f t="shared" si="4"/>
        <v>2001/01/01</v>
      </c>
      <c r="M26" s="7" t="str">
        <f t="shared" si="5"/>
        <v>2199/12/31</v>
      </c>
      <c r="N26" s="2" t="str">
        <f t="shared" si="15"/>
        <v/>
      </c>
      <c r="O26" s="13" t="str">
        <f t="shared" si="43"/>
        <v/>
      </c>
      <c r="P26" s="15"/>
      <c r="Q26" s="13">
        <v>15</v>
      </c>
      <c r="R26" s="18">
        <v>100000000</v>
      </c>
      <c r="S26" s="18" t="str" cm="1">
        <f t="array" ref="S26">_xlfn.IFS(LEFT(G26,1)="L","記載要",LEFT(G26,1)="W","記載要",G26="","")</f>
        <v/>
      </c>
      <c r="T26" s="2"/>
      <c r="U26" s="2"/>
      <c r="V26" s="2"/>
      <c r="W26" s="2"/>
      <c r="X26" s="2"/>
      <c r="Y26" s="2"/>
      <c r="Z26" s="2"/>
      <c r="AA26" s="13">
        <v>1</v>
      </c>
      <c r="AB26" s="13">
        <f t="shared" si="6"/>
        <v>0</v>
      </c>
      <c r="AC26" s="13">
        <f t="shared" si="7"/>
        <v>0</v>
      </c>
      <c r="AD26" s="15" t="s">
        <v>115</v>
      </c>
      <c r="AE26" s="15" t="s">
        <v>115</v>
      </c>
      <c r="AF26" s="13" t="str">
        <f t="shared" si="8"/>
        <v>1</v>
      </c>
      <c r="AG26" s="15" t="s">
        <v>115</v>
      </c>
      <c r="AH26" s="15" t="s">
        <v>115</v>
      </c>
      <c r="AI26" s="15" t="s">
        <v>115</v>
      </c>
      <c r="AJ26" s="14" t="s">
        <v>115</v>
      </c>
      <c r="AK26" s="15" cm="1">
        <f t="array" ref="AK26">_xlfn.IFS(B26="","",LEFT(G26,1)="L",1,LEFT(G26,1)="W",1,AND(LEFT(B26,1)="H",G26=""),0)</f>
        <v>0</v>
      </c>
      <c r="AL26" s="15" t="s">
        <v>115</v>
      </c>
      <c r="AM26" s="15" t="s">
        <v>115</v>
      </c>
      <c r="AN26" s="15" t="s">
        <v>115</v>
      </c>
      <c r="AO26" s="15" t="s">
        <v>115</v>
      </c>
      <c r="AP26" s="15" t="s">
        <v>115</v>
      </c>
      <c r="AQ26" s="15" t="s">
        <v>115</v>
      </c>
      <c r="AR26" s="15" t="s">
        <v>115</v>
      </c>
      <c r="AS26" s="15">
        <f t="shared" si="16"/>
        <v>1</v>
      </c>
      <c r="AT26" s="15" t="s">
        <v>115</v>
      </c>
      <c r="AU26" s="13" t="str">
        <f t="shared" si="9"/>
        <v>0</v>
      </c>
      <c r="AV26" s="15" t="s">
        <v>115</v>
      </c>
      <c r="AW26" s="15" t="s">
        <v>115</v>
      </c>
      <c r="AX26" s="15" t="s">
        <v>115</v>
      </c>
      <c r="AY26" s="15" t="s">
        <v>115</v>
      </c>
      <c r="AZ26" s="14" t="s">
        <v>115</v>
      </c>
      <c r="BA26" s="15" t="s">
        <v>115</v>
      </c>
      <c r="BB26" s="15" t="s">
        <v>115</v>
      </c>
      <c r="BC26" s="15" t="s">
        <v>115</v>
      </c>
      <c r="BD26" s="13" t="str">
        <f t="shared" si="10"/>
        <v>0</v>
      </c>
      <c r="BE26" s="2" t="s">
        <v>115</v>
      </c>
      <c r="BF26" s="2" t="s">
        <v>115</v>
      </c>
      <c r="BG26" s="2" t="s">
        <v>115</v>
      </c>
      <c r="BH26" s="2" t="s">
        <v>115</v>
      </c>
      <c r="BI26" s="2" t="s">
        <v>115</v>
      </c>
      <c r="BJ26" s="2" t="s">
        <v>115</v>
      </c>
      <c r="BK26" s="2" t="s">
        <v>155</v>
      </c>
      <c r="BL26" s="10"/>
      <c r="BM26" t="str" cm="1">
        <f t="array" ref="BM26">_xlfn.IFS(LEFT(G26,1)="L","外注品",LEFT(G26,1)="W","内製品",G26="","購買品")</f>
        <v>購買品</v>
      </c>
    </row>
    <row r="27" spans="1:65">
      <c r="A27" s="2" t="str">
        <f t="shared" si="0"/>
        <v>WG01</v>
      </c>
      <c r="B27" s="2" t="s">
        <v>156</v>
      </c>
      <c r="C27" s="2" t="s">
        <v>275</v>
      </c>
      <c r="D27" s="10" t="str">
        <f t="shared" si="27"/>
        <v>E385503_01</v>
      </c>
      <c r="E27" s="10">
        <f t="shared" si="28"/>
        <v>0</v>
      </c>
      <c r="F27" s="2"/>
      <c r="G27" s="3"/>
      <c r="H27" s="19" t="s">
        <v>350</v>
      </c>
      <c r="I27" s="2" t="s">
        <v>115</v>
      </c>
      <c r="J27" s="2" t="s">
        <v>115</v>
      </c>
      <c r="K27" s="2" t="str">
        <f t="shared" si="3"/>
        <v/>
      </c>
      <c r="L27" s="7" t="str">
        <f t="shared" si="4"/>
        <v>2001/01/01</v>
      </c>
      <c r="M27" s="7" t="str">
        <f t="shared" si="5"/>
        <v>2199/12/31</v>
      </c>
      <c r="N27" s="2" t="str">
        <f t="shared" si="15"/>
        <v/>
      </c>
      <c r="O27" s="13" t="str">
        <f t="shared" si="43"/>
        <v/>
      </c>
      <c r="P27" s="15"/>
      <c r="Q27" s="13">
        <v>15</v>
      </c>
      <c r="R27" s="18">
        <v>100000000</v>
      </c>
      <c r="S27" s="18" t="str" cm="1">
        <f t="array" ref="S27">_xlfn.IFS(LEFT(G27,1)="L","記載要",LEFT(G27,1)="W","記載要",G27="","")</f>
        <v/>
      </c>
      <c r="T27" s="2"/>
      <c r="U27" s="2"/>
      <c r="V27" s="2"/>
      <c r="W27" s="2"/>
      <c r="X27" s="2"/>
      <c r="Y27" s="2"/>
      <c r="Z27" s="2"/>
      <c r="AA27" s="13">
        <v>1</v>
      </c>
      <c r="AB27" s="13">
        <f t="shared" si="6"/>
        <v>0</v>
      </c>
      <c r="AC27" s="13">
        <f t="shared" si="7"/>
        <v>0</v>
      </c>
      <c r="AD27" s="15" t="s">
        <v>115</v>
      </c>
      <c r="AE27" s="15" t="s">
        <v>115</v>
      </c>
      <c r="AF27" s="13" t="str">
        <f t="shared" si="8"/>
        <v>1</v>
      </c>
      <c r="AG27" s="15" t="s">
        <v>115</v>
      </c>
      <c r="AH27" s="15" t="s">
        <v>115</v>
      </c>
      <c r="AI27" s="15" t="s">
        <v>115</v>
      </c>
      <c r="AJ27" s="14" t="s">
        <v>115</v>
      </c>
      <c r="AK27" s="15" cm="1">
        <f t="array" ref="AK27">_xlfn.IFS(B27="","",LEFT(G27,1)="L",1,LEFT(G27,1)="W",1,AND(LEFT(B27,1)="H",G27=""),0)</f>
        <v>0</v>
      </c>
      <c r="AL27" s="15" t="s">
        <v>115</v>
      </c>
      <c r="AM27" s="15" t="s">
        <v>115</v>
      </c>
      <c r="AN27" s="15" t="s">
        <v>115</v>
      </c>
      <c r="AO27" s="15" t="s">
        <v>115</v>
      </c>
      <c r="AP27" s="15" t="s">
        <v>115</v>
      </c>
      <c r="AQ27" s="15" t="s">
        <v>115</v>
      </c>
      <c r="AR27" s="15" t="s">
        <v>115</v>
      </c>
      <c r="AS27" s="15">
        <f t="shared" si="16"/>
        <v>1</v>
      </c>
      <c r="AT27" s="15" t="s">
        <v>115</v>
      </c>
      <c r="AU27" s="13" t="str">
        <f t="shared" si="9"/>
        <v>0</v>
      </c>
      <c r="AV27" s="15" t="s">
        <v>115</v>
      </c>
      <c r="AW27" s="15" t="s">
        <v>115</v>
      </c>
      <c r="AX27" s="15" t="s">
        <v>115</v>
      </c>
      <c r="AY27" s="15" t="s">
        <v>115</v>
      </c>
      <c r="AZ27" s="14" t="s">
        <v>115</v>
      </c>
      <c r="BA27" s="15" t="s">
        <v>115</v>
      </c>
      <c r="BB27" s="15" t="s">
        <v>115</v>
      </c>
      <c r="BC27" s="15" t="s">
        <v>115</v>
      </c>
      <c r="BD27" s="13" t="str">
        <f t="shared" si="10"/>
        <v>0</v>
      </c>
      <c r="BE27" s="2" t="s">
        <v>115</v>
      </c>
      <c r="BF27" s="2" t="s">
        <v>115</v>
      </c>
      <c r="BG27" s="2" t="s">
        <v>115</v>
      </c>
      <c r="BH27" s="2" t="s">
        <v>115</v>
      </c>
      <c r="BI27" s="2" t="s">
        <v>115</v>
      </c>
      <c r="BJ27" s="2" t="s">
        <v>115</v>
      </c>
      <c r="BK27" s="2" t="s">
        <v>340</v>
      </c>
      <c r="BL27" s="10"/>
      <c r="BM27" t="str" cm="1">
        <f t="array" ref="BM27">_xlfn.IFS(LEFT(G27,1)="L","外注品",LEFT(G27,1)="W","内製品",G27="","購買品")</f>
        <v>購買品</v>
      </c>
    </row>
    <row r="28" spans="1:65">
      <c r="A28" s="2" t="str">
        <f t="shared" si="0"/>
        <v>WG01</v>
      </c>
      <c r="B28" s="2" t="s">
        <v>157</v>
      </c>
      <c r="C28" s="2" t="s">
        <v>276</v>
      </c>
      <c r="D28" s="10" t="str">
        <f t="shared" si="27"/>
        <v>E385503_01</v>
      </c>
      <c r="E28" s="10">
        <f t="shared" si="28"/>
        <v>0</v>
      </c>
      <c r="F28" s="2"/>
      <c r="G28" s="3"/>
      <c r="H28" s="19" t="s">
        <v>350</v>
      </c>
      <c r="I28" s="2"/>
      <c r="J28" s="2"/>
      <c r="K28" s="2" t="str">
        <f t="shared" si="3"/>
        <v/>
      </c>
      <c r="L28" s="7" t="str">
        <f t="shared" si="4"/>
        <v>2001/01/01</v>
      </c>
      <c r="M28" s="7" t="str">
        <f t="shared" si="5"/>
        <v>2199/12/31</v>
      </c>
      <c r="N28" s="2" t="str">
        <f t="shared" si="15"/>
        <v/>
      </c>
      <c r="O28" s="13" t="str">
        <f t="shared" si="43"/>
        <v/>
      </c>
      <c r="P28" s="15"/>
      <c r="Q28" s="13">
        <v>15</v>
      </c>
      <c r="R28" s="18">
        <v>100000000</v>
      </c>
      <c r="S28" s="18" t="str" cm="1">
        <f t="array" ref="S28">_xlfn.IFS(LEFT(G28,1)="L","記載要",LEFT(G28,1)="W","記載要",G28="","")</f>
        <v/>
      </c>
      <c r="T28" s="2"/>
      <c r="U28" s="2"/>
      <c r="V28" s="2"/>
      <c r="W28" s="2"/>
      <c r="X28" s="2"/>
      <c r="Y28" s="2"/>
      <c r="Z28" s="8"/>
      <c r="AA28" s="13">
        <v>1</v>
      </c>
      <c r="AB28" s="13">
        <f t="shared" si="6"/>
        <v>0</v>
      </c>
      <c r="AC28" s="13">
        <f t="shared" si="7"/>
        <v>0</v>
      </c>
      <c r="AD28" s="15"/>
      <c r="AE28" s="15"/>
      <c r="AF28" s="13" t="str">
        <f t="shared" si="8"/>
        <v>1</v>
      </c>
      <c r="AG28" s="17"/>
      <c r="AH28" s="17"/>
      <c r="AI28" s="15"/>
      <c r="AJ28" s="14"/>
      <c r="AK28" s="15" cm="1">
        <f t="array" ref="AK28">_xlfn.IFS(B28="","",LEFT(G28,1)="L",1,LEFT(G28,1)="W",1,AND(LEFT(B28,1)="H",G28=""),0)</f>
        <v>0</v>
      </c>
      <c r="AL28" s="15"/>
      <c r="AM28" s="15"/>
      <c r="AN28" s="15"/>
      <c r="AO28" s="15"/>
      <c r="AP28" s="15"/>
      <c r="AQ28" s="15"/>
      <c r="AR28" s="15"/>
      <c r="AS28" s="15">
        <f t="shared" si="16"/>
        <v>1</v>
      </c>
      <c r="AT28" s="15" t="s">
        <v>115</v>
      </c>
      <c r="AU28" s="13" t="str">
        <f t="shared" si="9"/>
        <v>0</v>
      </c>
      <c r="AV28" s="15"/>
      <c r="AW28" s="15"/>
      <c r="AX28" s="15"/>
      <c r="AY28" s="15"/>
      <c r="AZ28" s="14"/>
      <c r="BA28" s="15"/>
      <c r="BB28" s="15"/>
      <c r="BC28" s="15"/>
      <c r="BD28" s="13" t="str">
        <f t="shared" si="10"/>
        <v>0</v>
      </c>
      <c r="BE28" s="2"/>
      <c r="BF28" s="2"/>
      <c r="BG28" s="2"/>
      <c r="BH28" s="2"/>
      <c r="BI28" s="2"/>
      <c r="BJ28" s="2"/>
      <c r="BK28" s="2" t="s">
        <v>340</v>
      </c>
      <c r="BL28" s="10"/>
      <c r="BM28" t="str" cm="1">
        <f t="array" ref="BM28">_xlfn.IFS(LEFT(G28,1)="L","外注品",LEFT(G28,1)="W","内製品",G28="","購買品")</f>
        <v>購買品</v>
      </c>
    </row>
    <row r="29" spans="1:65">
      <c r="A29" s="2" t="str">
        <f t="shared" si="0"/>
        <v>WG01</v>
      </c>
      <c r="B29" s="2" t="s">
        <v>158</v>
      </c>
      <c r="C29" s="2" t="s">
        <v>277</v>
      </c>
      <c r="D29" s="10" t="str">
        <f t="shared" si="27"/>
        <v>E385503_01</v>
      </c>
      <c r="E29" s="10">
        <f t="shared" si="28"/>
        <v>0</v>
      </c>
      <c r="F29" s="2"/>
      <c r="G29" s="3"/>
      <c r="H29" s="19" t="s">
        <v>350</v>
      </c>
      <c r="I29" s="2"/>
      <c r="J29" s="2"/>
      <c r="K29" s="2" t="str">
        <f t="shared" si="3"/>
        <v/>
      </c>
      <c r="L29" s="7" t="str">
        <f t="shared" si="4"/>
        <v>2001/01/01</v>
      </c>
      <c r="M29" s="7" t="str">
        <f t="shared" si="5"/>
        <v>2199/12/31</v>
      </c>
      <c r="N29" s="2" t="str">
        <f t="shared" si="15"/>
        <v/>
      </c>
      <c r="O29" s="13" t="str">
        <f t="shared" si="43"/>
        <v/>
      </c>
      <c r="P29" s="15"/>
      <c r="Q29" s="13">
        <v>15</v>
      </c>
      <c r="R29" s="18">
        <v>100000000</v>
      </c>
      <c r="S29" s="18" t="str" cm="1">
        <f t="array" ref="S29">_xlfn.IFS(LEFT(G29,1)="L","記載要",LEFT(G29,1)="W","記載要",G29="","")</f>
        <v/>
      </c>
      <c r="T29" s="2"/>
      <c r="U29" s="8"/>
      <c r="V29" s="2"/>
      <c r="W29" s="2"/>
      <c r="X29" s="2"/>
      <c r="Y29" s="8"/>
      <c r="Z29" s="2"/>
      <c r="AA29" s="13">
        <v>1</v>
      </c>
      <c r="AB29" s="13">
        <f t="shared" si="6"/>
        <v>0</v>
      </c>
      <c r="AC29" s="13">
        <f t="shared" si="7"/>
        <v>0</v>
      </c>
      <c r="AD29" s="15"/>
      <c r="AE29" s="15"/>
      <c r="AF29" s="13" t="str">
        <f t="shared" si="8"/>
        <v>1</v>
      </c>
      <c r="AG29" s="17"/>
      <c r="AH29" s="17"/>
      <c r="AI29" s="15"/>
      <c r="AJ29" s="14"/>
      <c r="AK29" s="15" cm="1">
        <f t="array" ref="AK29">_xlfn.IFS(B29="","",LEFT(G29,1)="L",1,LEFT(G29,1)="W",1,AND(LEFT(B29,1)="H",G29=""),0)</f>
        <v>0</v>
      </c>
      <c r="AL29" s="15"/>
      <c r="AM29" s="15"/>
      <c r="AN29" s="15"/>
      <c r="AO29" s="15"/>
      <c r="AP29" s="15"/>
      <c r="AQ29" s="15"/>
      <c r="AR29" s="15"/>
      <c r="AS29" s="15">
        <f t="shared" si="16"/>
        <v>1</v>
      </c>
      <c r="AT29" s="15" t="s">
        <v>115</v>
      </c>
      <c r="AU29" s="13" t="str">
        <f t="shared" si="9"/>
        <v>0</v>
      </c>
      <c r="AV29" s="15"/>
      <c r="AW29" s="15"/>
      <c r="AX29" s="15"/>
      <c r="AY29" s="15"/>
      <c r="AZ29" s="14"/>
      <c r="BA29" s="15"/>
      <c r="BB29" s="15"/>
      <c r="BC29" s="15"/>
      <c r="BD29" s="13" t="str">
        <f t="shared" si="10"/>
        <v>0</v>
      </c>
      <c r="BE29" s="2"/>
      <c r="BF29" s="2"/>
      <c r="BG29" s="2"/>
      <c r="BH29" s="2"/>
      <c r="BI29" s="2"/>
      <c r="BJ29" s="2"/>
      <c r="BK29" s="2" t="s">
        <v>340</v>
      </c>
      <c r="BL29" s="10"/>
      <c r="BM29" t="str" cm="1">
        <f t="array" ref="BM29">_xlfn.IFS(LEFT(G29,1)="L","外注品",LEFT(G29,1)="W","内製品",G29="","購買品")</f>
        <v>購買品</v>
      </c>
    </row>
    <row r="30" spans="1:65">
      <c r="A30" s="2" t="str">
        <f t="shared" si="0"/>
        <v>WG01</v>
      </c>
      <c r="B30" s="2" t="s">
        <v>159</v>
      </c>
      <c r="C30" s="2" t="s">
        <v>278</v>
      </c>
      <c r="D30" s="10" t="str">
        <f t="shared" si="27"/>
        <v>E385503_01</v>
      </c>
      <c r="E30" s="10">
        <f t="shared" si="28"/>
        <v>0</v>
      </c>
      <c r="F30" s="2"/>
      <c r="G30" s="3"/>
      <c r="H30" s="19" t="s">
        <v>350</v>
      </c>
      <c r="I30" s="2"/>
      <c r="J30" s="2"/>
      <c r="K30" s="2" t="str">
        <f t="shared" si="3"/>
        <v/>
      </c>
      <c r="L30" s="7" t="str">
        <f t="shared" si="4"/>
        <v>2001/01/01</v>
      </c>
      <c r="M30" s="7" t="str">
        <f t="shared" si="5"/>
        <v>2199/12/31</v>
      </c>
      <c r="N30" s="2" t="str">
        <f t="shared" si="15"/>
        <v/>
      </c>
      <c r="O30" s="13" t="str">
        <f t="shared" si="43"/>
        <v/>
      </c>
      <c r="P30" s="15"/>
      <c r="Q30" s="13">
        <v>15</v>
      </c>
      <c r="R30" s="18">
        <v>100000000</v>
      </c>
      <c r="S30" s="18" t="str" cm="1">
        <f t="array" ref="S30">_xlfn.IFS(LEFT(G30,1)="L","記載要",LEFT(G30,1)="W","記載要",G30="","")</f>
        <v/>
      </c>
      <c r="T30" s="2"/>
      <c r="U30" s="2"/>
      <c r="V30" s="2"/>
      <c r="W30" s="2"/>
      <c r="X30" s="2"/>
      <c r="Y30" s="8"/>
      <c r="Z30" s="2"/>
      <c r="AA30" s="13">
        <v>1</v>
      </c>
      <c r="AB30" s="13">
        <f t="shared" si="6"/>
        <v>0</v>
      </c>
      <c r="AC30" s="13">
        <f t="shared" si="7"/>
        <v>0</v>
      </c>
      <c r="AD30" s="15"/>
      <c r="AE30" s="15"/>
      <c r="AF30" s="13" t="str">
        <f t="shared" si="8"/>
        <v>1</v>
      </c>
      <c r="AG30" s="17"/>
      <c r="AH30" s="17"/>
      <c r="AI30" s="15"/>
      <c r="AJ30" s="14"/>
      <c r="AK30" s="15" cm="1">
        <f t="array" ref="AK30">_xlfn.IFS(B30="","",LEFT(G30,1)="L",1,LEFT(G30,1)="W",1,AND(LEFT(B30,1)="H",G30=""),0)</f>
        <v>0</v>
      </c>
      <c r="AL30" s="15"/>
      <c r="AM30" s="15"/>
      <c r="AN30" s="15"/>
      <c r="AO30" s="15"/>
      <c r="AP30" s="15"/>
      <c r="AQ30" s="15"/>
      <c r="AR30" s="15"/>
      <c r="AS30" s="15">
        <f t="shared" si="16"/>
        <v>1</v>
      </c>
      <c r="AT30" s="15" t="s">
        <v>115</v>
      </c>
      <c r="AU30" s="13" t="str">
        <f t="shared" si="9"/>
        <v>0</v>
      </c>
      <c r="AV30" s="15"/>
      <c r="AW30" s="15"/>
      <c r="AX30" s="15"/>
      <c r="AY30" s="15"/>
      <c r="AZ30" s="14"/>
      <c r="BA30" s="15"/>
      <c r="BB30" s="15"/>
      <c r="BC30" s="15"/>
      <c r="BD30" s="13" t="str">
        <f t="shared" si="10"/>
        <v>0</v>
      </c>
      <c r="BE30" s="2"/>
      <c r="BF30" s="2"/>
      <c r="BG30" s="2"/>
      <c r="BH30" s="2"/>
      <c r="BI30" s="2"/>
      <c r="BJ30" s="2"/>
      <c r="BK30" s="2" t="s">
        <v>340</v>
      </c>
      <c r="BL30" s="10"/>
      <c r="BM30" t="str" cm="1">
        <f t="array" ref="BM30">_xlfn.IFS(LEFT(G30,1)="L","外注品",LEFT(G30,1)="W","内製品",G30="","購買品")</f>
        <v>購買品</v>
      </c>
    </row>
    <row r="31" spans="1:65">
      <c r="A31" s="2" t="str">
        <f t="shared" si="0"/>
        <v>WG01</v>
      </c>
      <c r="B31" s="2" t="s">
        <v>160</v>
      </c>
      <c r="C31" s="2" t="s">
        <v>279</v>
      </c>
      <c r="D31" s="10" t="str">
        <f t="shared" si="27"/>
        <v>E385503_01</v>
      </c>
      <c r="E31" s="10">
        <f t="shared" si="28"/>
        <v>0</v>
      </c>
      <c r="F31" s="2"/>
      <c r="G31" s="3"/>
      <c r="H31" s="19" t="s">
        <v>350</v>
      </c>
      <c r="I31" s="2"/>
      <c r="J31" s="2"/>
      <c r="K31" s="2" t="str">
        <f t="shared" si="3"/>
        <v/>
      </c>
      <c r="L31" s="7" t="str">
        <f t="shared" si="4"/>
        <v>2001/01/01</v>
      </c>
      <c r="M31" s="7" t="str">
        <f t="shared" si="5"/>
        <v>2199/12/31</v>
      </c>
      <c r="N31" s="2" t="str">
        <f t="shared" si="15"/>
        <v/>
      </c>
      <c r="O31" s="13" t="str">
        <f t="shared" si="43"/>
        <v/>
      </c>
      <c r="P31" s="15"/>
      <c r="Q31" s="13">
        <v>15</v>
      </c>
      <c r="R31" s="18">
        <v>100000000</v>
      </c>
      <c r="S31" s="18" t="str" cm="1">
        <f t="array" ref="S31">_xlfn.IFS(LEFT(G31,1)="L","記載要",LEFT(G31,1)="W","記載要",G31="","")</f>
        <v/>
      </c>
      <c r="T31" s="2"/>
      <c r="U31" s="2"/>
      <c r="V31" s="2"/>
      <c r="W31" s="2"/>
      <c r="X31" s="2"/>
      <c r="Y31" s="8"/>
      <c r="Z31" s="2"/>
      <c r="AA31" s="13">
        <v>1</v>
      </c>
      <c r="AB31" s="13">
        <f t="shared" si="6"/>
        <v>0</v>
      </c>
      <c r="AC31" s="13">
        <f t="shared" si="7"/>
        <v>0</v>
      </c>
      <c r="AD31" s="15"/>
      <c r="AE31" s="15"/>
      <c r="AF31" s="13" t="str">
        <f t="shared" si="8"/>
        <v>1</v>
      </c>
      <c r="AG31" s="17"/>
      <c r="AH31" s="17"/>
      <c r="AI31" s="15"/>
      <c r="AJ31" s="14"/>
      <c r="AK31" s="15" cm="1">
        <f t="array" ref="AK31">_xlfn.IFS(B31="","",LEFT(G31,1)="L",1,LEFT(G31,1)="W",1,AND(LEFT(B31,1)="H",G31=""),0)</f>
        <v>0</v>
      </c>
      <c r="AL31" s="15"/>
      <c r="AM31" s="15"/>
      <c r="AN31" s="15"/>
      <c r="AO31" s="15"/>
      <c r="AP31" s="15"/>
      <c r="AQ31" s="15"/>
      <c r="AR31" s="15"/>
      <c r="AS31" s="15">
        <f t="shared" si="16"/>
        <v>1</v>
      </c>
      <c r="AT31" s="15" t="s">
        <v>115</v>
      </c>
      <c r="AU31" s="13" t="str">
        <f t="shared" si="9"/>
        <v>0</v>
      </c>
      <c r="AV31" s="15"/>
      <c r="AW31" s="15"/>
      <c r="AX31" s="15"/>
      <c r="AY31" s="15"/>
      <c r="AZ31" s="14"/>
      <c r="BA31" s="15"/>
      <c r="BB31" s="15"/>
      <c r="BC31" s="15"/>
      <c r="BD31" s="13" t="str">
        <f t="shared" si="10"/>
        <v>0</v>
      </c>
      <c r="BE31" s="2"/>
      <c r="BF31" s="2"/>
      <c r="BG31" s="2"/>
      <c r="BH31" s="2"/>
      <c r="BI31" s="2"/>
      <c r="BJ31" s="2"/>
      <c r="BK31" s="2" t="s">
        <v>340</v>
      </c>
      <c r="BL31" s="10"/>
      <c r="BM31" t="str" cm="1">
        <f t="array" ref="BM31">_xlfn.IFS(LEFT(G31,1)="L","外注品",LEFT(G31,1)="W","内製品",G31="","購買品")</f>
        <v>購買品</v>
      </c>
    </row>
    <row r="32" spans="1:65">
      <c r="A32" s="2" t="str">
        <f t="shared" si="0"/>
        <v>WG01</v>
      </c>
      <c r="B32" s="2" t="s">
        <v>161</v>
      </c>
      <c r="C32" s="2" t="s">
        <v>280</v>
      </c>
      <c r="D32" s="10" t="str">
        <f t="shared" si="27"/>
        <v>E385503_01</v>
      </c>
      <c r="E32" s="10">
        <f t="shared" si="28"/>
        <v>0</v>
      </c>
      <c r="F32" s="2"/>
      <c r="G32" s="3"/>
      <c r="H32" s="19" t="s">
        <v>350</v>
      </c>
      <c r="I32" s="2"/>
      <c r="J32" s="2"/>
      <c r="K32" s="2" t="str">
        <f t="shared" si="3"/>
        <v/>
      </c>
      <c r="L32" s="7" t="str">
        <f t="shared" si="4"/>
        <v>2001/01/01</v>
      </c>
      <c r="M32" s="7" t="str">
        <f t="shared" si="5"/>
        <v>2199/12/31</v>
      </c>
      <c r="N32" s="2" t="str">
        <f t="shared" si="15"/>
        <v/>
      </c>
      <c r="O32" s="13" t="str">
        <f t="shared" si="43"/>
        <v/>
      </c>
      <c r="P32" s="15"/>
      <c r="Q32" s="13">
        <v>15</v>
      </c>
      <c r="R32" s="18">
        <v>100000000</v>
      </c>
      <c r="S32" s="18" t="str" cm="1">
        <f t="array" ref="S32">_xlfn.IFS(LEFT(G32,1)="L","記載要",LEFT(G32,1)="W","記載要",G32="","")</f>
        <v/>
      </c>
      <c r="T32" s="2"/>
      <c r="U32" s="2"/>
      <c r="V32" s="2"/>
      <c r="W32" s="2"/>
      <c r="X32" s="2"/>
      <c r="Y32" s="8"/>
      <c r="Z32" s="2"/>
      <c r="AA32" s="13">
        <v>1</v>
      </c>
      <c r="AB32" s="13">
        <f t="shared" si="6"/>
        <v>0</v>
      </c>
      <c r="AC32" s="13">
        <f t="shared" si="7"/>
        <v>0</v>
      </c>
      <c r="AD32" s="15"/>
      <c r="AE32" s="15"/>
      <c r="AF32" s="13" t="str">
        <f t="shared" si="8"/>
        <v>1</v>
      </c>
      <c r="AG32" s="17"/>
      <c r="AH32" s="17"/>
      <c r="AI32" s="15"/>
      <c r="AJ32" s="14"/>
      <c r="AK32" s="15" cm="1">
        <f t="array" ref="AK32">_xlfn.IFS(B32="","",LEFT(G32,1)="L",1,LEFT(G32,1)="W",1,AND(LEFT(B32,1)="H",G32=""),0)</f>
        <v>0</v>
      </c>
      <c r="AL32" s="15"/>
      <c r="AM32" s="15"/>
      <c r="AN32" s="15"/>
      <c r="AO32" s="15"/>
      <c r="AP32" s="15"/>
      <c r="AQ32" s="15"/>
      <c r="AR32" s="15"/>
      <c r="AS32" s="15">
        <f t="shared" si="16"/>
        <v>1</v>
      </c>
      <c r="AT32" s="15" t="s">
        <v>115</v>
      </c>
      <c r="AU32" s="13" t="str">
        <f t="shared" si="9"/>
        <v>0</v>
      </c>
      <c r="AV32" s="15"/>
      <c r="AW32" s="15"/>
      <c r="AX32" s="15"/>
      <c r="AY32" s="15"/>
      <c r="AZ32" s="14"/>
      <c r="BA32" s="15"/>
      <c r="BB32" s="15"/>
      <c r="BC32" s="15"/>
      <c r="BD32" s="13" t="str">
        <f t="shared" si="10"/>
        <v>0</v>
      </c>
      <c r="BE32" s="2"/>
      <c r="BF32" s="2"/>
      <c r="BG32" s="2"/>
      <c r="BH32" s="2"/>
      <c r="BI32" s="2"/>
      <c r="BJ32" s="2"/>
      <c r="BK32" s="2" t="s">
        <v>340</v>
      </c>
      <c r="BL32" s="10"/>
      <c r="BM32" t="str" cm="1">
        <f t="array" ref="BM32">_xlfn.IFS(LEFT(G32,1)="L","外注品",LEFT(G32,1)="W","内製品",G32="","購買品")</f>
        <v>購買品</v>
      </c>
    </row>
    <row r="33" spans="1:65">
      <c r="A33" s="2" t="str">
        <f t="shared" si="0"/>
        <v>WG01</v>
      </c>
      <c r="B33" s="2" t="s">
        <v>162</v>
      </c>
      <c r="C33" s="2" t="s">
        <v>281</v>
      </c>
      <c r="D33" s="10" t="str">
        <f t="shared" si="27"/>
        <v>E385503_01</v>
      </c>
      <c r="E33" s="10">
        <f t="shared" si="28"/>
        <v>0</v>
      </c>
      <c r="F33" s="2"/>
      <c r="G33" s="3"/>
      <c r="H33" s="19" t="s">
        <v>350</v>
      </c>
      <c r="I33" s="2"/>
      <c r="J33" s="2"/>
      <c r="K33" s="2" t="str">
        <f t="shared" si="3"/>
        <v/>
      </c>
      <c r="L33" s="7" t="str">
        <f t="shared" si="4"/>
        <v>2001/01/01</v>
      </c>
      <c r="M33" s="7" t="str">
        <f t="shared" si="5"/>
        <v>2199/12/31</v>
      </c>
      <c r="N33" s="2" t="str">
        <f t="shared" si="15"/>
        <v/>
      </c>
      <c r="O33" s="13" t="str">
        <f t="shared" si="43"/>
        <v/>
      </c>
      <c r="P33" s="15"/>
      <c r="Q33" s="13">
        <v>15</v>
      </c>
      <c r="R33" s="18">
        <v>100000000</v>
      </c>
      <c r="S33" s="18" t="str" cm="1">
        <f t="array" ref="S33">_xlfn.IFS(LEFT(G33,1)="L","記載要",LEFT(G33,1)="W","記載要",G33="","")</f>
        <v/>
      </c>
      <c r="T33" s="2"/>
      <c r="U33" s="2"/>
      <c r="V33" s="2"/>
      <c r="W33" s="2"/>
      <c r="X33" s="2"/>
      <c r="Y33" s="8"/>
      <c r="Z33" s="2"/>
      <c r="AA33" s="13">
        <v>1</v>
      </c>
      <c r="AB33" s="13">
        <f t="shared" si="6"/>
        <v>0</v>
      </c>
      <c r="AC33" s="13">
        <f t="shared" si="7"/>
        <v>0</v>
      </c>
      <c r="AD33" s="15"/>
      <c r="AE33" s="15"/>
      <c r="AF33" s="13" t="str">
        <f t="shared" si="8"/>
        <v>1</v>
      </c>
      <c r="AG33" s="17"/>
      <c r="AH33" s="17"/>
      <c r="AI33" s="15"/>
      <c r="AJ33" s="14"/>
      <c r="AK33" s="15" cm="1">
        <f t="array" ref="AK33">_xlfn.IFS(B33="","",LEFT(G33,1)="L",1,LEFT(G33,1)="W",1,AND(LEFT(B33,1)="H",G33=""),0)</f>
        <v>0</v>
      </c>
      <c r="AL33" s="15"/>
      <c r="AM33" s="15"/>
      <c r="AN33" s="15"/>
      <c r="AO33" s="15"/>
      <c r="AP33" s="15"/>
      <c r="AQ33" s="15"/>
      <c r="AR33" s="15"/>
      <c r="AS33" s="15">
        <f t="shared" si="16"/>
        <v>1</v>
      </c>
      <c r="AT33" s="15" t="s">
        <v>115</v>
      </c>
      <c r="AU33" s="13" t="str">
        <f t="shared" si="9"/>
        <v>0</v>
      </c>
      <c r="AV33" s="15"/>
      <c r="AW33" s="15"/>
      <c r="AX33" s="15"/>
      <c r="AY33" s="15"/>
      <c r="AZ33" s="14"/>
      <c r="BA33" s="15"/>
      <c r="BB33" s="15"/>
      <c r="BC33" s="15"/>
      <c r="BD33" s="13" t="str">
        <f t="shared" si="10"/>
        <v>0</v>
      </c>
      <c r="BE33" s="2"/>
      <c r="BF33" s="2"/>
      <c r="BG33" s="2"/>
      <c r="BH33" s="2"/>
      <c r="BI33" s="2"/>
      <c r="BJ33" s="2"/>
      <c r="BK33" s="2" t="s">
        <v>340</v>
      </c>
      <c r="BL33" s="10"/>
      <c r="BM33" t="str" cm="1">
        <f t="array" ref="BM33">_xlfn.IFS(LEFT(G33,1)="L","外注品",LEFT(G33,1)="W","内製品",G33="","購買品")</f>
        <v>購買品</v>
      </c>
    </row>
    <row r="34" spans="1:65">
      <c r="A34" s="2" t="str">
        <f t="shared" si="0"/>
        <v>WG01</v>
      </c>
      <c r="B34" s="2" t="s">
        <v>163</v>
      </c>
      <c r="C34" s="2" t="s">
        <v>282</v>
      </c>
      <c r="D34" s="10" t="str">
        <f t="shared" si="27"/>
        <v>E385503_01</v>
      </c>
      <c r="E34" s="10">
        <f t="shared" si="28"/>
        <v>0</v>
      </c>
      <c r="F34" s="2"/>
      <c r="G34" s="3"/>
      <c r="H34" s="19" t="s">
        <v>350</v>
      </c>
      <c r="I34" s="2"/>
      <c r="J34" s="2"/>
      <c r="K34" s="2" t="str">
        <f t="shared" si="3"/>
        <v/>
      </c>
      <c r="L34" s="7" t="str">
        <f t="shared" si="4"/>
        <v>2001/01/01</v>
      </c>
      <c r="M34" s="7" t="str">
        <f t="shared" si="5"/>
        <v>2199/12/31</v>
      </c>
      <c r="N34" s="2" t="str">
        <f t="shared" si="15"/>
        <v/>
      </c>
      <c r="O34" s="13" t="str">
        <f t="shared" si="43"/>
        <v/>
      </c>
      <c r="P34" s="15"/>
      <c r="Q34" s="13">
        <v>15</v>
      </c>
      <c r="R34" s="18">
        <v>100000000</v>
      </c>
      <c r="S34" s="18" t="str" cm="1">
        <f t="array" ref="S34">_xlfn.IFS(LEFT(G34,1)="L","記載要",LEFT(G34,1)="W","記載要",G34="","")</f>
        <v/>
      </c>
      <c r="T34" s="2"/>
      <c r="U34" s="2"/>
      <c r="V34" s="2"/>
      <c r="W34" s="2"/>
      <c r="X34" s="2"/>
      <c r="Y34" s="8"/>
      <c r="Z34" s="2"/>
      <c r="AA34" s="13">
        <v>1</v>
      </c>
      <c r="AB34" s="13">
        <f t="shared" si="6"/>
        <v>0</v>
      </c>
      <c r="AC34" s="13">
        <f t="shared" si="7"/>
        <v>0</v>
      </c>
      <c r="AD34" s="15"/>
      <c r="AE34" s="15"/>
      <c r="AF34" s="13" t="str">
        <f t="shared" si="8"/>
        <v>1</v>
      </c>
      <c r="AG34" s="17"/>
      <c r="AH34" s="17"/>
      <c r="AI34" s="15"/>
      <c r="AJ34" s="14"/>
      <c r="AK34" s="15" cm="1">
        <f t="array" ref="AK34">_xlfn.IFS(B34="","",LEFT(G34,1)="L",1,LEFT(G34,1)="W",1,AND(LEFT(B34,1)="H",G34=""),0)</f>
        <v>0</v>
      </c>
      <c r="AL34" s="15"/>
      <c r="AM34" s="15"/>
      <c r="AN34" s="15"/>
      <c r="AO34" s="15"/>
      <c r="AP34" s="15"/>
      <c r="AQ34" s="15"/>
      <c r="AR34" s="15"/>
      <c r="AS34" s="15">
        <f t="shared" si="16"/>
        <v>1</v>
      </c>
      <c r="AT34" s="15" t="s">
        <v>115</v>
      </c>
      <c r="AU34" s="13" t="str">
        <f t="shared" si="9"/>
        <v>0</v>
      </c>
      <c r="AV34" s="15"/>
      <c r="AW34" s="15"/>
      <c r="AX34" s="15"/>
      <c r="AY34" s="15"/>
      <c r="AZ34" s="14"/>
      <c r="BA34" s="15"/>
      <c r="BB34" s="15"/>
      <c r="BC34" s="15"/>
      <c r="BD34" s="13" t="str">
        <f t="shared" si="10"/>
        <v>0</v>
      </c>
      <c r="BE34" s="2"/>
      <c r="BF34" s="2"/>
      <c r="BG34" s="2"/>
      <c r="BH34" s="2"/>
      <c r="BI34" s="2"/>
      <c r="BJ34" s="2"/>
      <c r="BK34" s="2" t="s">
        <v>340</v>
      </c>
      <c r="BL34" s="10"/>
      <c r="BM34" t="str" cm="1">
        <f t="array" ref="BM34">_xlfn.IFS(LEFT(G34,1)="L","外注品",LEFT(G34,1)="W","内製品",G34="","購買品")</f>
        <v>購買品</v>
      </c>
    </row>
    <row r="35" spans="1:65">
      <c r="A35" s="2" t="str">
        <f t="shared" si="0"/>
        <v>WG01</v>
      </c>
      <c r="B35" s="2" t="s">
        <v>164</v>
      </c>
      <c r="C35" s="2" t="s">
        <v>283</v>
      </c>
      <c r="D35" s="10" t="str">
        <f t="shared" si="27"/>
        <v>E385503_01</v>
      </c>
      <c r="E35" s="10">
        <f t="shared" si="28"/>
        <v>0</v>
      </c>
      <c r="F35" s="2"/>
      <c r="G35" s="3"/>
      <c r="H35" s="19" t="s">
        <v>350</v>
      </c>
      <c r="I35" s="2"/>
      <c r="J35" s="2"/>
      <c r="K35" s="2" t="str">
        <f t="shared" si="3"/>
        <v/>
      </c>
      <c r="L35" s="7" t="str">
        <f t="shared" si="4"/>
        <v>2001/01/01</v>
      </c>
      <c r="M35" s="7" t="str">
        <f t="shared" si="5"/>
        <v>2199/12/31</v>
      </c>
      <c r="N35" s="2" t="str">
        <f t="shared" si="15"/>
        <v/>
      </c>
      <c r="O35" s="13" t="str">
        <f t="shared" si="43"/>
        <v/>
      </c>
      <c r="P35" s="15"/>
      <c r="Q35" s="13">
        <v>15</v>
      </c>
      <c r="R35" s="18">
        <v>100000000</v>
      </c>
      <c r="S35" s="18" t="str" cm="1">
        <f t="array" ref="S35">_xlfn.IFS(LEFT(G35,1)="L","記載要",LEFT(G35,1)="W","記載要",G35="","")</f>
        <v/>
      </c>
      <c r="T35" s="2"/>
      <c r="U35" s="2"/>
      <c r="V35" s="2"/>
      <c r="W35" s="2"/>
      <c r="X35" s="2"/>
      <c r="Y35" s="8"/>
      <c r="Z35" s="2"/>
      <c r="AA35" s="13">
        <v>1</v>
      </c>
      <c r="AB35" s="13">
        <f t="shared" si="6"/>
        <v>0</v>
      </c>
      <c r="AC35" s="13">
        <f t="shared" si="7"/>
        <v>0</v>
      </c>
      <c r="AD35" s="15"/>
      <c r="AE35" s="15"/>
      <c r="AF35" s="13" t="str">
        <f t="shared" si="8"/>
        <v>1</v>
      </c>
      <c r="AG35" s="17"/>
      <c r="AH35" s="17"/>
      <c r="AI35" s="15"/>
      <c r="AJ35" s="14"/>
      <c r="AK35" s="15" cm="1">
        <f t="array" ref="AK35">_xlfn.IFS(B35="","",LEFT(G35,1)="L",1,LEFT(G35,1)="W",1,AND(LEFT(B35,1)="H",G35=""),0)</f>
        <v>0</v>
      </c>
      <c r="AL35" s="15"/>
      <c r="AM35" s="15"/>
      <c r="AN35" s="15"/>
      <c r="AO35" s="15"/>
      <c r="AP35" s="15"/>
      <c r="AQ35" s="15"/>
      <c r="AR35" s="15"/>
      <c r="AS35" s="15">
        <f t="shared" si="16"/>
        <v>1</v>
      </c>
      <c r="AT35" s="15" t="s">
        <v>115</v>
      </c>
      <c r="AU35" s="13" t="str">
        <f t="shared" si="9"/>
        <v>0</v>
      </c>
      <c r="AV35" s="15"/>
      <c r="AW35" s="15"/>
      <c r="AX35" s="15"/>
      <c r="AY35" s="15"/>
      <c r="AZ35" s="14"/>
      <c r="BA35" s="15"/>
      <c r="BB35" s="15"/>
      <c r="BC35" s="15"/>
      <c r="BD35" s="13" t="str">
        <f t="shared" si="10"/>
        <v>0</v>
      </c>
      <c r="BE35" s="2"/>
      <c r="BF35" s="2"/>
      <c r="BG35" s="2"/>
      <c r="BH35" s="2"/>
      <c r="BI35" s="2"/>
      <c r="BJ35" s="2"/>
      <c r="BK35" s="2" t="s">
        <v>340</v>
      </c>
      <c r="BL35" s="10"/>
      <c r="BM35" t="str" cm="1">
        <f t="array" ref="BM35">_xlfn.IFS(LEFT(G35,1)="L","外注品",LEFT(G35,1)="W","内製品",G35="","購買品")</f>
        <v>購買品</v>
      </c>
    </row>
    <row r="36" spans="1:65">
      <c r="A36" s="2" t="str">
        <f t="shared" si="0"/>
        <v>WG01</v>
      </c>
      <c r="B36" s="2" t="s">
        <v>165</v>
      </c>
      <c r="C36" s="2" t="s">
        <v>284</v>
      </c>
      <c r="D36" s="10" t="str">
        <f t="shared" si="27"/>
        <v>E385503_01</v>
      </c>
      <c r="E36" s="10">
        <f t="shared" si="28"/>
        <v>0</v>
      </c>
      <c r="F36" s="2"/>
      <c r="G36" s="3"/>
      <c r="H36" s="19" t="s">
        <v>350</v>
      </c>
      <c r="I36" s="2"/>
      <c r="J36" s="2"/>
      <c r="K36" s="2" t="str">
        <f t="shared" si="3"/>
        <v/>
      </c>
      <c r="L36" s="7" t="str">
        <f t="shared" si="4"/>
        <v>2001/01/01</v>
      </c>
      <c r="M36" s="7" t="str">
        <f t="shared" si="5"/>
        <v>2199/12/31</v>
      </c>
      <c r="N36" s="2" t="str">
        <f t="shared" si="15"/>
        <v/>
      </c>
      <c r="O36" s="13" t="str">
        <f t="shared" si="43"/>
        <v/>
      </c>
      <c r="P36" s="15"/>
      <c r="Q36" s="13">
        <v>15</v>
      </c>
      <c r="R36" s="18">
        <v>100000000</v>
      </c>
      <c r="S36" s="18" t="str" cm="1">
        <f t="array" ref="S36">_xlfn.IFS(LEFT(G36,1)="L","記載要",LEFT(G36,1)="W","記載要",G36="","")</f>
        <v/>
      </c>
      <c r="T36" s="2"/>
      <c r="U36" s="2"/>
      <c r="V36" s="2"/>
      <c r="W36" s="2"/>
      <c r="X36" s="2"/>
      <c r="Y36" s="2"/>
      <c r="Z36" s="8"/>
      <c r="AA36" s="13">
        <v>1</v>
      </c>
      <c r="AB36" s="13">
        <f t="shared" si="6"/>
        <v>0</v>
      </c>
      <c r="AC36" s="13">
        <f t="shared" si="7"/>
        <v>0</v>
      </c>
      <c r="AD36" s="15"/>
      <c r="AE36" s="15"/>
      <c r="AF36" s="13" t="str">
        <f t="shared" si="8"/>
        <v>1</v>
      </c>
      <c r="AG36" s="17"/>
      <c r="AH36" s="17"/>
      <c r="AI36" s="15"/>
      <c r="AJ36" s="14"/>
      <c r="AK36" s="15" cm="1">
        <f t="array" ref="AK36">_xlfn.IFS(B36="","",LEFT(G36,1)="L",1,LEFT(G36,1)="W",1,AND(LEFT(B36,1)="H",G36=""),0)</f>
        <v>0</v>
      </c>
      <c r="AL36" s="15"/>
      <c r="AM36" s="15"/>
      <c r="AN36" s="15"/>
      <c r="AO36" s="15"/>
      <c r="AP36" s="15"/>
      <c r="AQ36" s="15"/>
      <c r="AR36" s="15"/>
      <c r="AS36" s="15">
        <f t="shared" si="16"/>
        <v>1</v>
      </c>
      <c r="AT36" s="15" t="s">
        <v>115</v>
      </c>
      <c r="AU36" s="13" t="str">
        <f t="shared" si="9"/>
        <v>0</v>
      </c>
      <c r="AV36" s="15"/>
      <c r="AW36" s="15"/>
      <c r="AX36" s="15"/>
      <c r="AY36" s="15"/>
      <c r="AZ36" s="14"/>
      <c r="BA36" s="15"/>
      <c r="BB36" s="15"/>
      <c r="BC36" s="15"/>
      <c r="BD36" s="13" t="str">
        <f t="shared" si="10"/>
        <v>0</v>
      </c>
      <c r="BE36" s="2"/>
      <c r="BF36" s="2"/>
      <c r="BG36" s="2"/>
      <c r="BH36" s="2"/>
      <c r="BI36" s="2"/>
      <c r="BJ36" s="2"/>
      <c r="BK36" s="2" t="s">
        <v>340</v>
      </c>
      <c r="BL36" s="10"/>
      <c r="BM36" t="str" cm="1">
        <f t="array" ref="BM36">_xlfn.IFS(LEFT(G36,1)="L","外注品",LEFT(G36,1)="W","内製品",G36="","購買品")</f>
        <v>購買品</v>
      </c>
    </row>
    <row r="37" spans="1:65">
      <c r="A37" s="2" t="str">
        <f t="shared" si="0"/>
        <v>WG01</v>
      </c>
      <c r="B37" s="2" t="s">
        <v>166</v>
      </c>
      <c r="C37" s="2" t="s">
        <v>285</v>
      </c>
      <c r="D37" s="10" t="str">
        <f t="shared" si="27"/>
        <v>E385503_01</v>
      </c>
      <c r="E37" s="10">
        <f t="shared" si="28"/>
        <v>0</v>
      </c>
      <c r="F37" s="2"/>
      <c r="G37" s="3"/>
      <c r="H37" s="19" t="s">
        <v>350</v>
      </c>
      <c r="I37" s="2"/>
      <c r="J37" s="2"/>
      <c r="K37" s="2" t="str">
        <f t="shared" si="3"/>
        <v/>
      </c>
      <c r="L37" s="7" t="str">
        <f t="shared" si="4"/>
        <v>2001/01/01</v>
      </c>
      <c r="M37" s="7" t="str">
        <f t="shared" si="5"/>
        <v>2199/12/31</v>
      </c>
      <c r="N37" s="2" t="str">
        <f t="shared" si="15"/>
        <v/>
      </c>
      <c r="O37" s="13" t="str">
        <f t="shared" si="43"/>
        <v/>
      </c>
      <c r="P37" s="15"/>
      <c r="Q37" s="13">
        <v>15</v>
      </c>
      <c r="R37" s="18">
        <v>100000000</v>
      </c>
      <c r="S37" s="18" t="str" cm="1">
        <f t="array" ref="S37">_xlfn.IFS(LEFT(G37,1)="L","記載要",LEFT(G37,1)="W","記載要",G37="","")</f>
        <v/>
      </c>
      <c r="T37" s="2"/>
      <c r="U37" s="2"/>
      <c r="V37" s="2"/>
      <c r="W37" s="2"/>
      <c r="X37" s="2"/>
      <c r="Y37" s="2"/>
      <c r="Z37" s="2"/>
      <c r="AA37" s="13">
        <v>1</v>
      </c>
      <c r="AB37" s="13">
        <f t="shared" si="6"/>
        <v>0</v>
      </c>
      <c r="AC37" s="13">
        <f t="shared" si="7"/>
        <v>0</v>
      </c>
      <c r="AD37" s="15"/>
      <c r="AE37" s="15"/>
      <c r="AF37" s="13" t="str">
        <f t="shared" si="8"/>
        <v>1</v>
      </c>
      <c r="AG37" s="17"/>
      <c r="AH37" s="17"/>
      <c r="AI37" s="15"/>
      <c r="AJ37" s="14"/>
      <c r="AK37" s="15" cm="1">
        <f t="array" ref="AK37">_xlfn.IFS(B37="","",LEFT(G37,1)="L",1,LEFT(G37,1)="W",1,AND(LEFT(B37,1)="H",G37=""),0)</f>
        <v>0</v>
      </c>
      <c r="AL37" s="15"/>
      <c r="AM37" s="15"/>
      <c r="AN37" s="15"/>
      <c r="AO37" s="15"/>
      <c r="AP37" s="15"/>
      <c r="AQ37" s="15"/>
      <c r="AR37" s="15"/>
      <c r="AS37" s="15">
        <f t="shared" si="16"/>
        <v>1</v>
      </c>
      <c r="AT37" s="15" t="s">
        <v>115</v>
      </c>
      <c r="AU37" s="13" t="str">
        <f t="shared" si="9"/>
        <v>0</v>
      </c>
      <c r="AV37" s="15"/>
      <c r="AW37" s="15"/>
      <c r="AX37" s="15"/>
      <c r="AY37" s="15"/>
      <c r="AZ37" s="14"/>
      <c r="BA37" s="15"/>
      <c r="BB37" s="15"/>
      <c r="BC37" s="15"/>
      <c r="BD37" s="13" t="str">
        <f t="shared" si="10"/>
        <v>0</v>
      </c>
      <c r="BE37" s="2"/>
      <c r="BF37" s="2"/>
      <c r="BG37" s="2"/>
      <c r="BH37" s="2"/>
      <c r="BI37" s="2"/>
      <c r="BJ37" s="2"/>
      <c r="BK37" s="2" t="s">
        <v>340</v>
      </c>
      <c r="BL37" s="10"/>
      <c r="BM37" t="str" cm="1">
        <f t="array" ref="BM37">_xlfn.IFS(LEFT(G37,1)="L","外注品",LEFT(G37,1)="W","内製品",G37="","購買品")</f>
        <v>購買品</v>
      </c>
    </row>
    <row r="38" spans="1:65">
      <c r="A38" s="2" t="str">
        <f t="shared" si="0"/>
        <v>WG01</v>
      </c>
      <c r="B38" s="2" t="s">
        <v>167</v>
      </c>
      <c r="C38" s="2" t="s">
        <v>286</v>
      </c>
      <c r="D38" s="10" t="str">
        <f t="shared" si="27"/>
        <v>E385503_01</v>
      </c>
      <c r="E38" s="10">
        <f t="shared" si="28"/>
        <v>0</v>
      </c>
      <c r="F38" s="2"/>
      <c r="G38" s="3"/>
      <c r="H38" s="19" t="s">
        <v>350</v>
      </c>
      <c r="I38" s="2"/>
      <c r="J38" s="2"/>
      <c r="K38" s="2" t="str">
        <f t="shared" si="3"/>
        <v/>
      </c>
      <c r="L38" s="7" t="str">
        <f t="shared" si="4"/>
        <v>2001/01/01</v>
      </c>
      <c r="M38" s="7" t="str">
        <f t="shared" si="5"/>
        <v>2199/12/31</v>
      </c>
      <c r="N38" s="2" t="str">
        <f t="shared" si="15"/>
        <v/>
      </c>
      <c r="O38" s="13" t="str">
        <f t="shared" si="43"/>
        <v/>
      </c>
      <c r="P38" s="15"/>
      <c r="Q38" s="13">
        <v>15</v>
      </c>
      <c r="R38" s="18">
        <v>100000000</v>
      </c>
      <c r="S38" s="18" t="str" cm="1">
        <f t="array" ref="S38">_xlfn.IFS(LEFT(G38,1)="L","記載要",LEFT(G38,1)="W","記載要",G38="","")</f>
        <v/>
      </c>
      <c r="T38" s="2"/>
      <c r="U38" s="2"/>
      <c r="V38" s="2"/>
      <c r="W38" s="2"/>
      <c r="X38" s="2"/>
      <c r="Y38" s="2"/>
      <c r="Z38" s="2"/>
      <c r="AA38" s="13">
        <v>1</v>
      </c>
      <c r="AB38" s="13">
        <f t="shared" si="6"/>
        <v>0</v>
      </c>
      <c r="AC38" s="13">
        <f t="shared" si="7"/>
        <v>0</v>
      </c>
      <c r="AD38" s="15"/>
      <c r="AE38" s="15"/>
      <c r="AF38" s="13" t="str">
        <f t="shared" si="8"/>
        <v>1</v>
      </c>
      <c r="AG38" s="17"/>
      <c r="AH38" s="17"/>
      <c r="AI38" s="15"/>
      <c r="AJ38" s="14"/>
      <c r="AK38" s="15" cm="1">
        <f t="array" ref="AK38">_xlfn.IFS(B38="","",LEFT(G38,1)="L",1,LEFT(G38,1)="W",1,AND(LEFT(B38,1)="H",G38=""),0)</f>
        <v>0</v>
      </c>
      <c r="AL38" s="15"/>
      <c r="AM38" s="15"/>
      <c r="AN38" s="15"/>
      <c r="AO38" s="15"/>
      <c r="AP38" s="15"/>
      <c r="AQ38" s="15"/>
      <c r="AR38" s="15"/>
      <c r="AS38" s="15">
        <f t="shared" si="16"/>
        <v>1</v>
      </c>
      <c r="AT38" s="15" t="s">
        <v>115</v>
      </c>
      <c r="AU38" s="13" t="str">
        <f t="shared" si="9"/>
        <v>0</v>
      </c>
      <c r="AV38" s="15"/>
      <c r="AW38" s="15"/>
      <c r="AX38" s="15"/>
      <c r="AY38" s="15"/>
      <c r="AZ38" s="14"/>
      <c r="BA38" s="15"/>
      <c r="BB38" s="15"/>
      <c r="BC38" s="15"/>
      <c r="BD38" s="13" t="str">
        <f t="shared" si="10"/>
        <v>0</v>
      </c>
      <c r="BE38" s="2"/>
      <c r="BF38" s="2"/>
      <c r="BG38" s="2"/>
      <c r="BH38" s="2"/>
      <c r="BI38" s="2"/>
      <c r="BJ38" s="2"/>
      <c r="BK38" s="2" t="s">
        <v>340</v>
      </c>
      <c r="BL38" s="10"/>
      <c r="BM38" t="str" cm="1">
        <f t="array" ref="BM38">_xlfn.IFS(LEFT(G38,1)="L","外注品",LEFT(G38,1)="W","内製品",G38="","購買品")</f>
        <v>購買品</v>
      </c>
    </row>
    <row r="39" spans="1:65">
      <c r="A39" s="2" t="str">
        <f t="shared" si="0"/>
        <v>WG01</v>
      </c>
      <c r="B39" s="2" t="s">
        <v>168</v>
      </c>
      <c r="C39" s="2" t="s">
        <v>287</v>
      </c>
      <c r="D39" s="10" t="str">
        <f t="shared" si="27"/>
        <v>E385503_01</v>
      </c>
      <c r="E39" s="10">
        <f t="shared" si="28"/>
        <v>0</v>
      </c>
      <c r="F39" s="2"/>
      <c r="G39" s="3"/>
      <c r="H39" s="19" t="s">
        <v>350</v>
      </c>
      <c r="I39" s="2"/>
      <c r="J39" s="2"/>
      <c r="K39" s="2" t="str">
        <f t="shared" si="3"/>
        <v/>
      </c>
      <c r="L39" s="7" t="str">
        <f t="shared" si="4"/>
        <v>2001/01/01</v>
      </c>
      <c r="M39" s="7" t="str">
        <f t="shared" si="5"/>
        <v>2199/12/31</v>
      </c>
      <c r="N39" s="2" t="str">
        <f t="shared" si="15"/>
        <v/>
      </c>
      <c r="O39" s="13" t="str">
        <f t="shared" si="43"/>
        <v/>
      </c>
      <c r="P39" s="15"/>
      <c r="Q39" s="13">
        <v>15</v>
      </c>
      <c r="R39" s="18">
        <v>100000000</v>
      </c>
      <c r="S39" s="18" t="str" cm="1">
        <f t="array" ref="S39">_xlfn.IFS(LEFT(G39,1)="L","記載要",LEFT(G39,1)="W","記載要",G39="","")</f>
        <v/>
      </c>
      <c r="T39" s="2"/>
      <c r="U39" s="2"/>
      <c r="V39" s="2"/>
      <c r="W39" s="2"/>
      <c r="X39" s="2"/>
      <c r="Y39" s="2"/>
      <c r="Z39" s="2"/>
      <c r="AA39" s="13">
        <v>1</v>
      </c>
      <c r="AB39" s="13">
        <f t="shared" si="6"/>
        <v>0</v>
      </c>
      <c r="AC39" s="13">
        <f t="shared" si="7"/>
        <v>0</v>
      </c>
      <c r="AD39" s="15"/>
      <c r="AE39" s="15"/>
      <c r="AF39" s="13" t="str">
        <f t="shared" si="8"/>
        <v>1</v>
      </c>
      <c r="AG39" s="17"/>
      <c r="AH39" s="17"/>
      <c r="AI39" s="15"/>
      <c r="AJ39" s="14"/>
      <c r="AK39" s="15" cm="1">
        <f t="array" ref="AK39">_xlfn.IFS(B39="","",LEFT(G39,1)="L",1,LEFT(G39,1)="W",1,AND(LEFT(B39,1)="H",G39=""),0)</f>
        <v>0</v>
      </c>
      <c r="AL39" s="15"/>
      <c r="AM39" s="15"/>
      <c r="AN39" s="15"/>
      <c r="AO39" s="15"/>
      <c r="AP39" s="15"/>
      <c r="AQ39" s="15"/>
      <c r="AR39" s="15"/>
      <c r="AS39" s="15">
        <f t="shared" si="16"/>
        <v>1</v>
      </c>
      <c r="AT39" s="15" t="s">
        <v>115</v>
      </c>
      <c r="AU39" s="13" t="str">
        <f t="shared" si="9"/>
        <v>0</v>
      </c>
      <c r="AV39" s="15"/>
      <c r="AW39" s="15"/>
      <c r="AX39" s="15"/>
      <c r="AY39" s="15"/>
      <c r="AZ39" s="14"/>
      <c r="BA39" s="15"/>
      <c r="BB39" s="15"/>
      <c r="BC39" s="15"/>
      <c r="BD39" s="13" t="str">
        <f t="shared" si="10"/>
        <v>0</v>
      </c>
      <c r="BE39" s="2"/>
      <c r="BF39" s="2"/>
      <c r="BG39" s="2"/>
      <c r="BH39" s="2"/>
      <c r="BI39" s="2"/>
      <c r="BJ39" s="2"/>
      <c r="BK39" s="2" t="s">
        <v>340</v>
      </c>
      <c r="BL39" s="10"/>
      <c r="BM39" t="str" cm="1">
        <f t="array" ref="BM39">_xlfn.IFS(LEFT(G39,1)="L","外注品",LEFT(G39,1)="W","内製品",G39="","購買品")</f>
        <v>購買品</v>
      </c>
    </row>
    <row r="40" spans="1:65">
      <c r="A40" s="2" t="str">
        <f t="shared" si="0"/>
        <v>WG01</v>
      </c>
      <c r="B40" s="2" t="s">
        <v>169</v>
      </c>
      <c r="C40" s="2" t="s">
        <v>288</v>
      </c>
      <c r="D40" s="10" t="str">
        <f t="shared" si="27"/>
        <v>E385503_01</v>
      </c>
      <c r="E40" s="10">
        <f t="shared" si="28"/>
        <v>0</v>
      </c>
      <c r="F40" s="2"/>
      <c r="G40" s="3"/>
      <c r="H40" s="19" t="s">
        <v>350</v>
      </c>
      <c r="I40" s="2"/>
      <c r="J40" s="2"/>
      <c r="K40" s="2" t="str">
        <f t="shared" si="3"/>
        <v/>
      </c>
      <c r="L40" s="7" t="str">
        <f t="shared" si="4"/>
        <v>2001/01/01</v>
      </c>
      <c r="M40" s="7" t="str">
        <f t="shared" si="5"/>
        <v>2199/12/31</v>
      </c>
      <c r="N40" s="2" t="str">
        <f t="shared" si="15"/>
        <v/>
      </c>
      <c r="O40" s="13" t="str">
        <f t="shared" si="43"/>
        <v/>
      </c>
      <c r="P40" s="15"/>
      <c r="Q40" s="13">
        <v>15</v>
      </c>
      <c r="R40" s="18">
        <v>100000000</v>
      </c>
      <c r="S40" s="18" t="str" cm="1">
        <f t="array" ref="S40">_xlfn.IFS(LEFT(G40,1)="L","記載要",LEFT(G40,1)="W","記載要",G40="","")</f>
        <v/>
      </c>
      <c r="T40" s="2"/>
      <c r="U40" s="2"/>
      <c r="V40" s="2"/>
      <c r="W40" s="2"/>
      <c r="X40" s="2"/>
      <c r="Y40" s="2"/>
      <c r="Z40" s="2"/>
      <c r="AA40" s="13">
        <v>1</v>
      </c>
      <c r="AB40" s="13">
        <f t="shared" si="6"/>
        <v>0</v>
      </c>
      <c r="AC40" s="13">
        <f t="shared" si="7"/>
        <v>0</v>
      </c>
      <c r="AD40" s="15"/>
      <c r="AE40" s="15"/>
      <c r="AF40" s="13" t="str">
        <f t="shared" si="8"/>
        <v>1</v>
      </c>
      <c r="AG40" s="17"/>
      <c r="AH40" s="17"/>
      <c r="AI40" s="15"/>
      <c r="AJ40" s="14"/>
      <c r="AK40" s="15" cm="1">
        <f t="array" ref="AK40">_xlfn.IFS(B40="","",LEFT(G40,1)="L",1,LEFT(G40,1)="W",1,AND(LEFT(B40,1)="H",G40=""),0)</f>
        <v>0</v>
      </c>
      <c r="AL40" s="15"/>
      <c r="AM40" s="15"/>
      <c r="AN40" s="15"/>
      <c r="AO40" s="15"/>
      <c r="AP40" s="15"/>
      <c r="AQ40" s="15"/>
      <c r="AR40" s="15"/>
      <c r="AS40" s="15">
        <f t="shared" si="16"/>
        <v>1</v>
      </c>
      <c r="AT40" s="15" t="s">
        <v>115</v>
      </c>
      <c r="AU40" s="13" t="str">
        <f t="shared" si="9"/>
        <v>0</v>
      </c>
      <c r="AV40" s="15"/>
      <c r="AW40" s="15"/>
      <c r="AX40" s="15"/>
      <c r="AY40" s="15"/>
      <c r="AZ40" s="14"/>
      <c r="BA40" s="15"/>
      <c r="BB40" s="15"/>
      <c r="BC40" s="15"/>
      <c r="BD40" s="13" t="str">
        <f t="shared" si="10"/>
        <v>0</v>
      </c>
      <c r="BE40" s="2"/>
      <c r="BF40" s="2"/>
      <c r="BG40" s="2"/>
      <c r="BH40" s="2"/>
      <c r="BI40" s="2"/>
      <c r="BJ40" s="2"/>
      <c r="BK40" s="2" t="s">
        <v>340</v>
      </c>
      <c r="BL40" s="10"/>
      <c r="BM40" t="str" cm="1">
        <f t="array" ref="BM40">_xlfn.IFS(LEFT(G40,1)="L","外注品",LEFT(G40,1)="W","内製品",G40="","購買品")</f>
        <v>購買品</v>
      </c>
    </row>
    <row r="41" spans="1:65">
      <c r="A41" s="2" t="str">
        <f t="shared" si="0"/>
        <v>WG01</v>
      </c>
      <c r="B41" s="2" t="s">
        <v>170</v>
      </c>
      <c r="C41" s="2" t="s">
        <v>289</v>
      </c>
      <c r="D41" s="10" t="str">
        <f t="shared" si="27"/>
        <v>E385503_01</v>
      </c>
      <c r="E41" s="10">
        <f t="shared" si="28"/>
        <v>0</v>
      </c>
      <c r="F41" s="2"/>
      <c r="G41" s="3"/>
      <c r="H41" s="19" t="s">
        <v>350</v>
      </c>
      <c r="I41" s="2"/>
      <c r="J41" s="2"/>
      <c r="K41" s="2" t="str">
        <f t="shared" si="3"/>
        <v/>
      </c>
      <c r="L41" s="7" t="str">
        <f t="shared" ref="L41:L57" si="58">IF(B41="","","2001/01/01")</f>
        <v>2001/01/01</v>
      </c>
      <c r="M41" s="7" t="str">
        <f t="shared" ref="M41:M57" si="59">IF(C41="","","2199/12/31")</f>
        <v>2199/12/31</v>
      </c>
      <c r="N41" s="2" t="str">
        <f t="shared" si="15"/>
        <v/>
      </c>
      <c r="O41" s="13" t="str">
        <f t="shared" si="43"/>
        <v/>
      </c>
      <c r="P41" s="15"/>
      <c r="Q41" s="13">
        <v>15</v>
      </c>
      <c r="R41" s="18">
        <v>100000000</v>
      </c>
      <c r="S41" s="18" t="str" cm="1">
        <f t="array" ref="S41">_xlfn.IFS(LEFT(G41,1)="L","記載要",LEFT(G41,1)="W","記載要",G41="","")</f>
        <v/>
      </c>
      <c r="T41" s="2"/>
      <c r="U41" s="2"/>
      <c r="V41" s="2"/>
      <c r="W41" s="2"/>
      <c r="X41" s="2"/>
      <c r="Y41" s="2"/>
      <c r="Z41" s="2"/>
      <c r="AA41" s="13">
        <v>1</v>
      </c>
      <c r="AB41" s="13">
        <f t="shared" si="6"/>
        <v>0</v>
      </c>
      <c r="AC41" s="13">
        <f t="shared" si="7"/>
        <v>0</v>
      </c>
      <c r="AD41" s="15"/>
      <c r="AE41" s="15"/>
      <c r="AF41" s="13" t="str">
        <f t="shared" si="8"/>
        <v>1</v>
      </c>
      <c r="AG41" s="17"/>
      <c r="AH41" s="17"/>
      <c r="AI41" s="15"/>
      <c r="AJ41" s="14"/>
      <c r="AK41" s="15" cm="1">
        <f t="array" ref="AK41">_xlfn.IFS(B41="","",LEFT(G41,1)="L",1,LEFT(G41,1)="W",1,AND(LEFT(B41,1)="H",G41=""),0)</f>
        <v>0</v>
      </c>
      <c r="AL41" s="15"/>
      <c r="AM41" s="15"/>
      <c r="AN41" s="15"/>
      <c r="AO41" s="15"/>
      <c r="AP41" s="15"/>
      <c r="AQ41" s="15"/>
      <c r="AR41" s="15"/>
      <c r="AS41" s="15">
        <f t="shared" si="16"/>
        <v>1</v>
      </c>
      <c r="AT41" s="15" t="s">
        <v>115</v>
      </c>
      <c r="AU41" s="13" t="str">
        <f t="shared" si="9"/>
        <v>0</v>
      </c>
      <c r="AV41" s="15"/>
      <c r="AW41" s="15"/>
      <c r="AX41" s="15"/>
      <c r="AY41" s="15"/>
      <c r="AZ41" s="14"/>
      <c r="BA41" s="15"/>
      <c r="BB41" s="15"/>
      <c r="BC41" s="15"/>
      <c r="BD41" s="13" t="str">
        <f t="shared" si="10"/>
        <v>0</v>
      </c>
      <c r="BE41" s="2"/>
      <c r="BF41" s="2"/>
      <c r="BG41" s="2"/>
      <c r="BH41" s="2"/>
      <c r="BI41" s="2"/>
      <c r="BJ41" s="2"/>
      <c r="BK41" s="2" t="s">
        <v>340</v>
      </c>
      <c r="BL41" s="10"/>
      <c r="BM41" t="str" cm="1">
        <f t="array" ref="BM41">_xlfn.IFS(LEFT(G41,1)="L","外注品",LEFT(G41,1)="W","内製品",G41="","購買品")</f>
        <v>購買品</v>
      </c>
    </row>
    <row r="42" spans="1:65">
      <c r="A42" s="2" t="str">
        <f t="shared" si="0"/>
        <v>WG01</v>
      </c>
      <c r="B42" s="2" t="s">
        <v>171</v>
      </c>
      <c r="C42" s="2" t="s">
        <v>290</v>
      </c>
      <c r="D42" s="10" t="str">
        <f t="shared" si="27"/>
        <v>E385503_01</v>
      </c>
      <c r="E42" s="10">
        <f t="shared" si="28"/>
        <v>0</v>
      </c>
      <c r="F42" s="2"/>
      <c r="G42" s="3"/>
      <c r="H42" s="19" t="s">
        <v>350</v>
      </c>
      <c r="I42" s="2"/>
      <c r="J42" s="2"/>
      <c r="K42" s="2" t="str">
        <f t="shared" si="3"/>
        <v/>
      </c>
      <c r="L42" s="7" t="str">
        <f t="shared" si="58"/>
        <v>2001/01/01</v>
      </c>
      <c r="M42" s="7" t="str">
        <f t="shared" si="59"/>
        <v>2199/12/31</v>
      </c>
      <c r="N42" s="2" t="str">
        <f t="shared" si="15"/>
        <v/>
      </c>
      <c r="O42" s="13" t="str">
        <f t="shared" si="43"/>
        <v/>
      </c>
      <c r="P42" s="15"/>
      <c r="Q42" s="13">
        <v>15</v>
      </c>
      <c r="R42" s="18">
        <v>100000000</v>
      </c>
      <c r="S42" s="18" t="str" cm="1">
        <f t="array" ref="S42">_xlfn.IFS(LEFT(G42,1)="L","記載要",LEFT(G42,1)="W","記載要",G42="","")</f>
        <v/>
      </c>
      <c r="T42" s="2"/>
      <c r="U42" s="2"/>
      <c r="V42" s="2"/>
      <c r="W42" s="2"/>
      <c r="X42" s="2"/>
      <c r="Y42" s="2"/>
      <c r="Z42" s="2"/>
      <c r="AA42" s="13">
        <v>1</v>
      </c>
      <c r="AB42" s="13">
        <f t="shared" si="6"/>
        <v>0</v>
      </c>
      <c r="AC42" s="13">
        <f t="shared" si="7"/>
        <v>0</v>
      </c>
      <c r="AD42" s="15"/>
      <c r="AE42" s="15"/>
      <c r="AF42" s="13" t="str">
        <f t="shared" si="8"/>
        <v>1</v>
      </c>
      <c r="AG42" s="17"/>
      <c r="AH42" s="17"/>
      <c r="AI42" s="15"/>
      <c r="AJ42" s="14"/>
      <c r="AK42" s="15" cm="1">
        <f t="array" ref="AK42">_xlfn.IFS(B42="","",LEFT(G42,1)="L",1,LEFT(G42,1)="W",1,AND(LEFT(B42,1)="H",G42=""),0)</f>
        <v>0</v>
      </c>
      <c r="AL42" s="15"/>
      <c r="AM42" s="15"/>
      <c r="AN42" s="15"/>
      <c r="AO42" s="15"/>
      <c r="AP42" s="15"/>
      <c r="AQ42" s="15"/>
      <c r="AR42" s="15"/>
      <c r="AS42" s="15">
        <f t="shared" si="16"/>
        <v>1</v>
      </c>
      <c r="AT42" s="15" t="s">
        <v>115</v>
      </c>
      <c r="AU42" s="13" t="str">
        <f t="shared" si="9"/>
        <v>0</v>
      </c>
      <c r="AV42" s="15"/>
      <c r="AW42" s="15"/>
      <c r="AX42" s="15"/>
      <c r="AY42" s="15"/>
      <c r="AZ42" s="14"/>
      <c r="BA42" s="15"/>
      <c r="BB42" s="15"/>
      <c r="BC42" s="15"/>
      <c r="BD42" s="13" t="str">
        <f t="shared" si="10"/>
        <v>0</v>
      </c>
      <c r="BE42" s="2"/>
      <c r="BF42" s="2"/>
      <c r="BG42" s="2"/>
      <c r="BH42" s="2"/>
      <c r="BI42" s="2"/>
      <c r="BJ42" s="2"/>
      <c r="BK42" s="2" t="s">
        <v>340</v>
      </c>
      <c r="BL42" s="10"/>
      <c r="BM42" t="str" cm="1">
        <f t="array" ref="BM42">_xlfn.IFS(LEFT(G42,1)="L","外注品",LEFT(G42,1)="W","内製品",G42="","購買品")</f>
        <v>購買品</v>
      </c>
    </row>
    <row r="43" spans="1:65">
      <c r="A43" s="2" t="str">
        <f t="shared" si="0"/>
        <v>WG01</v>
      </c>
      <c r="B43" s="2" t="s">
        <v>172</v>
      </c>
      <c r="C43" s="2" t="s">
        <v>291</v>
      </c>
      <c r="D43" s="10" t="str">
        <f t="shared" si="27"/>
        <v>E385503_01</v>
      </c>
      <c r="E43" s="10">
        <f t="shared" si="28"/>
        <v>0</v>
      </c>
      <c r="F43" s="2"/>
      <c r="G43" s="3"/>
      <c r="H43" s="19" t="s">
        <v>350</v>
      </c>
      <c r="I43" s="2"/>
      <c r="J43" s="2"/>
      <c r="K43" s="2" t="str">
        <f t="shared" si="3"/>
        <v/>
      </c>
      <c r="L43" s="7" t="str">
        <f t="shared" si="58"/>
        <v>2001/01/01</v>
      </c>
      <c r="M43" s="7" t="str">
        <f t="shared" si="59"/>
        <v>2199/12/31</v>
      </c>
      <c r="N43" s="2" t="str">
        <f t="shared" si="15"/>
        <v/>
      </c>
      <c r="O43" s="13" t="str">
        <f t="shared" si="43"/>
        <v/>
      </c>
      <c r="P43" s="15"/>
      <c r="Q43" s="13">
        <v>15</v>
      </c>
      <c r="R43" s="18">
        <v>100000000</v>
      </c>
      <c r="S43" s="18" t="str" cm="1">
        <f t="array" ref="S43">_xlfn.IFS(LEFT(G43,1)="L","記載要",LEFT(G43,1)="W","記載要",G43="","")</f>
        <v/>
      </c>
      <c r="T43" s="2"/>
      <c r="U43" s="2"/>
      <c r="V43" s="2"/>
      <c r="W43" s="2"/>
      <c r="X43" s="2"/>
      <c r="Y43" s="2"/>
      <c r="Z43" s="2"/>
      <c r="AA43" s="13">
        <v>1</v>
      </c>
      <c r="AB43" s="13">
        <f t="shared" si="6"/>
        <v>0</v>
      </c>
      <c r="AC43" s="13">
        <f t="shared" si="7"/>
        <v>0</v>
      </c>
      <c r="AD43" s="15"/>
      <c r="AE43" s="15"/>
      <c r="AF43" s="13" t="str">
        <f t="shared" si="8"/>
        <v>1</v>
      </c>
      <c r="AG43" s="17"/>
      <c r="AH43" s="17"/>
      <c r="AI43" s="15"/>
      <c r="AJ43" s="14"/>
      <c r="AK43" s="15" cm="1">
        <f t="array" ref="AK43">_xlfn.IFS(B43="","",LEFT(G43,1)="L",1,LEFT(G43,1)="W",1,AND(LEFT(B43,1)="H",G43=""),0)</f>
        <v>0</v>
      </c>
      <c r="AL43" s="15"/>
      <c r="AM43" s="15"/>
      <c r="AN43" s="15"/>
      <c r="AO43" s="15"/>
      <c r="AP43" s="15"/>
      <c r="AQ43" s="15"/>
      <c r="AR43" s="15"/>
      <c r="AS43" s="15">
        <f t="shared" si="16"/>
        <v>1</v>
      </c>
      <c r="AT43" s="15" t="s">
        <v>115</v>
      </c>
      <c r="AU43" s="13" t="str">
        <f t="shared" si="9"/>
        <v>0</v>
      </c>
      <c r="AV43" s="15"/>
      <c r="AW43" s="15"/>
      <c r="AX43" s="15"/>
      <c r="AY43" s="15"/>
      <c r="AZ43" s="14"/>
      <c r="BA43" s="15"/>
      <c r="BB43" s="15"/>
      <c r="BC43" s="15"/>
      <c r="BD43" s="13" t="str">
        <f t="shared" si="10"/>
        <v>0</v>
      </c>
      <c r="BE43" s="2"/>
      <c r="BF43" s="2"/>
      <c r="BG43" s="2"/>
      <c r="BH43" s="2"/>
      <c r="BI43" s="2"/>
      <c r="BJ43" s="2"/>
      <c r="BK43" s="2" t="s">
        <v>340</v>
      </c>
      <c r="BL43" s="10"/>
      <c r="BM43" t="str" cm="1">
        <f t="array" ref="BM43">_xlfn.IFS(LEFT(G43,1)="L","外注品",LEFT(G43,1)="W","内製品",G43="","購買品")</f>
        <v>購買品</v>
      </c>
    </row>
    <row r="44" spans="1:65">
      <c r="A44" s="2" t="str">
        <f t="shared" si="0"/>
        <v>WG01</v>
      </c>
      <c r="B44" s="2" t="s">
        <v>173</v>
      </c>
      <c r="C44" s="2" t="s">
        <v>292</v>
      </c>
      <c r="D44" s="10" t="str">
        <f t="shared" si="27"/>
        <v>E385503_01</v>
      </c>
      <c r="E44" s="10">
        <f t="shared" si="28"/>
        <v>0</v>
      </c>
      <c r="F44" s="2"/>
      <c r="G44" s="3"/>
      <c r="H44" s="19" t="s">
        <v>350</v>
      </c>
      <c r="I44" s="2"/>
      <c r="J44" s="2"/>
      <c r="K44" s="2" t="str">
        <f t="shared" si="3"/>
        <v/>
      </c>
      <c r="L44" s="7" t="str">
        <f t="shared" si="58"/>
        <v>2001/01/01</v>
      </c>
      <c r="M44" s="7" t="str">
        <f t="shared" si="59"/>
        <v>2199/12/31</v>
      </c>
      <c r="N44" s="2" t="str">
        <f t="shared" si="15"/>
        <v/>
      </c>
      <c r="O44" s="13" t="str">
        <f t="shared" si="43"/>
        <v/>
      </c>
      <c r="P44" s="15"/>
      <c r="Q44" s="13">
        <v>15</v>
      </c>
      <c r="R44" s="18">
        <v>100000000</v>
      </c>
      <c r="S44" s="18" t="str" cm="1">
        <f t="array" ref="S44">_xlfn.IFS(LEFT(G44,1)="L","記載要",LEFT(G44,1)="W","記載要",G44="","")</f>
        <v/>
      </c>
      <c r="T44" s="2"/>
      <c r="U44" s="2"/>
      <c r="V44" s="2"/>
      <c r="W44" s="2"/>
      <c r="X44" s="2"/>
      <c r="Y44" s="2"/>
      <c r="Z44" s="2"/>
      <c r="AA44" s="13">
        <v>1</v>
      </c>
      <c r="AB44" s="13">
        <f t="shared" si="6"/>
        <v>0</v>
      </c>
      <c r="AC44" s="13">
        <f t="shared" si="7"/>
        <v>0</v>
      </c>
      <c r="AD44" s="15"/>
      <c r="AE44" s="15"/>
      <c r="AF44" s="13" t="str">
        <f t="shared" si="8"/>
        <v>1</v>
      </c>
      <c r="AG44" s="17"/>
      <c r="AH44" s="17"/>
      <c r="AI44" s="15"/>
      <c r="AJ44" s="14"/>
      <c r="AK44" s="15" cm="1">
        <f t="array" ref="AK44">_xlfn.IFS(B44="","",LEFT(G44,1)="L",1,LEFT(G44,1)="W",1,AND(LEFT(B44,1)="H",G44=""),0)</f>
        <v>0</v>
      </c>
      <c r="AL44" s="15"/>
      <c r="AM44" s="15"/>
      <c r="AN44" s="15"/>
      <c r="AO44" s="15"/>
      <c r="AP44" s="15"/>
      <c r="AQ44" s="15"/>
      <c r="AR44" s="15"/>
      <c r="AS44" s="15">
        <f t="shared" si="16"/>
        <v>1</v>
      </c>
      <c r="AT44" s="15" t="s">
        <v>115</v>
      </c>
      <c r="AU44" s="13" t="str">
        <f t="shared" si="9"/>
        <v>0</v>
      </c>
      <c r="AV44" s="15"/>
      <c r="AW44" s="15"/>
      <c r="AX44" s="15"/>
      <c r="AY44" s="15"/>
      <c r="AZ44" s="14"/>
      <c r="BA44" s="15"/>
      <c r="BB44" s="15"/>
      <c r="BC44" s="15"/>
      <c r="BD44" s="13" t="str">
        <f t="shared" si="10"/>
        <v>0</v>
      </c>
      <c r="BE44" s="2"/>
      <c r="BF44" s="2"/>
      <c r="BG44" s="2"/>
      <c r="BH44" s="2"/>
      <c r="BI44" s="2"/>
      <c r="BJ44" s="2"/>
      <c r="BK44" s="2" t="s">
        <v>340</v>
      </c>
      <c r="BL44" s="10"/>
      <c r="BM44" t="str" cm="1">
        <f t="array" ref="BM44">_xlfn.IFS(LEFT(G44,1)="L","外注品",LEFT(G44,1)="W","内製品",G44="","購買品")</f>
        <v>購買品</v>
      </c>
    </row>
    <row r="45" spans="1:65">
      <c r="A45" s="2" t="str">
        <f t="shared" si="0"/>
        <v>WG01</v>
      </c>
      <c r="B45" s="2" t="s">
        <v>174</v>
      </c>
      <c r="C45" s="2" t="s">
        <v>293</v>
      </c>
      <c r="D45" s="10" t="str">
        <f t="shared" si="27"/>
        <v>E385503_01</v>
      </c>
      <c r="E45" s="10">
        <f t="shared" si="28"/>
        <v>0</v>
      </c>
      <c r="F45" s="2"/>
      <c r="G45" s="3"/>
      <c r="H45" s="19" t="s">
        <v>350</v>
      </c>
      <c r="I45" s="2"/>
      <c r="J45" s="2"/>
      <c r="K45" s="2" t="str">
        <f t="shared" si="3"/>
        <v/>
      </c>
      <c r="L45" s="7" t="str">
        <f t="shared" si="58"/>
        <v>2001/01/01</v>
      </c>
      <c r="M45" s="7" t="str">
        <f t="shared" si="59"/>
        <v>2199/12/31</v>
      </c>
      <c r="N45" s="2" t="str">
        <f t="shared" si="15"/>
        <v/>
      </c>
      <c r="O45" s="13" t="str">
        <f t="shared" si="43"/>
        <v/>
      </c>
      <c r="P45" s="15"/>
      <c r="Q45" s="13">
        <v>15</v>
      </c>
      <c r="R45" s="18">
        <v>100000000</v>
      </c>
      <c r="S45" s="18" t="str" cm="1">
        <f t="array" ref="S45">_xlfn.IFS(LEFT(G45,1)="L","記載要",LEFT(G45,1)="W","記載要",G45="","")</f>
        <v/>
      </c>
      <c r="T45" s="2"/>
      <c r="U45" s="2"/>
      <c r="V45" s="2"/>
      <c r="W45" s="2"/>
      <c r="X45" s="2"/>
      <c r="Y45" s="2"/>
      <c r="Z45" s="2"/>
      <c r="AA45" s="13">
        <v>1</v>
      </c>
      <c r="AB45" s="13">
        <f t="shared" si="6"/>
        <v>0</v>
      </c>
      <c r="AC45" s="13">
        <f t="shared" si="7"/>
        <v>0</v>
      </c>
      <c r="AD45" s="15"/>
      <c r="AE45" s="15"/>
      <c r="AF45" s="13" t="str">
        <f t="shared" si="8"/>
        <v>1</v>
      </c>
      <c r="AG45" s="17"/>
      <c r="AH45" s="17"/>
      <c r="AI45" s="15"/>
      <c r="AJ45" s="14"/>
      <c r="AK45" s="15" cm="1">
        <f t="array" ref="AK45">_xlfn.IFS(B45="","",LEFT(G45,1)="L",1,LEFT(G45,1)="W",1,AND(LEFT(B45,1)="H",G45=""),0)</f>
        <v>0</v>
      </c>
      <c r="AL45" s="15"/>
      <c r="AM45" s="15"/>
      <c r="AN45" s="15"/>
      <c r="AO45" s="15"/>
      <c r="AP45" s="15"/>
      <c r="AQ45" s="15"/>
      <c r="AR45" s="15"/>
      <c r="AS45" s="15">
        <f t="shared" si="16"/>
        <v>1</v>
      </c>
      <c r="AT45" s="15" t="s">
        <v>115</v>
      </c>
      <c r="AU45" s="13" t="str">
        <f t="shared" si="9"/>
        <v>0</v>
      </c>
      <c r="AV45" s="15"/>
      <c r="AW45" s="15"/>
      <c r="AX45" s="15"/>
      <c r="AY45" s="15"/>
      <c r="AZ45" s="14"/>
      <c r="BA45" s="15"/>
      <c r="BB45" s="15"/>
      <c r="BC45" s="15"/>
      <c r="BD45" s="13" t="str">
        <f t="shared" si="10"/>
        <v>0</v>
      </c>
      <c r="BE45" s="2"/>
      <c r="BF45" s="2"/>
      <c r="BG45" s="2"/>
      <c r="BH45" s="2"/>
      <c r="BI45" s="2"/>
      <c r="BJ45" s="2"/>
      <c r="BK45" s="2" t="s">
        <v>340</v>
      </c>
      <c r="BL45" s="10"/>
      <c r="BM45" t="str" cm="1">
        <f t="array" ref="BM45">_xlfn.IFS(LEFT(G45,1)="L","外注品",LEFT(G45,1)="W","内製品",G45="","購買品")</f>
        <v>購買品</v>
      </c>
    </row>
    <row r="46" spans="1:65">
      <c r="A46" s="2" t="str">
        <f t="shared" si="0"/>
        <v>WG01</v>
      </c>
      <c r="B46" s="2" t="s">
        <v>175</v>
      </c>
      <c r="C46" s="2" t="s">
        <v>294</v>
      </c>
      <c r="D46" s="10" t="str">
        <f t="shared" si="27"/>
        <v>E385503_01</v>
      </c>
      <c r="E46" s="10">
        <f t="shared" si="28"/>
        <v>0</v>
      </c>
      <c r="F46" s="2"/>
      <c r="G46" s="3"/>
      <c r="H46" s="19" t="s">
        <v>350</v>
      </c>
      <c r="I46" s="2"/>
      <c r="J46" s="2"/>
      <c r="K46" s="2" t="str">
        <f t="shared" si="3"/>
        <v/>
      </c>
      <c r="L46" s="7" t="str">
        <f t="shared" si="58"/>
        <v>2001/01/01</v>
      </c>
      <c r="M46" s="7" t="str">
        <f t="shared" si="59"/>
        <v>2199/12/31</v>
      </c>
      <c r="N46" s="2" t="str">
        <f t="shared" si="15"/>
        <v/>
      </c>
      <c r="O46" s="13" t="str">
        <f t="shared" si="43"/>
        <v/>
      </c>
      <c r="P46" s="15"/>
      <c r="Q46" s="13">
        <v>15</v>
      </c>
      <c r="R46" s="18">
        <v>100000000</v>
      </c>
      <c r="S46" s="18" t="str" cm="1">
        <f t="array" ref="S46">_xlfn.IFS(LEFT(G46,1)="L","記載要",LEFT(G46,1)="W","記載要",G46="","")</f>
        <v/>
      </c>
      <c r="T46" s="2"/>
      <c r="U46" s="2"/>
      <c r="V46" s="2"/>
      <c r="W46" s="2"/>
      <c r="X46" s="2"/>
      <c r="Y46" s="2"/>
      <c r="Z46" s="2"/>
      <c r="AA46" s="13">
        <v>1</v>
      </c>
      <c r="AB46" s="13">
        <f t="shared" si="6"/>
        <v>0</v>
      </c>
      <c r="AC46" s="13">
        <f t="shared" si="7"/>
        <v>0</v>
      </c>
      <c r="AD46" s="15"/>
      <c r="AE46" s="15"/>
      <c r="AF46" s="13" t="str">
        <f t="shared" si="8"/>
        <v>1</v>
      </c>
      <c r="AG46" s="17"/>
      <c r="AH46" s="17"/>
      <c r="AI46" s="15"/>
      <c r="AJ46" s="14"/>
      <c r="AK46" s="15" cm="1">
        <f t="array" ref="AK46">_xlfn.IFS(B46="","",LEFT(G46,1)="L",1,LEFT(G46,1)="W",1,AND(LEFT(B46,1)="H",G46=""),0)</f>
        <v>0</v>
      </c>
      <c r="AL46" s="15"/>
      <c r="AM46" s="15"/>
      <c r="AN46" s="15"/>
      <c r="AO46" s="15"/>
      <c r="AP46" s="15"/>
      <c r="AQ46" s="15"/>
      <c r="AR46" s="15"/>
      <c r="AS46" s="15">
        <f t="shared" si="16"/>
        <v>1</v>
      </c>
      <c r="AT46" s="15" t="s">
        <v>115</v>
      </c>
      <c r="AU46" s="13" t="str">
        <f t="shared" si="9"/>
        <v>0</v>
      </c>
      <c r="AV46" s="15"/>
      <c r="AW46" s="15"/>
      <c r="AX46" s="15"/>
      <c r="AY46" s="15"/>
      <c r="AZ46" s="14"/>
      <c r="BA46" s="15"/>
      <c r="BB46" s="15"/>
      <c r="BC46" s="15"/>
      <c r="BD46" s="13" t="str">
        <f t="shared" si="10"/>
        <v>0</v>
      </c>
      <c r="BE46" s="2"/>
      <c r="BF46" s="2"/>
      <c r="BG46" s="2"/>
      <c r="BH46" s="2"/>
      <c r="BI46" s="2"/>
      <c r="BJ46" s="2"/>
      <c r="BK46" s="2" t="s">
        <v>340</v>
      </c>
      <c r="BL46" s="10"/>
      <c r="BM46" t="str" cm="1">
        <f t="array" ref="BM46">_xlfn.IFS(LEFT(G46,1)="L","外注品",LEFT(G46,1)="W","内製品",G46="","購買品")</f>
        <v>購買品</v>
      </c>
    </row>
    <row r="47" spans="1:65">
      <c r="A47" s="2" t="str">
        <f t="shared" si="0"/>
        <v>WG01</v>
      </c>
      <c r="B47" s="2" t="s">
        <v>176</v>
      </c>
      <c r="C47" s="2" t="s">
        <v>295</v>
      </c>
      <c r="D47" s="10" t="str">
        <f t="shared" si="27"/>
        <v>E385503_01</v>
      </c>
      <c r="E47" s="10">
        <f t="shared" si="28"/>
        <v>0</v>
      </c>
      <c r="F47" s="2"/>
      <c r="G47" s="3"/>
      <c r="H47" s="19" t="s">
        <v>350</v>
      </c>
      <c r="I47" s="2"/>
      <c r="J47" s="2"/>
      <c r="K47" s="2" t="str">
        <f t="shared" si="3"/>
        <v/>
      </c>
      <c r="L47" s="7" t="str">
        <f t="shared" si="58"/>
        <v>2001/01/01</v>
      </c>
      <c r="M47" s="7" t="str">
        <f t="shared" si="59"/>
        <v>2199/12/31</v>
      </c>
      <c r="N47" s="2" t="str">
        <f t="shared" si="15"/>
        <v/>
      </c>
      <c r="O47" s="13" t="str">
        <f t="shared" si="43"/>
        <v/>
      </c>
      <c r="P47" s="15"/>
      <c r="Q47" s="13">
        <v>15</v>
      </c>
      <c r="R47" s="18">
        <v>100000000</v>
      </c>
      <c r="S47" s="18" t="str" cm="1">
        <f t="array" ref="S47">_xlfn.IFS(LEFT(G47,1)="L","記載要",LEFT(G47,1)="W","記載要",G47="","")</f>
        <v/>
      </c>
      <c r="T47" s="2"/>
      <c r="U47" s="2"/>
      <c r="V47" s="2"/>
      <c r="W47" s="2"/>
      <c r="X47" s="2"/>
      <c r="Y47" s="2"/>
      <c r="Z47" s="2"/>
      <c r="AA47" s="13">
        <v>1</v>
      </c>
      <c r="AB47" s="13">
        <f t="shared" si="6"/>
        <v>0</v>
      </c>
      <c r="AC47" s="13">
        <f t="shared" si="7"/>
        <v>0</v>
      </c>
      <c r="AD47" s="15"/>
      <c r="AE47" s="15"/>
      <c r="AF47" s="13" t="str">
        <f t="shared" si="8"/>
        <v>1</v>
      </c>
      <c r="AG47" s="17"/>
      <c r="AH47" s="17"/>
      <c r="AI47" s="15"/>
      <c r="AJ47" s="14"/>
      <c r="AK47" s="15" cm="1">
        <f t="array" ref="AK47">_xlfn.IFS(B47="","",LEFT(G47,1)="L",1,LEFT(G47,1)="W",1,AND(LEFT(B47,1)="H",G47=""),0)</f>
        <v>0</v>
      </c>
      <c r="AL47" s="15"/>
      <c r="AM47" s="15"/>
      <c r="AN47" s="15"/>
      <c r="AO47" s="15"/>
      <c r="AP47" s="15"/>
      <c r="AQ47" s="15"/>
      <c r="AR47" s="15"/>
      <c r="AS47" s="15">
        <f t="shared" si="16"/>
        <v>1</v>
      </c>
      <c r="AT47" s="15" t="s">
        <v>115</v>
      </c>
      <c r="AU47" s="13" t="str">
        <f t="shared" si="9"/>
        <v>0</v>
      </c>
      <c r="AV47" s="15"/>
      <c r="AW47" s="15"/>
      <c r="AX47" s="15"/>
      <c r="AY47" s="15"/>
      <c r="AZ47" s="14"/>
      <c r="BA47" s="15"/>
      <c r="BB47" s="15"/>
      <c r="BC47" s="15"/>
      <c r="BD47" s="13" t="str">
        <f t="shared" si="10"/>
        <v>0</v>
      </c>
      <c r="BE47" s="2"/>
      <c r="BF47" s="2"/>
      <c r="BG47" s="2"/>
      <c r="BH47" s="2"/>
      <c r="BI47" s="2"/>
      <c r="BJ47" s="2"/>
      <c r="BK47" s="2" t="s">
        <v>340</v>
      </c>
      <c r="BL47" s="10"/>
      <c r="BM47" t="str" cm="1">
        <f t="array" ref="BM47">_xlfn.IFS(LEFT(G47,1)="L","外注品",LEFT(G47,1)="W","内製品",G47="","購買品")</f>
        <v>購買品</v>
      </c>
    </row>
    <row r="48" spans="1:65">
      <c r="A48" s="2" t="str">
        <f t="shared" si="0"/>
        <v>WG01</v>
      </c>
      <c r="B48" s="2" t="s">
        <v>177</v>
      </c>
      <c r="C48" s="2" t="s">
        <v>296</v>
      </c>
      <c r="D48" s="10" t="str">
        <f t="shared" si="27"/>
        <v>E385503_01</v>
      </c>
      <c r="E48" s="10">
        <f t="shared" si="28"/>
        <v>0</v>
      </c>
      <c r="F48" s="2"/>
      <c r="G48" s="3"/>
      <c r="H48" s="19" t="s">
        <v>350</v>
      </c>
      <c r="I48" s="2"/>
      <c r="J48" s="2"/>
      <c r="K48" s="2" t="str">
        <f t="shared" si="3"/>
        <v/>
      </c>
      <c r="L48" s="7" t="str">
        <f t="shared" si="58"/>
        <v>2001/01/01</v>
      </c>
      <c r="M48" s="7" t="str">
        <f t="shared" si="59"/>
        <v>2199/12/31</v>
      </c>
      <c r="N48" s="2" t="str">
        <f t="shared" si="15"/>
        <v/>
      </c>
      <c r="O48" s="13" t="str">
        <f t="shared" si="43"/>
        <v/>
      </c>
      <c r="P48" s="15"/>
      <c r="Q48" s="13">
        <v>15</v>
      </c>
      <c r="R48" s="18">
        <v>100000000</v>
      </c>
      <c r="S48" s="18" t="str" cm="1">
        <f t="array" ref="S48">_xlfn.IFS(LEFT(G48,1)="L","記載要",LEFT(G48,1)="W","記載要",G48="","")</f>
        <v/>
      </c>
      <c r="T48" s="2"/>
      <c r="U48" s="2"/>
      <c r="V48" s="2"/>
      <c r="W48" s="2"/>
      <c r="X48" s="2"/>
      <c r="Y48" s="2"/>
      <c r="Z48" s="2"/>
      <c r="AA48" s="13">
        <v>1</v>
      </c>
      <c r="AB48" s="13">
        <f t="shared" si="6"/>
        <v>0</v>
      </c>
      <c r="AC48" s="13">
        <f t="shared" si="7"/>
        <v>0</v>
      </c>
      <c r="AD48" s="15"/>
      <c r="AE48" s="15"/>
      <c r="AF48" s="13" t="str">
        <f t="shared" si="8"/>
        <v>1</v>
      </c>
      <c r="AG48" s="17"/>
      <c r="AH48" s="17"/>
      <c r="AI48" s="15"/>
      <c r="AJ48" s="14"/>
      <c r="AK48" s="15" cm="1">
        <f t="array" ref="AK48">_xlfn.IFS(B48="","",LEFT(G48,1)="L",1,LEFT(G48,1)="W",1,AND(LEFT(B48,1)="H",G48=""),0)</f>
        <v>0</v>
      </c>
      <c r="AL48" s="15"/>
      <c r="AM48" s="15"/>
      <c r="AN48" s="15"/>
      <c r="AO48" s="15"/>
      <c r="AP48" s="15"/>
      <c r="AQ48" s="15"/>
      <c r="AR48" s="15"/>
      <c r="AS48" s="15">
        <f t="shared" si="16"/>
        <v>1</v>
      </c>
      <c r="AT48" s="15" t="s">
        <v>115</v>
      </c>
      <c r="AU48" s="13" t="str">
        <f t="shared" si="9"/>
        <v>0</v>
      </c>
      <c r="AV48" s="15"/>
      <c r="AW48" s="15"/>
      <c r="AX48" s="15"/>
      <c r="AY48" s="15"/>
      <c r="AZ48" s="14"/>
      <c r="BA48" s="15"/>
      <c r="BB48" s="15"/>
      <c r="BC48" s="15"/>
      <c r="BD48" s="13" t="str">
        <f t="shared" si="10"/>
        <v>0</v>
      </c>
      <c r="BE48" s="2"/>
      <c r="BF48" s="2"/>
      <c r="BG48" s="2"/>
      <c r="BH48" s="2"/>
      <c r="BI48" s="2"/>
      <c r="BJ48" s="2"/>
      <c r="BK48" s="2" t="s">
        <v>340</v>
      </c>
      <c r="BL48" s="10"/>
      <c r="BM48" t="str" cm="1">
        <f t="array" ref="BM48">_xlfn.IFS(LEFT(G48,1)="L","外注品",LEFT(G48,1)="W","内製品",G48="","購買品")</f>
        <v>購買品</v>
      </c>
    </row>
    <row r="49" spans="1:65">
      <c r="A49" s="2" t="str">
        <f t="shared" si="0"/>
        <v>WG01</v>
      </c>
      <c r="B49" s="2" t="s">
        <v>178</v>
      </c>
      <c r="C49" s="2" t="s">
        <v>297</v>
      </c>
      <c r="D49" s="10" t="str">
        <f t="shared" si="27"/>
        <v>E385503_01</v>
      </c>
      <c r="E49" s="10">
        <f t="shared" si="28"/>
        <v>0</v>
      </c>
      <c r="F49" s="2"/>
      <c r="G49" s="3"/>
      <c r="H49" s="19" t="s">
        <v>350</v>
      </c>
      <c r="I49" s="2"/>
      <c r="J49" s="2"/>
      <c r="K49" s="2" t="str">
        <f t="shared" si="3"/>
        <v/>
      </c>
      <c r="L49" s="7" t="str">
        <f t="shared" si="58"/>
        <v>2001/01/01</v>
      </c>
      <c r="M49" s="7" t="str">
        <f t="shared" si="59"/>
        <v>2199/12/31</v>
      </c>
      <c r="N49" s="2" t="str">
        <f t="shared" si="15"/>
        <v/>
      </c>
      <c r="O49" s="13" t="str">
        <f t="shared" si="43"/>
        <v/>
      </c>
      <c r="P49" s="15"/>
      <c r="Q49" s="13">
        <v>15</v>
      </c>
      <c r="R49" s="18">
        <v>100000000</v>
      </c>
      <c r="S49" s="18" t="str" cm="1">
        <f t="array" ref="S49">_xlfn.IFS(LEFT(G49,1)="L","記載要",LEFT(G49,1)="W","記載要",G49="","")</f>
        <v/>
      </c>
      <c r="T49" s="2"/>
      <c r="U49" s="2"/>
      <c r="V49" s="2"/>
      <c r="W49" s="2"/>
      <c r="X49" s="2"/>
      <c r="Y49" s="2"/>
      <c r="Z49" s="2"/>
      <c r="AA49" s="13">
        <v>1</v>
      </c>
      <c r="AB49" s="13">
        <f t="shared" si="6"/>
        <v>0</v>
      </c>
      <c r="AC49" s="13">
        <f t="shared" si="7"/>
        <v>0</v>
      </c>
      <c r="AD49" s="15"/>
      <c r="AE49" s="15"/>
      <c r="AF49" s="13" t="str">
        <f t="shared" si="8"/>
        <v>1</v>
      </c>
      <c r="AG49" s="17"/>
      <c r="AH49" s="17"/>
      <c r="AI49" s="15"/>
      <c r="AJ49" s="14"/>
      <c r="AK49" s="15" cm="1">
        <f t="array" ref="AK49">_xlfn.IFS(B49="","",LEFT(G49,1)="L",1,LEFT(G49,1)="W",1,AND(LEFT(B49,1)="H",G49=""),0)</f>
        <v>0</v>
      </c>
      <c r="AL49" s="15"/>
      <c r="AM49" s="15"/>
      <c r="AN49" s="15"/>
      <c r="AO49" s="15"/>
      <c r="AP49" s="15"/>
      <c r="AQ49" s="15"/>
      <c r="AR49" s="15"/>
      <c r="AS49" s="15">
        <f t="shared" si="16"/>
        <v>1</v>
      </c>
      <c r="AT49" s="15" t="s">
        <v>115</v>
      </c>
      <c r="AU49" s="13" t="str">
        <f t="shared" si="9"/>
        <v>0</v>
      </c>
      <c r="AV49" s="15"/>
      <c r="AW49" s="15"/>
      <c r="AX49" s="15"/>
      <c r="AY49" s="15"/>
      <c r="AZ49" s="14"/>
      <c r="BA49" s="15"/>
      <c r="BB49" s="15"/>
      <c r="BC49" s="15"/>
      <c r="BD49" s="13" t="str">
        <f t="shared" si="10"/>
        <v>0</v>
      </c>
      <c r="BE49" s="2"/>
      <c r="BF49" s="2"/>
      <c r="BG49" s="2"/>
      <c r="BH49" s="2"/>
      <c r="BI49" s="2"/>
      <c r="BJ49" s="2"/>
      <c r="BK49" s="2" t="s">
        <v>340</v>
      </c>
      <c r="BL49" s="10"/>
      <c r="BM49" t="str" cm="1">
        <f t="array" ref="BM49">_xlfn.IFS(LEFT(G49,1)="L","外注品",LEFT(G49,1)="W","内製品",G49="","購買品")</f>
        <v>購買品</v>
      </c>
    </row>
    <row r="50" spans="1:65">
      <c r="A50" s="2" t="str">
        <f t="shared" si="0"/>
        <v>WG01</v>
      </c>
      <c r="B50" s="2" t="s">
        <v>179</v>
      </c>
      <c r="C50" s="2" t="s">
        <v>298</v>
      </c>
      <c r="D50" s="10" t="str">
        <f t="shared" si="27"/>
        <v>E385503_01</v>
      </c>
      <c r="E50" s="10">
        <f t="shared" si="28"/>
        <v>0</v>
      </c>
      <c r="F50" s="2"/>
      <c r="G50" s="3"/>
      <c r="H50" s="19" t="s">
        <v>350</v>
      </c>
      <c r="I50" s="2"/>
      <c r="J50" s="2"/>
      <c r="K50" s="2" t="str">
        <f t="shared" si="3"/>
        <v/>
      </c>
      <c r="L50" s="7" t="str">
        <f t="shared" si="58"/>
        <v>2001/01/01</v>
      </c>
      <c r="M50" s="7" t="str">
        <f t="shared" si="59"/>
        <v>2199/12/31</v>
      </c>
      <c r="N50" s="2" t="str">
        <f t="shared" si="15"/>
        <v/>
      </c>
      <c r="O50" s="13" t="str">
        <f t="shared" si="43"/>
        <v/>
      </c>
      <c r="P50" s="15"/>
      <c r="Q50" s="13">
        <v>15</v>
      </c>
      <c r="R50" s="18">
        <v>100000000</v>
      </c>
      <c r="S50" s="18" t="str" cm="1">
        <f t="array" ref="S50">_xlfn.IFS(LEFT(G50,1)="L","記載要",LEFT(G50,1)="W","記載要",G50="","")</f>
        <v/>
      </c>
      <c r="T50" s="2"/>
      <c r="U50" s="2"/>
      <c r="V50" s="2"/>
      <c r="W50" s="2"/>
      <c r="X50" s="2"/>
      <c r="Y50" s="2"/>
      <c r="Z50" s="2"/>
      <c r="AA50" s="13">
        <v>1</v>
      </c>
      <c r="AB50" s="13">
        <f t="shared" si="6"/>
        <v>0</v>
      </c>
      <c r="AC50" s="13">
        <f t="shared" si="7"/>
        <v>0</v>
      </c>
      <c r="AD50" s="15"/>
      <c r="AE50" s="15"/>
      <c r="AF50" s="13" t="str">
        <f t="shared" si="8"/>
        <v>1</v>
      </c>
      <c r="AG50" s="17"/>
      <c r="AH50" s="17"/>
      <c r="AI50" s="15"/>
      <c r="AJ50" s="14"/>
      <c r="AK50" s="15" cm="1">
        <f t="array" ref="AK50">_xlfn.IFS(B50="","",LEFT(G50,1)="L",1,LEFT(G50,1)="W",1,AND(LEFT(B50,1)="H",G50=""),0)</f>
        <v>0</v>
      </c>
      <c r="AL50" s="15"/>
      <c r="AM50" s="15"/>
      <c r="AN50" s="15"/>
      <c r="AO50" s="15"/>
      <c r="AP50" s="15"/>
      <c r="AQ50" s="15"/>
      <c r="AR50" s="15"/>
      <c r="AS50" s="15">
        <f t="shared" si="16"/>
        <v>1</v>
      </c>
      <c r="AT50" s="15" t="s">
        <v>115</v>
      </c>
      <c r="AU50" s="13" t="str">
        <f t="shared" si="9"/>
        <v>0</v>
      </c>
      <c r="AV50" s="15"/>
      <c r="AW50" s="15"/>
      <c r="AX50" s="15"/>
      <c r="AY50" s="15"/>
      <c r="AZ50" s="14"/>
      <c r="BA50" s="15"/>
      <c r="BB50" s="15"/>
      <c r="BC50" s="15"/>
      <c r="BD50" s="13" t="str">
        <f t="shared" si="10"/>
        <v>0</v>
      </c>
      <c r="BE50" s="2"/>
      <c r="BF50" s="2"/>
      <c r="BG50" s="2"/>
      <c r="BH50" s="2"/>
      <c r="BI50" s="2"/>
      <c r="BJ50" s="2"/>
      <c r="BK50" s="2" t="s">
        <v>340</v>
      </c>
      <c r="BL50" s="10"/>
      <c r="BM50" t="str" cm="1">
        <f t="array" ref="BM50">_xlfn.IFS(LEFT(G50,1)="L","外注品",LEFT(G50,1)="W","内製品",G50="","購買品")</f>
        <v>購買品</v>
      </c>
    </row>
    <row r="51" spans="1:65">
      <c r="A51" s="2" t="str">
        <f t="shared" si="0"/>
        <v>WG01</v>
      </c>
      <c r="B51" s="2" t="s">
        <v>180</v>
      </c>
      <c r="C51" s="2" t="s">
        <v>299</v>
      </c>
      <c r="D51" s="10" t="str">
        <f t="shared" si="27"/>
        <v>E385503_01</v>
      </c>
      <c r="E51" s="10">
        <f t="shared" si="28"/>
        <v>0</v>
      </c>
      <c r="F51" s="2"/>
      <c r="G51" s="3"/>
      <c r="H51" s="19" t="s">
        <v>350</v>
      </c>
      <c r="I51" s="2"/>
      <c r="J51" s="2"/>
      <c r="K51" s="2" t="str">
        <f t="shared" si="3"/>
        <v/>
      </c>
      <c r="L51" s="7" t="str">
        <f t="shared" si="58"/>
        <v>2001/01/01</v>
      </c>
      <c r="M51" s="7" t="str">
        <f t="shared" si="59"/>
        <v>2199/12/31</v>
      </c>
      <c r="N51" s="2" t="str">
        <f t="shared" si="15"/>
        <v/>
      </c>
      <c r="O51" s="13" t="str">
        <f t="shared" si="43"/>
        <v/>
      </c>
      <c r="P51" s="15"/>
      <c r="Q51" s="13">
        <v>15</v>
      </c>
      <c r="R51" s="18">
        <v>100000000</v>
      </c>
      <c r="S51" s="18" t="str" cm="1">
        <f t="array" ref="S51">_xlfn.IFS(LEFT(G51,1)="L","記載要",LEFT(G51,1)="W","記載要",G51="","")</f>
        <v/>
      </c>
      <c r="T51" s="2"/>
      <c r="U51" s="2"/>
      <c r="V51" s="2"/>
      <c r="W51" s="2"/>
      <c r="X51" s="2"/>
      <c r="Y51" s="2"/>
      <c r="Z51" s="2"/>
      <c r="AA51" s="13">
        <v>1</v>
      </c>
      <c r="AB51" s="13">
        <f t="shared" si="6"/>
        <v>0</v>
      </c>
      <c r="AC51" s="13">
        <f t="shared" si="7"/>
        <v>0</v>
      </c>
      <c r="AD51" s="15"/>
      <c r="AE51" s="15"/>
      <c r="AF51" s="13" t="str">
        <f t="shared" si="8"/>
        <v>1</v>
      </c>
      <c r="AG51" s="17"/>
      <c r="AH51" s="17"/>
      <c r="AI51" s="15"/>
      <c r="AJ51" s="14"/>
      <c r="AK51" s="15" cm="1">
        <f t="array" ref="AK51">_xlfn.IFS(B51="","",LEFT(G51,1)="L",1,LEFT(G51,1)="W",1,AND(LEFT(B51,1)="H",G51=""),0)</f>
        <v>0</v>
      </c>
      <c r="AL51" s="15"/>
      <c r="AM51" s="15"/>
      <c r="AN51" s="15"/>
      <c r="AO51" s="15"/>
      <c r="AP51" s="15"/>
      <c r="AQ51" s="15"/>
      <c r="AR51" s="15"/>
      <c r="AS51" s="15">
        <f t="shared" si="16"/>
        <v>1</v>
      </c>
      <c r="AT51" s="15" t="s">
        <v>115</v>
      </c>
      <c r="AU51" s="13" t="str">
        <f t="shared" si="9"/>
        <v>0</v>
      </c>
      <c r="AV51" s="15"/>
      <c r="AW51" s="15"/>
      <c r="AX51" s="15"/>
      <c r="AY51" s="15"/>
      <c r="AZ51" s="14"/>
      <c r="BA51" s="15"/>
      <c r="BB51" s="15"/>
      <c r="BC51" s="15"/>
      <c r="BD51" s="13" t="str">
        <f t="shared" si="10"/>
        <v>0</v>
      </c>
      <c r="BE51" s="2"/>
      <c r="BF51" s="2"/>
      <c r="BG51" s="2"/>
      <c r="BH51" s="2"/>
      <c r="BI51" s="2"/>
      <c r="BJ51" s="2"/>
      <c r="BK51" s="2" t="s">
        <v>340</v>
      </c>
      <c r="BL51" s="10"/>
      <c r="BM51" t="str" cm="1">
        <f t="array" ref="BM51">_xlfn.IFS(LEFT(G51,1)="L","外注品",LEFT(G51,1)="W","内製品",G51="","購買品")</f>
        <v>購買品</v>
      </c>
    </row>
    <row r="52" spans="1:65">
      <c r="A52" s="2" t="str">
        <f t="shared" si="0"/>
        <v>WG01</v>
      </c>
      <c r="B52" s="2" t="s">
        <v>181</v>
      </c>
      <c r="C52" s="2" t="s">
        <v>300</v>
      </c>
      <c r="D52" s="10" t="str">
        <f t="shared" si="27"/>
        <v>E385503_01</v>
      </c>
      <c r="E52" s="10">
        <f t="shared" si="28"/>
        <v>0</v>
      </c>
      <c r="F52" s="2"/>
      <c r="G52" s="3"/>
      <c r="H52" s="19" t="s">
        <v>350</v>
      </c>
      <c r="I52" s="2"/>
      <c r="J52" s="2"/>
      <c r="K52" s="2" t="str">
        <f t="shared" si="3"/>
        <v/>
      </c>
      <c r="L52" s="7" t="str">
        <f t="shared" si="58"/>
        <v>2001/01/01</v>
      </c>
      <c r="M52" s="7" t="str">
        <f t="shared" si="59"/>
        <v>2199/12/31</v>
      </c>
      <c r="N52" s="2" t="str">
        <f t="shared" si="15"/>
        <v/>
      </c>
      <c r="O52" s="13" t="str">
        <f t="shared" si="43"/>
        <v/>
      </c>
      <c r="P52" s="15"/>
      <c r="Q52" s="13">
        <v>15</v>
      </c>
      <c r="R52" s="18">
        <v>100000000</v>
      </c>
      <c r="S52" s="18" t="str" cm="1">
        <f t="array" ref="S52">_xlfn.IFS(LEFT(G52,1)="L","記載要",LEFT(G52,1)="W","記載要",G52="","")</f>
        <v/>
      </c>
      <c r="T52" s="2"/>
      <c r="U52" s="2"/>
      <c r="V52" s="2"/>
      <c r="W52" s="2"/>
      <c r="X52" s="2"/>
      <c r="Y52" s="2"/>
      <c r="Z52" s="2"/>
      <c r="AA52" s="13">
        <v>1</v>
      </c>
      <c r="AB52" s="13">
        <f t="shared" si="6"/>
        <v>0</v>
      </c>
      <c r="AC52" s="13">
        <f t="shared" si="7"/>
        <v>0</v>
      </c>
      <c r="AD52" s="15"/>
      <c r="AE52" s="15"/>
      <c r="AF52" s="13" t="str">
        <f t="shared" si="8"/>
        <v>1</v>
      </c>
      <c r="AG52" s="17"/>
      <c r="AH52" s="17"/>
      <c r="AI52" s="15"/>
      <c r="AJ52" s="14"/>
      <c r="AK52" s="15" cm="1">
        <f t="array" ref="AK52">_xlfn.IFS(B52="","",LEFT(G52,1)="L",1,LEFT(G52,1)="W",1,AND(LEFT(B52,1)="H",G52=""),0)</f>
        <v>0</v>
      </c>
      <c r="AL52" s="15"/>
      <c r="AM52" s="15"/>
      <c r="AN52" s="15"/>
      <c r="AO52" s="15"/>
      <c r="AP52" s="15"/>
      <c r="AQ52" s="15"/>
      <c r="AR52" s="15"/>
      <c r="AS52" s="15">
        <f t="shared" si="16"/>
        <v>1</v>
      </c>
      <c r="AT52" s="15" t="s">
        <v>115</v>
      </c>
      <c r="AU52" s="13" t="str">
        <f t="shared" si="9"/>
        <v>0</v>
      </c>
      <c r="AV52" s="15"/>
      <c r="AW52" s="15"/>
      <c r="AX52" s="15"/>
      <c r="AY52" s="15"/>
      <c r="AZ52" s="14"/>
      <c r="BA52" s="15"/>
      <c r="BB52" s="15"/>
      <c r="BC52" s="15"/>
      <c r="BD52" s="13" t="str">
        <f t="shared" si="10"/>
        <v>0</v>
      </c>
      <c r="BE52" s="2"/>
      <c r="BF52" s="2"/>
      <c r="BG52" s="2"/>
      <c r="BH52" s="2"/>
      <c r="BI52" s="2"/>
      <c r="BJ52" s="2"/>
      <c r="BK52" s="2" t="s">
        <v>340</v>
      </c>
      <c r="BL52" s="10"/>
      <c r="BM52" t="str" cm="1">
        <f t="array" ref="BM52">_xlfn.IFS(LEFT(G52,1)="L","外注品",LEFT(G52,1)="W","内製品",G52="","購買品")</f>
        <v>購買品</v>
      </c>
    </row>
    <row r="53" spans="1:65">
      <c r="A53" s="2" t="str">
        <f t="shared" si="0"/>
        <v>WG01</v>
      </c>
      <c r="B53" s="2" t="s">
        <v>182</v>
      </c>
      <c r="C53" s="2" t="s">
        <v>301</v>
      </c>
      <c r="D53" s="10" t="str">
        <f t="shared" si="27"/>
        <v>E385503_01</v>
      </c>
      <c r="E53" s="10">
        <f t="shared" si="28"/>
        <v>0</v>
      </c>
      <c r="F53" s="2"/>
      <c r="G53" s="3"/>
      <c r="H53" s="19" t="s">
        <v>350</v>
      </c>
      <c r="I53" s="2"/>
      <c r="J53" s="2"/>
      <c r="K53" s="2" t="str">
        <f t="shared" si="3"/>
        <v/>
      </c>
      <c r="L53" s="7" t="str">
        <f t="shared" si="58"/>
        <v>2001/01/01</v>
      </c>
      <c r="M53" s="7" t="str">
        <f t="shared" si="59"/>
        <v>2199/12/31</v>
      </c>
      <c r="N53" s="2" t="str">
        <f t="shared" si="15"/>
        <v/>
      </c>
      <c r="O53" s="13" t="str">
        <f t="shared" si="43"/>
        <v/>
      </c>
      <c r="P53" s="15"/>
      <c r="Q53" s="13">
        <v>15</v>
      </c>
      <c r="R53" s="18">
        <v>100000000</v>
      </c>
      <c r="S53" s="18" t="str" cm="1">
        <f t="array" ref="S53">_xlfn.IFS(LEFT(G53,1)="L","記載要",LEFT(G53,1)="W","記載要",G53="","")</f>
        <v/>
      </c>
      <c r="T53" s="2"/>
      <c r="U53" s="2"/>
      <c r="V53" s="2"/>
      <c r="W53" s="2"/>
      <c r="X53" s="2"/>
      <c r="Y53" s="2"/>
      <c r="Z53" s="2"/>
      <c r="AA53" s="13">
        <v>1</v>
      </c>
      <c r="AB53" s="13">
        <f t="shared" si="6"/>
        <v>0</v>
      </c>
      <c r="AC53" s="13">
        <f t="shared" si="7"/>
        <v>0</v>
      </c>
      <c r="AD53" s="15"/>
      <c r="AE53" s="15"/>
      <c r="AF53" s="13" t="str">
        <f t="shared" si="8"/>
        <v>1</v>
      </c>
      <c r="AG53" s="17"/>
      <c r="AH53" s="17"/>
      <c r="AI53" s="15"/>
      <c r="AJ53" s="14"/>
      <c r="AK53" s="15" cm="1">
        <f t="array" ref="AK53">_xlfn.IFS(B53="","",LEFT(G53,1)="L",1,LEFT(G53,1)="W",1,AND(LEFT(B53,1)="H",G53=""),0)</f>
        <v>0</v>
      </c>
      <c r="AL53" s="15"/>
      <c r="AM53" s="15"/>
      <c r="AN53" s="15"/>
      <c r="AO53" s="15"/>
      <c r="AP53" s="15"/>
      <c r="AQ53" s="15"/>
      <c r="AR53" s="15"/>
      <c r="AS53" s="15">
        <f t="shared" si="16"/>
        <v>1</v>
      </c>
      <c r="AT53" s="15" t="s">
        <v>115</v>
      </c>
      <c r="AU53" s="13" t="str">
        <f t="shared" si="9"/>
        <v>0</v>
      </c>
      <c r="AV53" s="15"/>
      <c r="AW53" s="15"/>
      <c r="AX53" s="15"/>
      <c r="AY53" s="15"/>
      <c r="AZ53" s="14"/>
      <c r="BA53" s="15"/>
      <c r="BB53" s="15"/>
      <c r="BC53" s="15"/>
      <c r="BD53" s="13" t="str">
        <f t="shared" si="10"/>
        <v>0</v>
      </c>
      <c r="BE53" s="2"/>
      <c r="BF53" s="2"/>
      <c r="BG53" s="2"/>
      <c r="BH53" s="2"/>
      <c r="BI53" s="2"/>
      <c r="BJ53" s="2"/>
      <c r="BK53" s="2" t="s">
        <v>340</v>
      </c>
      <c r="BL53" s="10"/>
      <c r="BM53" t="str" cm="1">
        <f t="array" ref="BM53">_xlfn.IFS(LEFT(G53,1)="L","外注品",LEFT(G53,1)="W","内製品",G53="","購買品")</f>
        <v>購買品</v>
      </c>
    </row>
    <row r="54" spans="1:65">
      <c r="A54" s="2" t="str">
        <f t="shared" si="0"/>
        <v>WG01</v>
      </c>
      <c r="B54" s="2" t="s">
        <v>183</v>
      </c>
      <c r="C54" s="2" t="s">
        <v>302</v>
      </c>
      <c r="D54" s="10" t="str">
        <f t="shared" si="27"/>
        <v>E385503_01</v>
      </c>
      <c r="E54" s="10">
        <f t="shared" si="28"/>
        <v>0</v>
      </c>
      <c r="F54" s="2"/>
      <c r="G54" s="3"/>
      <c r="H54" s="19" t="s">
        <v>350</v>
      </c>
      <c r="I54" s="2"/>
      <c r="J54" s="2"/>
      <c r="K54" s="2" t="str">
        <f t="shared" si="3"/>
        <v/>
      </c>
      <c r="L54" s="7" t="str">
        <f t="shared" si="58"/>
        <v>2001/01/01</v>
      </c>
      <c r="M54" s="7" t="str">
        <f t="shared" si="59"/>
        <v>2199/12/31</v>
      </c>
      <c r="N54" s="2" t="str">
        <f t="shared" si="15"/>
        <v/>
      </c>
      <c r="O54" s="13" t="str">
        <f t="shared" si="43"/>
        <v/>
      </c>
      <c r="P54" s="15"/>
      <c r="Q54" s="13">
        <v>15</v>
      </c>
      <c r="R54" s="18">
        <v>100000000</v>
      </c>
      <c r="S54" s="18" t="str" cm="1">
        <f t="array" ref="S54">_xlfn.IFS(LEFT(G54,1)="L","記載要",LEFT(G54,1)="W","記載要",G54="","")</f>
        <v/>
      </c>
      <c r="T54" s="2"/>
      <c r="U54" s="2"/>
      <c r="V54" s="2"/>
      <c r="W54" s="2"/>
      <c r="X54" s="2"/>
      <c r="Y54" s="2"/>
      <c r="Z54" s="2"/>
      <c r="AA54" s="13">
        <v>1</v>
      </c>
      <c r="AB54" s="13">
        <f t="shared" si="6"/>
        <v>0</v>
      </c>
      <c r="AC54" s="13">
        <f t="shared" si="7"/>
        <v>0</v>
      </c>
      <c r="AD54" s="15"/>
      <c r="AE54" s="15"/>
      <c r="AF54" s="13" t="str">
        <f t="shared" si="8"/>
        <v>1</v>
      </c>
      <c r="AG54" s="17"/>
      <c r="AH54" s="17"/>
      <c r="AI54" s="15"/>
      <c r="AJ54" s="14"/>
      <c r="AK54" s="15" cm="1">
        <f t="array" ref="AK54">_xlfn.IFS(B54="","",LEFT(G54,1)="L",1,LEFT(G54,1)="W",1,AND(LEFT(B54,1)="H",G54=""),0)</f>
        <v>0</v>
      </c>
      <c r="AL54" s="15"/>
      <c r="AM54" s="15"/>
      <c r="AN54" s="15"/>
      <c r="AO54" s="15"/>
      <c r="AP54" s="15"/>
      <c r="AQ54" s="15"/>
      <c r="AR54" s="15"/>
      <c r="AS54" s="15">
        <f t="shared" si="16"/>
        <v>1</v>
      </c>
      <c r="AT54" s="15" t="s">
        <v>115</v>
      </c>
      <c r="AU54" s="13" t="str">
        <f t="shared" si="9"/>
        <v>0</v>
      </c>
      <c r="AV54" s="15"/>
      <c r="AW54" s="15"/>
      <c r="AX54" s="15"/>
      <c r="AY54" s="15"/>
      <c r="AZ54" s="14"/>
      <c r="BA54" s="15"/>
      <c r="BB54" s="15"/>
      <c r="BC54" s="15"/>
      <c r="BD54" s="13" t="str">
        <f t="shared" si="10"/>
        <v>0</v>
      </c>
      <c r="BE54" s="2"/>
      <c r="BF54" s="2"/>
      <c r="BG54" s="2"/>
      <c r="BH54" s="2"/>
      <c r="BI54" s="2"/>
      <c r="BJ54" s="2"/>
      <c r="BK54" s="2" t="s">
        <v>340</v>
      </c>
      <c r="BL54" s="10"/>
      <c r="BM54" t="str" cm="1">
        <f t="array" ref="BM54">_xlfn.IFS(LEFT(G54,1)="L","外注品",LEFT(G54,1)="W","内製品",G54="","購買品")</f>
        <v>購買品</v>
      </c>
    </row>
    <row r="55" spans="1:65">
      <c r="A55" s="2" t="str">
        <f t="shared" si="0"/>
        <v>WG01</v>
      </c>
      <c r="B55" s="2" t="s">
        <v>184</v>
      </c>
      <c r="C55" s="2" t="s">
        <v>303</v>
      </c>
      <c r="D55" s="10" t="str">
        <f t="shared" si="27"/>
        <v>E385503_01</v>
      </c>
      <c r="E55" s="10">
        <f t="shared" si="28"/>
        <v>0</v>
      </c>
      <c r="F55" s="2"/>
      <c r="G55" s="3"/>
      <c r="H55" s="19" t="s">
        <v>350</v>
      </c>
      <c r="I55" s="2"/>
      <c r="J55" s="2"/>
      <c r="K55" s="2" t="str">
        <f t="shared" si="3"/>
        <v/>
      </c>
      <c r="L55" s="7" t="str">
        <f t="shared" si="58"/>
        <v>2001/01/01</v>
      </c>
      <c r="M55" s="7" t="str">
        <f t="shared" si="59"/>
        <v>2199/12/31</v>
      </c>
      <c r="N55" s="2" t="str">
        <f t="shared" si="15"/>
        <v/>
      </c>
      <c r="O55" s="13" t="str">
        <f t="shared" si="43"/>
        <v/>
      </c>
      <c r="P55" s="15"/>
      <c r="Q55" s="13">
        <v>15</v>
      </c>
      <c r="R55" s="18">
        <v>100000000</v>
      </c>
      <c r="S55" s="18" t="str" cm="1">
        <f t="array" ref="S55">_xlfn.IFS(LEFT(G55,1)="L","記載要",LEFT(G55,1)="W","記載要",G55="","")</f>
        <v/>
      </c>
      <c r="T55" s="2"/>
      <c r="U55" s="2"/>
      <c r="V55" s="2"/>
      <c r="W55" s="2"/>
      <c r="X55" s="2"/>
      <c r="Y55" s="2"/>
      <c r="Z55" s="2"/>
      <c r="AA55" s="13">
        <v>1</v>
      </c>
      <c r="AB55" s="13">
        <f t="shared" si="6"/>
        <v>0</v>
      </c>
      <c r="AC55" s="13">
        <f t="shared" si="7"/>
        <v>0</v>
      </c>
      <c r="AD55" s="15"/>
      <c r="AE55" s="15"/>
      <c r="AF55" s="13" t="str">
        <f t="shared" si="8"/>
        <v>1</v>
      </c>
      <c r="AG55" s="17"/>
      <c r="AH55" s="17"/>
      <c r="AI55" s="15"/>
      <c r="AJ55" s="14"/>
      <c r="AK55" s="15" cm="1">
        <f t="array" ref="AK55">_xlfn.IFS(B55="","",LEFT(G55,1)="L",1,LEFT(G55,1)="W",1,AND(LEFT(B55,1)="H",G55=""),0)</f>
        <v>0</v>
      </c>
      <c r="AL55" s="15"/>
      <c r="AM55" s="15"/>
      <c r="AN55" s="15"/>
      <c r="AO55" s="15"/>
      <c r="AP55" s="15"/>
      <c r="AQ55" s="15"/>
      <c r="AR55" s="15"/>
      <c r="AS55" s="15">
        <f t="shared" si="16"/>
        <v>1</v>
      </c>
      <c r="AT55" s="15" t="s">
        <v>115</v>
      </c>
      <c r="AU55" s="13" t="str">
        <f t="shared" si="9"/>
        <v>0</v>
      </c>
      <c r="AV55" s="15"/>
      <c r="AW55" s="15"/>
      <c r="AX55" s="15"/>
      <c r="AY55" s="15"/>
      <c r="AZ55" s="14"/>
      <c r="BA55" s="15"/>
      <c r="BB55" s="15"/>
      <c r="BC55" s="15"/>
      <c r="BD55" s="13" t="str">
        <f t="shared" si="10"/>
        <v>0</v>
      </c>
      <c r="BE55" s="2"/>
      <c r="BF55" s="2"/>
      <c r="BG55" s="2"/>
      <c r="BH55" s="2"/>
      <c r="BI55" s="2"/>
      <c r="BJ55" s="2"/>
      <c r="BK55" s="2" t="s">
        <v>340</v>
      </c>
      <c r="BL55" s="10"/>
      <c r="BM55" t="str" cm="1">
        <f t="array" ref="BM55">_xlfn.IFS(LEFT(G55,1)="L","外注品",LEFT(G55,1)="W","内製品",G55="","購買品")</f>
        <v>購買品</v>
      </c>
    </row>
    <row r="56" spans="1:65">
      <c r="A56" s="2" t="str">
        <f t="shared" si="0"/>
        <v>WG01</v>
      </c>
      <c r="B56" s="2" t="s">
        <v>185</v>
      </c>
      <c r="C56" s="2" t="s">
        <v>304</v>
      </c>
      <c r="D56" s="10" t="str">
        <f t="shared" si="27"/>
        <v>E385503_01</v>
      </c>
      <c r="E56" s="10">
        <f t="shared" si="28"/>
        <v>0</v>
      </c>
      <c r="F56" s="2"/>
      <c r="G56" s="3"/>
      <c r="H56" s="19" t="s">
        <v>350</v>
      </c>
      <c r="I56" s="2"/>
      <c r="J56" s="2"/>
      <c r="K56" s="2" t="str">
        <f t="shared" si="3"/>
        <v/>
      </c>
      <c r="L56" s="7" t="str">
        <f t="shared" si="58"/>
        <v>2001/01/01</v>
      </c>
      <c r="M56" s="7" t="str">
        <f t="shared" si="59"/>
        <v>2199/12/31</v>
      </c>
      <c r="N56" s="2" t="str">
        <f t="shared" si="15"/>
        <v/>
      </c>
      <c r="O56" s="13" t="str">
        <f t="shared" si="43"/>
        <v/>
      </c>
      <c r="P56" s="15"/>
      <c r="Q56" s="13">
        <v>15</v>
      </c>
      <c r="R56" s="18">
        <v>100000000</v>
      </c>
      <c r="S56" s="18" t="str" cm="1">
        <f t="array" ref="S56">_xlfn.IFS(LEFT(G56,1)="L","記載要",LEFT(G56,1)="W","記載要",G56="","")</f>
        <v/>
      </c>
      <c r="T56" s="2"/>
      <c r="U56" s="2"/>
      <c r="V56" s="8"/>
      <c r="W56" s="2"/>
      <c r="X56" s="2"/>
      <c r="Y56" s="2"/>
      <c r="Z56" s="2"/>
      <c r="AA56" s="13">
        <v>1</v>
      </c>
      <c r="AB56" s="13">
        <f t="shared" si="6"/>
        <v>0</v>
      </c>
      <c r="AC56" s="13">
        <f t="shared" si="7"/>
        <v>0</v>
      </c>
      <c r="AD56" s="15"/>
      <c r="AE56" s="15"/>
      <c r="AF56" s="13" t="str">
        <f t="shared" si="8"/>
        <v>1</v>
      </c>
      <c r="AG56" s="17"/>
      <c r="AH56" s="17"/>
      <c r="AI56" s="15"/>
      <c r="AJ56" s="14"/>
      <c r="AK56" s="15" cm="1">
        <f t="array" ref="AK56">_xlfn.IFS(B56="","",LEFT(G56,1)="L",1,LEFT(G56,1)="W",1,AND(LEFT(B56,1)="H",G56=""),0)</f>
        <v>0</v>
      </c>
      <c r="AL56" s="15"/>
      <c r="AM56" s="15"/>
      <c r="AN56" s="15"/>
      <c r="AO56" s="15"/>
      <c r="AP56" s="15"/>
      <c r="AQ56" s="15"/>
      <c r="AR56" s="15"/>
      <c r="AS56" s="15">
        <f t="shared" si="16"/>
        <v>1</v>
      </c>
      <c r="AT56" s="15" t="s">
        <v>115</v>
      </c>
      <c r="AU56" s="13" t="str">
        <f t="shared" si="9"/>
        <v>0</v>
      </c>
      <c r="AV56" s="15"/>
      <c r="AW56" s="15"/>
      <c r="AX56" s="15"/>
      <c r="AY56" s="15"/>
      <c r="AZ56" s="14"/>
      <c r="BA56" s="15"/>
      <c r="BB56" s="15"/>
      <c r="BC56" s="15"/>
      <c r="BD56" s="13" t="str">
        <f t="shared" si="10"/>
        <v>0</v>
      </c>
      <c r="BE56" s="2"/>
      <c r="BF56" s="2"/>
      <c r="BG56" s="2"/>
      <c r="BH56" s="2"/>
      <c r="BI56" s="2"/>
      <c r="BJ56" s="2"/>
      <c r="BK56" s="2" t="s">
        <v>340</v>
      </c>
      <c r="BL56" s="10"/>
      <c r="BM56" t="str" cm="1">
        <f t="array" ref="BM56">_xlfn.IFS(LEFT(G56,1)="L","外注品",LEFT(G56,1)="W","内製品",G56="","購買品")</f>
        <v>購買品</v>
      </c>
    </row>
    <row r="57" spans="1:65">
      <c r="A57" s="2" t="str">
        <f t="shared" si="0"/>
        <v>WG01</v>
      </c>
      <c r="B57" s="2" t="s">
        <v>186</v>
      </c>
      <c r="C57" s="2" t="s">
        <v>305</v>
      </c>
      <c r="D57" s="10" t="str">
        <f t="shared" si="27"/>
        <v>E385503_01</v>
      </c>
      <c r="E57" s="10">
        <f t="shared" si="28"/>
        <v>0</v>
      </c>
      <c r="F57" s="2"/>
      <c r="G57" s="3"/>
      <c r="H57" s="19" t="s">
        <v>350</v>
      </c>
      <c r="I57" s="2"/>
      <c r="J57" s="2"/>
      <c r="K57" s="2" t="str">
        <f t="shared" si="3"/>
        <v/>
      </c>
      <c r="L57" s="7" t="str">
        <f t="shared" si="58"/>
        <v>2001/01/01</v>
      </c>
      <c r="M57" s="7" t="str">
        <f t="shared" si="59"/>
        <v>2199/12/31</v>
      </c>
      <c r="N57" s="2" t="str">
        <f t="shared" si="15"/>
        <v/>
      </c>
      <c r="O57" s="13" t="str">
        <f t="shared" si="43"/>
        <v/>
      </c>
      <c r="P57" s="15"/>
      <c r="Q57" s="13">
        <v>15</v>
      </c>
      <c r="R57" s="18">
        <v>100000000</v>
      </c>
      <c r="S57" s="18" t="str" cm="1">
        <f t="array" ref="S57">_xlfn.IFS(LEFT(G57,1)="L","記載要",LEFT(G57,1)="W","記載要",G57="","")</f>
        <v/>
      </c>
      <c r="T57" s="2"/>
      <c r="U57" s="2"/>
      <c r="V57" s="2"/>
      <c r="W57" s="2"/>
      <c r="X57" s="2"/>
      <c r="Y57" s="2"/>
      <c r="Z57" s="2"/>
      <c r="AA57" s="13">
        <v>1</v>
      </c>
      <c r="AB57" s="13">
        <f t="shared" si="6"/>
        <v>0</v>
      </c>
      <c r="AC57" s="13">
        <f t="shared" si="7"/>
        <v>0</v>
      </c>
      <c r="AD57" s="15"/>
      <c r="AE57" s="15"/>
      <c r="AF57" s="13" t="str">
        <f t="shared" si="8"/>
        <v>1</v>
      </c>
      <c r="AG57" s="17"/>
      <c r="AH57" s="17"/>
      <c r="AI57" s="15"/>
      <c r="AJ57" s="14"/>
      <c r="AK57" s="15" cm="1">
        <f t="array" ref="AK57">_xlfn.IFS(B57="","",LEFT(G57,1)="L",1,LEFT(G57,1)="W",1,AND(LEFT(B57,1)="H",G57=""),0)</f>
        <v>0</v>
      </c>
      <c r="AL57" s="15"/>
      <c r="AM57" s="15"/>
      <c r="AN57" s="15"/>
      <c r="AO57" s="15"/>
      <c r="AP57" s="15"/>
      <c r="AQ57" s="15"/>
      <c r="AR57" s="15"/>
      <c r="AS57" s="15">
        <f t="shared" si="16"/>
        <v>1</v>
      </c>
      <c r="AT57" s="15" t="s">
        <v>115</v>
      </c>
      <c r="AU57" s="13" t="str">
        <f t="shared" si="9"/>
        <v>0</v>
      </c>
      <c r="AV57" s="15"/>
      <c r="AW57" s="15"/>
      <c r="AX57" s="15"/>
      <c r="AY57" s="15"/>
      <c r="AZ57" s="14"/>
      <c r="BA57" s="15"/>
      <c r="BB57" s="15"/>
      <c r="BC57" s="15"/>
      <c r="BD57" s="13" t="str">
        <f t="shared" si="10"/>
        <v>0</v>
      </c>
      <c r="BE57" s="2"/>
      <c r="BF57" s="2"/>
      <c r="BG57" s="2"/>
      <c r="BH57" s="2"/>
      <c r="BI57" s="2"/>
      <c r="BJ57" s="2"/>
      <c r="BK57" s="2" t="s">
        <v>340</v>
      </c>
      <c r="BL57" s="10"/>
      <c r="BM57" t="str" cm="1">
        <f t="array" ref="BM57">_xlfn.IFS(LEFT(G57,1)="L","外注品",LEFT(G57,1)="W","内製品",G57="","購買品")</f>
        <v>購買品</v>
      </c>
    </row>
    <row r="58" spans="1:65">
      <c r="A58" s="2" t="str">
        <f t="shared" si="0"/>
        <v>WG01</v>
      </c>
      <c r="B58" s="2" t="s">
        <v>187</v>
      </c>
      <c r="C58" s="2" t="s">
        <v>306</v>
      </c>
      <c r="D58" s="10" t="str">
        <f t="shared" si="27"/>
        <v>E385503_01</v>
      </c>
      <c r="E58" s="10">
        <f t="shared" si="28"/>
        <v>0</v>
      </c>
      <c r="F58" s="2"/>
      <c r="G58" s="3"/>
      <c r="H58" s="19" t="s">
        <v>350</v>
      </c>
      <c r="I58" s="2"/>
      <c r="J58" s="2"/>
      <c r="K58" s="2" t="str">
        <f t="shared" si="3"/>
        <v/>
      </c>
      <c r="L58" s="7" t="str">
        <f t="shared" ref="L58:L121" si="60">IF(B58="","","2001/01/01")</f>
        <v>2001/01/01</v>
      </c>
      <c r="M58" s="7" t="str">
        <f t="shared" ref="M58:M121" si="61">IF(C58="","","2199/12/31")</f>
        <v>2199/12/31</v>
      </c>
      <c r="N58" s="2" t="str">
        <f t="shared" si="15"/>
        <v/>
      </c>
      <c r="O58" s="13" t="str">
        <f t="shared" si="43"/>
        <v/>
      </c>
      <c r="P58" s="15"/>
      <c r="Q58" s="13">
        <v>15</v>
      </c>
      <c r="R58" s="18">
        <v>100000000</v>
      </c>
      <c r="S58" s="18" t="str" cm="1">
        <f t="array" ref="S58">_xlfn.IFS(LEFT(G58,1)="L","記載要",LEFT(G58,1)="W","記載要",G58="","")</f>
        <v/>
      </c>
      <c r="T58" s="2"/>
      <c r="U58" s="2"/>
      <c r="V58" s="2"/>
      <c r="W58" s="2"/>
      <c r="X58" s="2"/>
      <c r="Y58" s="2"/>
      <c r="Z58" s="2"/>
      <c r="AA58" s="13">
        <v>1</v>
      </c>
      <c r="AB58" s="13">
        <f t="shared" si="6"/>
        <v>0</v>
      </c>
      <c r="AC58" s="13">
        <f t="shared" si="7"/>
        <v>0</v>
      </c>
      <c r="AD58" s="15"/>
      <c r="AE58" s="15"/>
      <c r="AF58" s="13" t="str">
        <f t="shared" si="8"/>
        <v>1</v>
      </c>
      <c r="AG58" s="17"/>
      <c r="AH58" s="17"/>
      <c r="AI58" s="15"/>
      <c r="AJ58" s="14"/>
      <c r="AK58" s="15" cm="1">
        <f t="array" ref="AK58">_xlfn.IFS(B58="","",LEFT(G58,1)="L",1,LEFT(G58,1)="W",1,AND(LEFT(B58,1)="H",G58=""),0)</f>
        <v>0</v>
      </c>
      <c r="AL58" s="15"/>
      <c r="AM58" s="15"/>
      <c r="AN58" s="15"/>
      <c r="AO58" s="15"/>
      <c r="AP58" s="15"/>
      <c r="AQ58" s="15"/>
      <c r="AR58" s="15"/>
      <c r="AS58" s="15">
        <f t="shared" si="16"/>
        <v>1</v>
      </c>
      <c r="AT58" s="15" t="s">
        <v>115</v>
      </c>
      <c r="AU58" s="13" t="str">
        <f t="shared" si="9"/>
        <v>0</v>
      </c>
      <c r="AV58" s="15"/>
      <c r="AW58" s="15"/>
      <c r="AX58" s="15"/>
      <c r="AY58" s="15"/>
      <c r="AZ58" s="14"/>
      <c r="BA58" s="15"/>
      <c r="BB58" s="15"/>
      <c r="BC58" s="15"/>
      <c r="BD58" s="13" t="str">
        <f t="shared" si="10"/>
        <v>0</v>
      </c>
      <c r="BE58" s="2"/>
      <c r="BF58" s="2"/>
      <c r="BG58" s="2"/>
      <c r="BH58" s="2"/>
      <c r="BI58" s="2"/>
      <c r="BJ58" s="2"/>
      <c r="BK58" s="2" t="s">
        <v>340</v>
      </c>
      <c r="BL58" s="10"/>
      <c r="BM58" t="str" cm="1">
        <f t="array" ref="BM58">_xlfn.IFS(LEFT(G58,1)="L","外注品",LEFT(G58,1)="W","内製品",G58="","購買品")</f>
        <v>購買品</v>
      </c>
    </row>
    <row r="59" spans="1:65">
      <c r="A59" s="2" t="str">
        <f t="shared" si="0"/>
        <v>WG01</v>
      </c>
      <c r="B59" s="2" t="s">
        <v>188</v>
      </c>
      <c r="C59" s="2" t="s">
        <v>307</v>
      </c>
      <c r="D59" s="10" t="str">
        <f t="shared" si="27"/>
        <v>E385503_01</v>
      </c>
      <c r="E59" s="10">
        <f t="shared" si="28"/>
        <v>0</v>
      </c>
      <c r="F59" s="2"/>
      <c r="G59" s="3"/>
      <c r="H59" s="19" t="s">
        <v>350</v>
      </c>
      <c r="I59" s="2"/>
      <c r="J59" s="2"/>
      <c r="K59" s="2" t="str">
        <f t="shared" si="3"/>
        <v/>
      </c>
      <c r="L59" s="7" t="str">
        <f t="shared" si="60"/>
        <v>2001/01/01</v>
      </c>
      <c r="M59" s="7" t="str">
        <f t="shared" si="61"/>
        <v>2199/12/31</v>
      </c>
      <c r="N59" s="2" t="str">
        <f t="shared" si="15"/>
        <v/>
      </c>
      <c r="O59" s="13" t="str">
        <f t="shared" si="43"/>
        <v/>
      </c>
      <c r="P59" s="15"/>
      <c r="Q59" s="13">
        <v>15</v>
      </c>
      <c r="R59" s="18">
        <v>100000000</v>
      </c>
      <c r="S59" s="18" t="str" cm="1">
        <f t="array" ref="S59">_xlfn.IFS(LEFT(G59,1)="L","記載要",LEFT(G59,1)="W","記載要",G59="","")</f>
        <v/>
      </c>
      <c r="T59" s="2"/>
      <c r="U59" s="2"/>
      <c r="V59" s="2"/>
      <c r="W59" s="2"/>
      <c r="X59" s="2"/>
      <c r="Y59" s="2"/>
      <c r="Z59" s="2"/>
      <c r="AA59" s="13">
        <v>1</v>
      </c>
      <c r="AB59" s="13">
        <f t="shared" si="6"/>
        <v>0</v>
      </c>
      <c r="AC59" s="13">
        <f t="shared" si="7"/>
        <v>0</v>
      </c>
      <c r="AD59" s="15"/>
      <c r="AE59" s="15"/>
      <c r="AF59" s="13" t="str">
        <f t="shared" si="8"/>
        <v>1</v>
      </c>
      <c r="AG59" s="17"/>
      <c r="AH59" s="17"/>
      <c r="AI59" s="15"/>
      <c r="AJ59" s="14"/>
      <c r="AK59" s="15" cm="1">
        <f t="array" ref="AK59">_xlfn.IFS(B59="","",LEFT(G59,1)="L",1,LEFT(G59,1)="W",1,AND(LEFT(B59,1)="H",G59=""),0)</f>
        <v>0</v>
      </c>
      <c r="AL59" s="15"/>
      <c r="AM59" s="15"/>
      <c r="AN59" s="15"/>
      <c r="AO59" s="15"/>
      <c r="AP59" s="15"/>
      <c r="AQ59" s="15"/>
      <c r="AR59" s="15"/>
      <c r="AS59" s="15">
        <f t="shared" si="16"/>
        <v>1</v>
      </c>
      <c r="AT59" s="15" t="s">
        <v>115</v>
      </c>
      <c r="AU59" s="13" t="str">
        <f t="shared" si="9"/>
        <v>0</v>
      </c>
      <c r="AV59" s="15"/>
      <c r="AW59" s="15"/>
      <c r="AX59" s="15"/>
      <c r="AY59" s="15"/>
      <c r="AZ59" s="14"/>
      <c r="BA59" s="15"/>
      <c r="BB59" s="15"/>
      <c r="BC59" s="15"/>
      <c r="BD59" s="13" t="str">
        <f t="shared" si="10"/>
        <v>0</v>
      </c>
      <c r="BE59" s="2"/>
      <c r="BF59" s="2"/>
      <c r="BG59" s="2"/>
      <c r="BH59" s="2"/>
      <c r="BI59" s="2"/>
      <c r="BJ59" s="2"/>
      <c r="BK59" s="2" t="s">
        <v>340</v>
      </c>
      <c r="BL59" s="10"/>
      <c r="BM59" t="str" cm="1">
        <f t="array" ref="BM59">_xlfn.IFS(LEFT(G59,1)="L","外注品",LEFT(G59,1)="W","内製品",G59="","購買品")</f>
        <v>購買品</v>
      </c>
    </row>
    <row r="60" spans="1:65">
      <c r="A60" s="2" t="str">
        <f t="shared" si="0"/>
        <v>WG01</v>
      </c>
      <c r="B60" s="2" t="s">
        <v>189</v>
      </c>
      <c r="C60" s="2" t="s">
        <v>308</v>
      </c>
      <c r="D60" s="10" t="str">
        <f t="shared" si="27"/>
        <v>E385503_01</v>
      </c>
      <c r="E60" s="10">
        <f t="shared" si="28"/>
        <v>0</v>
      </c>
      <c r="F60" s="2"/>
      <c r="G60" s="3"/>
      <c r="H60" s="19" t="s">
        <v>350</v>
      </c>
      <c r="I60" s="2"/>
      <c r="J60" s="2"/>
      <c r="K60" s="2" t="str">
        <f t="shared" si="3"/>
        <v/>
      </c>
      <c r="L60" s="7" t="str">
        <f t="shared" si="60"/>
        <v>2001/01/01</v>
      </c>
      <c r="M60" s="7" t="str">
        <f t="shared" si="61"/>
        <v>2199/12/31</v>
      </c>
      <c r="N60" s="2" t="str">
        <f t="shared" si="15"/>
        <v/>
      </c>
      <c r="O60" s="13" t="str">
        <f t="shared" si="43"/>
        <v/>
      </c>
      <c r="P60" s="15"/>
      <c r="Q60" s="13">
        <v>15</v>
      </c>
      <c r="R60" s="18">
        <v>100000000</v>
      </c>
      <c r="S60" s="18" t="str" cm="1">
        <f t="array" ref="S60">_xlfn.IFS(LEFT(G60,1)="L","記載要",LEFT(G60,1)="W","記載要",G60="","")</f>
        <v/>
      </c>
      <c r="T60" s="2"/>
      <c r="U60" s="2"/>
      <c r="V60" s="2"/>
      <c r="W60" s="2"/>
      <c r="X60" s="2"/>
      <c r="Y60" s="2"/>
      <c r="Z60" s="2"/>
      <c r="AA60" s="13">
        <v>1</v>
      </c>
      <c r="AB60" s="13">
        <f t="shared" si="6"/>
        <v>0</v>
      </c>
      <c r="AC60" s="13">
        <f t="shared" si="7"/>
        <v>0</v>
      </c>
      <c r="AD60" s="15"/>
      <c r="AE60" s="15"/>
      <c r="AF60" s="13" t="str">
        <f t="shared" si="8"/>
        <v>1</v>
      </c>
      <c r="AG60" s="17"/>
      <c r="AH60" s="17"/>
      <c r="AI60" s="15"/>
      <c r="AJ60" s="14"/>
      <c r="AK60" s="15" cm="1">
        <f t="array" ref="AK60">_xlfn.IFS(B60="","",LEFT(G60,1)="L",1,LEFT(G60,1)="W",1,AND(LEFT(B60,1)="H",G60=""),0)</f>
        <v>0</v>
      </c>
      <c r="AL60" s="15"/>
      <c r="AM60" s="15"/>
      <c r="AN60" s="15"/>
      <c r="AO60" s="15"/>
      <c r="AP60" s="15"/>
      <c r="AQ60" s="15"/>
      <c r="AR60" s="15"/>
      <c r="AS60" s="15">
        <f t="shared" si="16"/>
        <v>1</v>
      </c>
      <c r="AT60" s="15" t="s">
        <v>115</v>
      </c>
      <c r="AU60" s="13" t="str">
        <f t="shared" si="9"/>
        <v>0</v>
      </c>
      <c r="AV60" s="15"/>
      <c r="AW60" s="15"/>
      <c r="AX60" s="15"/>
      <c r="AY60" s="15"/>
      <c r="AZ60" s="14"/>
      <c r="BA60" s="15"/>
      <c r="BB60" s="15"/>
      <c r="BC60" s="15"/>
      <c r="BD60" s="13" t="str">
        <f t="shared" si="10"/>
        <v>0</v>
      </c>
      <c r="BE60" s="2"/>
      <c r="BF60" s="2"/>
      <c r="BG60" s="2"/>
      <c r="BH60" s="2"/>
      <c r="BI60" s="2"/>
      <c r="BJ60" s="2"/>
      <c r="BK60" s="2" t="s">
        <v>340</v>
      </c>
      <c r="BL60" s="10"/>
      <c r="BM60" t="str" cm="1">
        <f t="array" ref="BM60">_xlfn.IFS(LEFT(G60,1)="L","外注品",LEFT(G60,1)="W","内製品",G60="","購買品")</f>
        <v>購買品</v>
      </c>
    </row>
    <row r="61" spans="1:65">
      <c r="A61" s="2" t="str">
        <f t="shared" si="0"/>
        <v>WG01</v>
      </c>
      <c r="B61" s="2" t="s">
        <v>190</v>
      </c>
      <c r="C61" s="2" t="s">
        <v>309</v>
      </c>
      <c r="D61" s="10" t="str">
        <f t="shared" si="27"/>
        <v>E385503_01</v>
      </c>
      <c r="E61" s="10">
        <f t="shared" si="28"/>
        <v>0</v>
      </c>
      <c r="F61" s="2"/>
      <c r="G61" s="3"/>
      <c r="H61" s="19" t="s">
        <v>350</v>
      </c>
      <c r="I61" s="2"/>
      <c r="J61" s="2"/>
      <c r="K61" s="2" t="str">
        <f t="shared" si="3"/>
        <v/>
      </c>
      <c r="L61" s="7" t="str">
        <f t="shared" si="60"/>
        <v>2001/01/01</v>
      </c>
      <c r="M61" s="7" t="str">
        <f t="shared" si="61"/>
        <v>2199/12/31</v>
      </c>
      <c r="N61" s="2" t="str">
        <f t="shared" si="15"/>
        <v/>
      </c>
      <c r="O61" s="13" t="str">
        <f t="shared" si="43"/>
        <v/>
      </c>
      <c r="P61" s="15"/>
      <c r="Q61" s="13">
        <v>15</v>
      </c>
      <c r="R61" s="18">
        <v>100000000</v>
      </c>
      <c r="S61" s="18" t="str" cm="1">
        <f t="array" ref="S61">_xlfn.IFS(LEFT(G61,1)="L","記載要",LEFT(G61,1)="W","記載要",G61="","")</f>
        <v/>
      </c>
      <c r="T61" s="2"/>
      <c r="U61" s="2"/>
      <c r="V61" s="2"/>
      <c r="W61" s="2"/>
      <c r="X61" s="2"/>
      <c r="Y61" s="2"/>
      <c r="Z61" s="2"/>
      <c r="AA61" s="13">
        <v>1</v>
      </c>
      <c r="AB61" s="13">
        <f t="shared" si="6"/>
        <v>0</v>
      </c>
      <c r="AC61" s="13">
        <f t="shared" si="7"/>
        <v>0</v>
      </c>
      <c r="AD61" s="15"/>
      <c r="AE61" s="15"/>
      <c r="AF61" s="13" t="str">
        <f t="shared" si="8"/>
        <v>1</v>
      </c>
      <c r="AG61" s="17"/>
      <c r="AH61" s="17"/>
      <c r="AI61" s="15"/>
      <c r="AJ61" s="14"/>
      <c r="AK61" s="15" cm="1">
        <f t="array" ref="AK61">_xlfn.IFS(B61="","",LEFT(G61,1)="L",1,LEFT(G61,1)="W",1,AND(LEFT(B61,1)="H",G61=""),0)</f>
        <v>0</v>
      </c>
      <c r="AL61" s="15"/>
      <c r="AM61" s="15"/>
      <c r="AN61" s="15"/>
      <c r="AO61" s="15"/>
      <c r="AP61" s="15"/>
      <c r="AQ61" s="15"/>
      <c r="AR61" s="15"/>
      <c r="AS61" s="15">
        <f t="shared" si="16"/>
        <v>1</v>
      </c>
      <c r="AT61" s="15" t="s">
        <v>115</v>
      </c>
      <c r="AU61" s="13" t="str">
        <f t="shared" si="9"/>
        <v>0</v>
      </c>
      <c r="AV61" s="15"/>
      <c r="AW61" s="15"/>
      <c r="AX61" s="15"/>
      <c r="AY61" s="15"/>
      <c r="AZ61" s="14"/>
      <c r="BA61" s="15"/>
      <c r="BB61" s="15"/>
      <c r="BC61" s="15"/>
      <c r="BD61" s="13" t="str">
        <f t="shared" si="10"/>
        <v>0</v>
      </c>
      <c r="BE61" s="2"/>
      <c r="BF61" s="2"/>
      <c r="BG61" s="2"/>
      <c r="BH61" s="2"/>
      <c r="BI61" s="2"/>
      <c r="BJ61" s="2"/>
      <c r="BK61" s="2" t="s">
        <v>340</v>
      </c>
      <c r="BL61" s="10"/>
      <c r="BM61" t="str" cm="1">
        <f t="array" ref="BM61">_xlfn.IFS(LEFT(G61,1)="L","外注品",LEFT(G61,1)="W","内製品",G61="","購買品")</f>
        <v>購買品</v>
      </c>
    </row>
    <row r="62" spans="1:65">
      <c r="A62" s="2" t="str">
        <f t="shared" si="0"/>
        <v>WG01</v>
      </c>
      <c r="B62" s="2" t="s">
        <v>191</v>
      </c>
      <c r="C62" s="2" t="s">
        <v>310</v>
      </c>
      <c r="D62" s="10" t="str">
        <f t="shared" si="27"/>
        <v>E385503_01</v>
      </c>
      <c r="E62" s="10">
        <f t="shared" si="28"/>
        <v>0</v>
      </c>
      <c r="F62" s="2"/>
      <c r="G62" s="3"/>
      <c r="H62" s="19" t="s">
        <v>350</v>
      </c>
      <c r="I62" s="2"/>
      <c r="J62" s="2"/>
      <c r="K62" s="2" t="str">
        <f t="shared" si="3"/>
        <v/>
      </c>
      <c r="L62" s="7" t="str">
        <f t="shared" si="60"/>
        <v>2001/01/01</v>
      </c>
      <c r="M62" s="7" t="str">
        <f t="shared" si="61"/>
        <v>2199/12/31</v>
      </c>
      <c r="N62" s="2" t="str">
        <f t="shared" si="15"/>
        <v/>
      </c>
      <c r="O62" s="13" t="str">
        <f t="shared" si="43"/>
        <v/>
      </c>
      <c r="P62" s="15"/>
      <c r="Q62" s="13">
        <v>15</v>
      </c>
      <c r="R62" s="18">
        <v>100000000</v>
      </c>
      <c r="S62" s="18" t="str" cm="1">
        <f t="array" ref="S62">_xlfn.IFS(LEFT(G62,1)="L","記載要",LEFT(G62,1)="W","記載要",G62="","")</f>
        <v/>
      </c>
      <c r="T62" s="2"/>
      <c r="U62" s="2"/>
      <c r="V62" s="2"/>
      <c r="W62" s="2"/>
      <c r="X62" s="2"/>
      <c r="Y62" s="2"/>
      <c r="Z62" s="2"/>
      <c r="AA62" s="13">
        <v>1</v>
      </c>
      <c r="AB62" s="13">
        <f t="shared" si="6"/>
        <v>0</v>
      </c>
      <c r="AC62" s="13">
        <f t="shared" si="7"/>
        <v>0</v>
      </c>
      <c r="AD62" s="15"/>
      <c r="AE62" s="15"/>
      <c r="AF62" s="13" t="str">
        <f t="shared" si="8"/>
        <v>1</v>
      </c>
      <c r="AG62" s="17"/>
      <c r="AH62" s="17"/>
      <c r="AI62" s="15"/>
      <c r="AJ62" s="14"/>
      <c r="AK62" s="15" cm="1">
        <f t="array" ref="AK62">_xlfn.IFS(B62="","",LEFT(G62,1)="L",1,LEFT(G62,1)="W",1,AND(LEFT(B62,1)="H",G62=""),0)</f>
        <v>0</v>
      </c>
      <c r="AL62" s="15"/>
      <c r="AM62" s="15"/>
      <c r="AN62" s="15"/>
      <c r="AO62" s="15"/>
      <c r="AP62" s="15"/>
      <c r="AQ62" s="15"/>
      <c r="AR62" s="15"/>
      <c r="AS62" s="15">
        <f t="shared" si="16"/>
        <v>1</v>
      </c>
      <c r="AT62" s="15" t="s">
        <v>115</v>
      </c>
      <c r="AU62" s="13" t="str">
        <f t="shared" si="9"/>
        <v>0</v>
      </c>
      <c r="AV62" s="15"/>
      <c r="AW62" s="15"/>
      <c r="AX62" s="15"/>
      <c r="AY62" s="15"/>
      <c r="AZ62" s="14"/>
      <c r="BA62" s="15"/>
      <c r="BB62" s="15"/>
      <c r="BC62" s="15"/>
      <c r="BD62" s="13" t="str">
        <f t="shared" si="10"/>
        <v>0</v>
      </c>
      <c r="BE62" s="2"/>
      <c r="BF62" s="2"/>
      <c r="BG62" s="2"/>
      <c r="BH62" s="2"/>
      <c r="BI62" s="2"/>
      <c r="BJ62" s="2"/>
      <c r="BK62" s="2" t="s">
        <v>340</v>
      </c>
      <c r="BL62" s="10"/>
      <c r="BM62" t="str" cm="1">
        <f t="array" ref="BM62">_xlfn.IFS(LEFT(G62,1)="L","外注品",LEFT(G62,1)="W","内製品",G62="","購買品")</f>
        <v>購買品</v>
      </c>
    </row>
    <row r="63" spans="1:65">
      <c r="A63" s="2" t="str">
        <f t="shared" si="0"/>
        <v>WG01</v>
      </c>
      <c r="B63" s="2" t="s">
        <v>192</v>
      </c>
      <c r="C63" s="2" t="s">
        <v>311</v>
      </c>
      <c r="D63" s="10" t="str">
        <f t="shared" si="27"/>
        <v>E385503_01</v>
      </c>
      <c r="E63" s="10">
        <f t="shared" si="28"/>
        <v>0</v>
      </c>
      <c r="F63" s="2"/>
      <c r="G63" s="3"/>
      <c r="H63" s="19" t="s">
        <v>350</v>
      </c>
      <c r="I63" s="2"/>
      <c r="J63" s="2"/>
      <c r="K63" s="2" t="str">
        <f t="shared" si="3"/>
        <v/>
      </c>
      <c r="L63" s="7" t="str">
        <f t="shared" si="60"/>
        <v>2001/01/01</v>
      </c>
      <c r="M63" s="7" t="str">
        <f t="shared" si="61"/>
        <v>2199/12/31</v>
      </c>
      <c r="N63" s="2" t="str">
        <f t="shared" si="15"/>
        <v/>
      </c>
      <c r="O63" s="13" t="str">
        <f t="shared" si="43"/>
        <v/>
      </c>
      <c r="P63" s="15"/>
      <c r="Q63" s="13">
        <v>15</v>
      </c>
      <c r="R63" s="18">
        <v>100000000</v>
      </c>
      <c r="S63" s="18" t="str" cm="1">
        <f t="array" ref="S63">_xlfn.IFS(LEFT(G63,1)="L","記載要",LEFT(G63,1)="W","記載要",G63="","")</f>
        <v/>
      </c>
      <c r="T63" s="2"/>
      <c r="U63" s="2"/>
      <c r="V63" s="2"/>
      <c r="W63" s="2"/>
      <c r="X63" s="2"/>
      <c r="Y63" s="2"/>
      <c r="Z63" s="2"/>
      <c r="AA63" s="13">
        <v>1</v>
      </c>
      <c r="AB63" s="13">
        <f t="shared" si="6"/>
        <v>0</v>
      </c>
      <c r="AC63" s="13">
        <f t="shared" si="7"/>
        <v>0</v>
      </c>
      <c r="AD63" s="15"/>
      <c r="AE63" s="15"/>
      <c r="AF63" s="13" t="str">
        <f t="shared" si="8"/>
        <v>1</v>
      </c>
      <c r="AG63" s="17"/>
      <c r="AH63" s="17"/>
      <c r="AI63" s="15"/>
      <c r="AJ63" s="14"/>
      <c r="AK63" s="15" cm="1">
        <f t="array" ref="AK63">_xlfn.IFS(B63="","",LEFT(G63,1)="L",1,LEFT(G63,1)="W",1,AND(LEFT(B63,1)="H",G63=""),0)</f>
        <v>0</v>
      </c>
      <c r="AL63" s="15"/>
      <c r="AM63" s="15"/>
      <c r="AN63" s="15"/>
      <c r="AO63" s="15"/>
      <c r="AP63" s="15"/>
      <c r="AQ63" s="15"/>
      <c r="AR63" s="15"/>
      <c r="AS63" s="15">
        <f t="shared" si="16"/>
        <v>1</v>
      </c>
      <c r="AT63" s="15" t="s">
        <v>115</v>
      </c>
      <c r="AU63" s="13" t="str">
        <f t="shared" si="9"/>
        <v>0</v>
      </c>
      <c r="AV63" s="15"/>
      <c r="AW63" s="15"/>
      <c r="AX63" s="15"/>
      <c r="AY63" s="15"/>
      <c r="AZ63" s="14"/>
      <c r="BA63" s="15"/>
      <c r="BB63" s="15"/>
      <c r="BC63" s="15"/>
      <c r="BD63" s="13" t="str">
        <f t="shared" si="10"/>
        <v>0</v>
      </c>
      <c r="BE63" s="2"/>
      <c r="BF63" s="2"/>
      <c r="BG63" s="2"/>
      <c r="BH63" s="2"/>
      <c r="BI63" s="2"/>
      <c r="BJ63" s="2"/>
      <c r="BK63" s="2" t="s">
        <v>340</v>
      </c>
      <c r="BL63" s="10"/>
      <c r="BM63" t="str" cm="1">
        <f t="array" ref="BM63">_xlfn.IFS(LEFT(G63,1)="L","外注品",LEFT(G63,1)="W","内製品",G63="","購買品")</f>
        <v>購買品</v>
      </c>
    </row>
    <row r="64" spans="1:65">
      <c r="A64" s="2" t="str">
        <f t="shared" si="0"/>
        <v>WG01</v>
      </c>
      <c r="B64" s="2" t="s">
        <v>193</v>
      </c>
      <c r="C64" s="2" t="s">
        <v>312</v>
      </c>
      <c r="D64" s="10" t="str">
        <f t="shared" si="27"/>
        <v>E385503_01</v>
      </c>
      <c r="E64" s="10">
        <f t="shared" si="28"/>
        <v>0</v>
      </c>
      <c r="F64" s="2"/>
      <c r="G64" s="3"/>
      <c r="H64" s="19" t="s">
        <v>350</v>
      </c>
      <c r="I64" s="2"/>
      <c r="J64" s="2"/>
      <c r="K64" s="2" t="str">
        <f t="shared" si="3"/>
        <v/>
      </c>
      <c r="L64" s="7" t="str">
        <f t="shared" si="60"/>
        <v>2001/01/01</v>
      </c>
      <c r="M64" s="7" t="str">
        <f t="shared" si="61"/>
        <v>2199/12/31</v>
      </c>
      <c r="N64" s="2" t="str">
        <f t="shared" si="15"/>
        <v/>
      </c>
      <c r="O64" s="13" t="str">
        <f t="shared" si="43"/>
        <v/>
      </c>
      <c r="P64" s="15"/>
      <c r="Q64" s="13">
        <v>15</v>
      </c>
      <c r="R64" s="18">
        <v>100000000</v>
      </c>
      <c r="S64" s="18" t="str" cm="1">
        <f t="array" ref="S64">_xlfn.IFS(LEFT(G64,1)="L","記載要",LEFT(G64,1)="W","記載要",G64="","")</f>
        <v/>
      </c>
      <c r="T64" s="2"/>
      <c r="U64" s="2"/>
      <c r="V64" s="2"/>
      <c r="W64" s="2"/>
      <c r="X64" s="2"/>
      <c r="Y64" s="2"/>
      <c r="Z64" s="2"/>
      <c r="AA64" s="13">
        <v>1</v>
      </c>
      <c r="AB64" s="13">
        <f t="shared" si="6"/>
        <v>0</v>
      </c>
      <c r="AC64" s="13">
        <f t="shared" si="7"/>
        <v>0</v>
      </c>
      <c r="AD64" s="15"/>
      <c r="AE64" s="15"/>
      <c r="AF64" s="13" t="str">
        <f t="shared" si="8"/>
        <v>1</v>
      </c>
      <c r="AG64" s="17"/>
      <c r="AH64" s="17"/>
      <c r="AI64" s="15"/>
      <c r="AJ64" s="14"/>
      <c r="AK64" s="15" cm="1">
        <f t="array" ref="AK64">_xlfn.IFS(B64="","",LEFT(G64,1)="L",1,LEFT(G64,1)="W",1,AND(LEFT(B64,1)="H",G64=""),0)</f>
        <v>0</v>
      </c>
      <c r="AL64" s="15"/>
      <c r="AM64" s="15"/>
      <c r="AN64" s="15"/>
      <c r="AO64" s="15"/>
      <c r="AP64" s="15"/>
      <c r="AQ64" s="15"/>
      <c r="AR64" s="15"/>
      <c r="AS64" s="15">
        <f t="shared" si="16"/>
        <v>1</v>
      </c>
      <c r="AT64" s="15" t="s">
        <v>115</v>
      </c>
      <c r="AU64" s="13" t="str">
        <f t="shared" si="9"/>
        <v>0</v>
      </c>
      <c r="AV64" s="15"/>
      <c r="AW64" s="15"/>
      <c r="AX64" s="15"/>
      <c r="AY64" s="15"/>
      <c r="AZ64" s="14"/>
      <c r="BA64" s="15"/>
      <c r="BB64" s="15"/>
      <c r="BC64" s="15"/>
      <c r="BD64" s="13" t="str">
        <f t="shared" si="10"/>
        <v>0</v>
      </c>
      <c r="BE64" s="2"/>
      <c r="BF64" s="2"/>
      <c r="BG64" s="2"/>
      <c r="BH64" s="2"/>
      <c r="BI64" s="2"/>
      <c r="BJ64" s="2"/>
      <c r="BK64" s="2" t="s">
        <v>340</v>
      </c>
      <c r="BL64" s="10"/>
      <c r="BM64" t="str" cm="1">
        <f t="array" ref="BM64">_xlfn.IFS(LEFT(G64,1)="L","外注品",LEFT(G64,1)="W","内製品",G64="","購買品")</f>
        <v>購買品</v>
      </c>
    </row>
    <row r="65" spans="1:65">
      <c r="A65" s="2" t="str">
        <f t="shared" si="0"/>
        <v>WG01</v>
      </c>
      <c r="B65" s="2" t="s">
        <v>194</v>
      </c>
      <c r="C65" s="2" t="s">
        <v>313</v>
      </c>
      <c r="D65" s="10" t="str">
        <f t="shared" si="27"/>
        <v>E385503_01</v>
      </c>
      <c r="E65" s="10">
        <f t="shared" si="28"/>
        <v>0</v>
      </c>
      <c r="F65" s="2"/>
      <c r="G65" s="3"/>
      <c r="H65" s="19" t="s">
        <v>350</v>
      </c>
      <c r="I65" s="2"/>
      <c r="J65" s="2"/>
      <c r="K65" s="2" t="str">
        <f t="shared" si="3"/>
        <v/>
      </c>
      <c r="L65" s="7" t="str">
        <f t="shared" si="60"/>
        <v>2001/01/01</v>
      </c>
      <c r="M65" s="7" t="str">
        <f t="shared" si="61"/>
        <v>2199/12/31</v>
      </c>
      <c r="N65" s="2" t="str">
        <f t="shared" si="15"/>
        <v/>
      </c>
      <c r="O65" s="13" t="str">
        <f t="shared" si="43"/>
        <v/>
      </c>
      <c r="P65" s="15"/>
      <c r="Q65" s="13">
        <v>15</v>
      </c>
      <c r="R65" s="18">
        <v>100000000</v>
      </c>
      <c r="S65" s="18" t="str" cm="1">
        <f t="array" ref="S65">_xlfn.IFS(LEFT(G65,1)="L","記載要",LEFT(G65,1)="W","記載要",G65="","")</f>
        <v/>
      </c>
      <c r="T65" s="2"/>
      <c r="U65" s="2"/>
      <c r="V65" s="2"/>
      <c r="W65" s="2"/>
      <c r="X65" s="2"/>
      <c r="Y65" s="2"/>
      <c r="Z65" s="2"/>
      <c r="AA65" s="13">
        <v>1</v>
      </c>
      <c r="AB65" s="13">
        <f t="shared" si="6"/>
        <v>0</v>
      </c>
      <c r="AC65" s="13">
        <f t="shared" si="7"/>
        <v>0</v>
      </c>
      <c r="AD65" s="15"/>
      <c r="AE65" s="15"/>
      <c r="AF65" s="13" t="str">
        <f t="shared" si="8"/>
        <v>1</v>
      </c>
      <c r="AG65" s="17"/>
      <c r="AH65" s="17"/>
      <c r="AI65" s="15"/>
      <c r="AJ65" s="14"/>
      <c r="AK65" s="15" cm="1">
        <f t="array" ref="AK65">_xlfn.IFS(B65="","",LEFT(G65,1)="L",1,LEFT(G65,1)="W",1,AND(LEFT(B65,1)="H",G65=""),0)</f>
        <v>0</v>
      </c>
      <c r="AL65" s="15"/>
      <c r="AM65" s="15"/>
      <c r="AN65" s="15"/>
      <c r="AO65" s="15"/>
      <c r="AP65" s="15"/>
      <c r="AQ65" s="15"/>
      <c r="AR65" s="15"/>
      <c r="AS65" s="15">
        <f t="shared" si="16"/>
        <v>1</v>
      </c>
      <c r="AT65" s="15" t="s">
        <v>115</v>
      </c>
      <c r="AU65" s="13" t="str">
        <f t="shared" si="9"/>
        <v>0</v>
      </c>
      <c r="AV65" s="15"/>
      <c r="AW65" s="15"/>
      <c r="AX65" s="15"/>
      <c r="AY65" s="15"/>
      <c r="AZ65" s="14"/>
      <c r="BA65" s="15"/>
      <c r="BB65" s="15"/>
      <c r="BC65" s="15"/>
      <c r="BD65" s="13" t="str">
        <f t="shared" si="10"/>
        <v>0</v>
      </c>
      <c r="BE65" s="2"/>
      <c r="BF65" s="2"/>
      <c r="BG65" s="2"/>
      <c r="BH65" s="2"/>
      <c r="BI65" s="2"/>
      <c r="BJ65" s="2"/>
      <c r="BK65" s="2" t="s">
        <v>340</v>
      </c>
      <c r="BL65" s="10"/>
      <c r="BM65" t="str" cm="1">
        <f t="array" ref="BM65">_xlfn.IFS(LEFT(G65,1)="L","外注品",LEFT(G65,1)="W","内製品",G65="","購買品")</f>
        <v>購買品</v>
      </c>
    </row>
    <row r="66" spans="1:65">
      <c r="A66" s="2" t="str">
        <f t="shared" si="0"/>
        <v>WG01</v>
      </c>
      <c r="B66" s="2" t="s">
        <v>195</v>
      </c>
      <c r="C66" s="2" t="s">
        <v>314</v>
      </c>
      <c r="D66" s="10" t="str">
        <f t="shared" si="27"/>
        <v>E385503_01</v>
      </c>
      <c r="E66" s="10">
        <f t="shared" si="28"/>
        <v>0</v>
      </c>
      <c r="F66" s="2"/>
      <c r="G66" s="3"/>
      <c r="H66" s="19" t="s">
        <v>350</v>
      </c>
      <c r="I66" s="2"/>
      <c r="J66" s="2"/>
      <c r="K66" s="2" t="str">
        <f t="shared" si="3"/>
        <v/>
      </c>
      <c r="L66" s="7" t="str">
        <f t="shared" si="60"/>
        <v>2001/01/01</v>
      </c>
      <c r="M66" s="7" t="str">
        <f t="shared" si="61"/>
        <v>2199/12/31</v>
      </c>
      <c r="N66" s="2" t="str">
        <f t="shared" si="15"/>
        <v/>
      </c>
      <c r="O66" s="13" t="str">
        <f t="shared" si="43"/>
        <v/>
      </c>
      <c r="P66" s="15"/>
      <c r="Q66" s="13">
        <v>15</v>
      </c>
      <c r="R66" s="18">
        <v>100000000</v>
      </c>
      <c r="S66" s="18" t="str" cm="1">
        <f t="array" ref="S66">_xlfn.IFS(LEFT(G66,1)="L","記載要",LEFT(G66,1)="W","記載要",G66="","")</f>
        <v/>
      </c>
      <c r="T66" s="2"/>
      <c r="U66" s="2"/>
      <c r="V66" s="2"/>
      <c r="W66" s="2"/>
      <c r="X66" s="2"/>
      <c r="Y66" s="2"/>
      <c r="Z66" s="2"/>
      <c r="AA66" s="13">
        <v>1</v>
      </c>
      <c r="AB66" s="13">
        <f t="shared" si="6"/>
        <v>0</v>
      </c>
      <c r="AC66" s="13">
        <f t="shared" si="7"/>
        <v>0</v>
      </c>
      <c r="AD66" s="15"/>
      <c r="AE66" s="15"/>
      <c r="AF66" s="13" t="str">
        <f t="shared" si="8"/>
        <v>1</v>
      </c>
      <c r="AG66" s="17"/>
      <c r="AH66" s="17"/>
      <c r="AI66" s="15"/>
      <c r="AJ66" s="14"/>
      <c r="AK66" s="15" cm="1">
        <f t="array" ref="AK66">_xlfn.IFS(B66="","",LEFT(G66,1)="L",1,LEFT(G66,1)="W",1,AND(LEFT(B66,1)="H",G66=""),0)</f>
        <v>0</v>
      </c>
      <c r="AL66" s="15"/>
      <c r="AM66" s="15"/>
      <c r="AN66" s="15"/>
      <c r="AO66" s="15"/>
      <c r="AP66" s="15"/>
      <c r="AQ66" s="15"/>
      <c r="AR66" s="15"/>
      <c r="AS66" s="15">
        <f t="shared" si="16"/>
        <v>1</v>
      </c>
      <c r="AT66" s="15" t="s">
        <v>115</v>
      </c>
      <c r="AU66" s="13" t="str">
        <f t="shared" si="9"/>
        <v>0</v>
      </c>
      <c r="AV66" s="15"/>
      <c r="AW66" s="15"/>
      <c r="AX66" s="15"/>
      <c r="AY66" s="15"/>
      <c r="AZ66" s="14"/>
      <c r="BA66" s="15"/>
      <c r="BB66" s="15"/>
      <c r="BC66" s="15"/>
      <c r="BD66" s="13" t="str">
        <f t="shared" si="10"/>
        <v>0</v>
      </c>
      <c r="BE66" s="2"/>
      <c r="BF66" s="2"/>
      <c r="BG66" s="2"/>
      <c r="BH66" s="2"/>
      <c r="BI66" s="2"/>
      <c r="BJ66" s="2"/>
      <c r="BK66" s="2" t="s">
        <v>340</v>
      </c>
      <c r="BL66" s="10"/>
      <c r="BM66" t="str" cm="1">
        <f t="array" ref="BM66">_xlfn.IFS(LEFT(G66,1)="L","外注品",LEFT(G66,1)="W","内製品",G66="","購買品")</f>
        <v>購買品</v>
      </c>
    </row>
    <row r="67" spans="1:65">
      <c r="A67" s="2" t="str">
        <f t="shared" si="0"/>
        <v>WG01</v>
      </c>
      <c r="B67" s="2" t="s">
        <v>196</v>
      </c>
      <c r="C67" s="2" t="s">
        <v>315</v>
      </c>
      <c r="D67" s="10" t="str">
        <f t="shared" si="27"/>
        <v>E385503_01</v>
      </c>
      <c r="E67" s="10">
        <f t="shared" si="28"/>
        <v>0</v>
      </c>
      <c r="F67" s="2"/>
      <c r="G67" s="3"/>
      <c r="H67" s="19" t="s">
        <v>350</v>
      </c>
      <c r="I67" s="2"/>
      <c r="J67" s="2"/>
      <c r="K67" s="2" t="str">
        <f t="shared" si="3"/>
        <v/>
      </c>
      <c r="L67" s="7" t="str">
        <f t="shared" si="60"/>
        <v>2001/01/01</v>
      </c>
      <c r="M67" s="7" t="str">
        <f t="shared" si="61"/>
        <v>2199/12/31</v>
      </c>
      <c r="N67" s="2" t="str">
        <f t="shared" si="15"/>
        <v/>
      </c>
      <c r="O67" s="13" t="str">
        <f t="shared" si="43"/>
        <v/>
      </c>
      <c r="P67" s="15"/>
      <c r="Q67" s="13">
        <v>15</v>
      </c>
      <c r="R67" s="18">
        <v>100000000</v>
      </c>
      <c r="S67" s="18" t="str" cm="1">
        <f t="array" ref="S67">_xlfn.IFS(LEFT(G67,1)="L","記載要",LEFT(G67,1)="W","記載要",G67="","")</f>
        <v/>
      </c>
      <c r="T67" s="2"/>
      <c r="U67" s="2"/>
      <c r="V67" s="2"/>
      <c r="W67" s="2"/>
      <c r="X67" s="2"/>
      <c r="Y67" s="2"/>
      <c r="Z67" s="2"/>
      <c r="AA67" s="13">
        <v>1</v>
      </c>
      <c r="AB67" s="13">
        <f t="shared" si="6"/>
        <v>0</v>
      </c>
      <c r="AC67" s="13">
        <f t="shared" si="7"/>
        <v>0</v>
      </c>
      <c r="AD67" s="15"/>
      <c r="AE67" s="15"/>
      <c r="AF67" s="13" t="str">
        <f t="shared" si="8"/>
        <v>1</v>
      </c>
      <c r="AG67" s="17"/>
      <c r="AH67" s="17"/>
      <c r="AI67" s="15"/>
      <c r="AJ67" s="14"/>
      <c r="AK67" s="15" cm="1">
        <f t="array" ref="AK67">_xlfn.IFS(B67="","",LEFT(G67,1)="L",1,LEFT(G67,1)="W",1,AND(LEFT(B67,1)="H",G67=""),0)</f>
        <v>0</v>
      </c>
      <c r="AL67" s="15"/>
      <c r="AM67" s="15"/>
      <c r="AN67" s="15"/>
      <c r="AO67" s="15"/>
      <c r="AP67" s="15"/>
      <c r="AQ67" s="15"/>
      <c r="AR67" s="15"/>
      <c r="AS67" s="15">
        <f t="shared" si="16"/>
        <v>1</v>
      </c>
      <c r="AT67" s="15" t="s">
        <v>115</v>
      </c>
      <c r="AU67" s="13" t="str">
        <f t="shared" si="9"/>
        <v>0</v>
      </c>
      <c r="AV67" s="15"/>
      <c r="AW67" s="15"/>
      <c r="AX67" s="15"/>
      <c r="AY67" s="15"/>
      <c r="AZ67" s="14"/>
      <c r="BA67" s="15"/>
      <c r="BB67" s="15"/>
      <c r="BC67" s="15"/>
      <c r="BD67" s="13" t="str">
        <f t="shared" si="10"/>
        <v>0</v>
      </c>
      <c r="BE67" s="2"/>
      <c r="BF67" s="2"/>
      <c r="BG67" s="2"/>
      <c r="BH67" s="2"/>
      <c r="BI67" s="2"/>
      <c r="BJ67" s="2"/>
      <c r="BK67" s="2" t="s">
        <v>340</v>
      </c>
      <c r="BL67" s="10"/>
      <c r="BM67" t="str" cm="1">
        <f t="array" ref="BM67">_xlfn.IFS(LEFT(G67,1)="L","外注品",LEFT(G67,1)="W","内製品",G67="","購買品")</f>
        <v>購買品</v>
      </c>
    </row>
    <row r="68" spans="1:65">
      <c r="A68" s="2" t="str">
        <f t="shared" si="0"/>
        <v>WG01</v>
      </c>
      <c r="B68" s="2" t="s">
        <v>197</v>
      </c>
      <c r="C68" s="2" t="s">
        <v>316</v>
      </c>
      <c r="D68" s="10" t="str">
        <f t="shared" si="27"/>
        <v>E385503_01</v>
      </c>
      <c r="E68" s="10">
        <f t="shared" si="28"/>
        <v>0</v>
      </c>
      <c r="F68" s="2"/>
      <c r="G68" s="3"/>
      <c r="H68" s="19" t="s">
        <v>350</v>
      </c>
      <c r="I68" s="2"/>
      <c r="J68" s="2"/>
      <c r="K68" s="2" t="str">
        <f t="shared" si="3"/>
        <v/>
      </c>
      <c r="L68" s="7" t="str">
        <f t="shared" si="60"/>
        <v>2001/01/01</v>
      </c>
      <c r="M68" s="7" t="str">
        <f t="shared" si="61"/>
        <v>2199/12/31</v>
      </c>
      <c r="N68" s="2" t="str">
        <f t="shared" si="15"/>
        <v/>
      </c>
      <c r="O68" s="13" t="str">
        <f t="shared" si="43"/>
        <v/>
      </c>
      <c r="P68" s="15"/>
      <c r="Q68" s="13">
        <v>15</v>
      </c>
      <c r="R68" s="18">
        <v>100000000</v>
      </c>
      <c r="S68" s="18" t="str" cm="1">
        <f t="array" ref="S68">_xlfn.IFS(LEFT(G68,1)="L","記載要",LEFT(G68,1)="W","記載要",G68="","")</f>
        <v/>
      </c>
      <c r="T68" s="2"/>
      <c r="U68" s="2"/>
      <c r="V68" s="2"/>
      <c r="W68" s="2"/>
      <c r="X68" s="2"/>
      <c r="Y68" s="2"/>
      <c r="Z68" s="2"/>
      <c r="AA68" s="13">
        <v>1</v>
      </c>
      <c r="AB68" s="13">
        <f t="shared" si="6"/>
        <v>0</v>
      </c>
      <c r="AC68" s="13">
        <f t="shared" si="7"/>
        <v>0</v>
      </c>
      <c r="AD68" s="15"/>
      <c r="AE68" s="15"/>
      <c r="AF68" s="13" t="str">
        <f t="shared" si="8"/>
        <v>1</v>
      </c>
      <c r="AG68" s="17"/>
      <c r="AH68" s="17"/>
      <c r="AI68" s="15"/>
      <c r="AJ68" s="14"/>
      <c r="AK68" s="15" cm="1">
        <f t="array" ref="AK68">_xlfn.IFS(B68="","",LEFT(G68,1)="L",1,LEFT(G68,1)="W",1,AND(LEFT(B68,1)="H",G68=""),0)</f>
        <v>0</v>
      </c>
      <c r="AL68" s="15"/>
      <c r="AM68" s="15"/>
      <c r="AN68" s="15"/>
      <c r="AO68" s="15"/>
      <c r="AP68" s="15"/>
      <c r="AQ68" s="15"/>
      <c r="AR68" s="15"/>
      <c r="AS68" s="15">
        <f t="shared" si="16"/>
        <v>1</v>
      </c>
      <c r="AT68" s="15" t="s">
        <v>115</v>
      </c>
      <c r="AU68" s="13" t="str">
        <f t="shared" si="9"/>
        <v>0</v>
      </c>
      <c r="AV68" s="15"/>
      <c r="AW68" s="15"/>
      <c r="AX68" s="15"/>
      <c r="AY68" s="15"/>
      <c r="AZ68" s="14"/>
      <c r="BA68" s="15"/>
      <c r="BB68" s="15"/>
      <c r="BC68" s="15"/>
      <c r="BD68" s="13" t="str">
        <f t="shared" si="10"/>
        <v>0</v>
      </c>
      <c r="BE68" s="2"/>
      <c r="BF68" s="2"/>
      <c r="BG68" s="2"/>
      <c r="BH68" s="2"/>
      <c r="BI68" s="2"/>
      <c r="BJ68" s="2"/>
      <c r="BK68" s="2" t="s">
        <v>340</v>
      </c>
      <c r="BL68" s="10"/>
      <c r="BM68" t="str" cm="1">
        <f t="array" ref="BM68">_xlfn.IFS(LEFT(G68,1)="L","外注品",LEFT(G68,1)="W","内製品",G68="","購買品")</f>
        <v>購買品</v>
      </c>
    </row>
    <row r="69" spans="1:65">
      <c r="A69" s="2" t="str">
        <f t="shared" si="0"/>
        <v>WG01</v>
      </c>
      <c r="B69" s="2" t="s">
        <v>198</v>
      </c>
      <c r="C69" s="2" t="s">
        <v>317</v>
      </c>
      <c r="D69" s="10" t="str">
        <f t="shared" si="27"/>
        <v>E385503_01</v>
      </c>
      <c r="E69" s="10">
        <f t="shared" si="28"/>
        <v>0</v>
      </c>
      <c r="F69" s="2"/>
      <c r="G69" s="3"/>
      <c r="H69" s="19" t="s">
        <v>350</v>
      </c>
      <c r="I69" s="2"/>
      <c r="J69" s="2"/>
      <c r="K69" s="2" t="str">
        <f t="shared" si="3"/>
        <v/>
      </c>
      <c r="L69" s="7" t="str">
        <f t="shared" si="60"/>
        <v>2001/01/01</v>
      </c>
      <c r="M69" s="7" t="str">
        <f t="shared" si="61"/>
        <v>2199/12/31</v>
      </c>
      <c r="N69" s="2" t="str">
        <f t="shared" si="15"/>
        <v/>
      </c>
      <c r="O69" s="13" t="str">
        <f t="shared" si="43"/>
        <v/>
      </c>
      <c r="P69" s="15"/>
      <c r="Q69" s="13">
        <v>15</v>
      </c>
      <c r="R69" s="18">
        <v>100000000</v>
      </c>
      <c r="S69" s="18" t="str" cm="1">
        <f t="array" ref="S69">_xlfn.IFS(LEFT(G69,1)="L","記載要",LEFT(G69,1)="W","記載要",G69="","")</f>
        <v/>
      </c>
      <c r="T69" s="2"/>
      <c r="U69" s="2"/>
      <c r="V69" s="2"/>
      <c r="W69" s="2"/>
      <c r="X69" s="2"/>
      <c r="Y69" s="2"/>
      <c r="Z69" s="2"/>
      <c r="AA69" s="13">
        <v>1</v>
      </c>
      <c r="AB69" s="13">
        <f t="shared" si="6"/>
        <v>0</v>
      </c>
      <c r="AC69" s="13">
        <f t="shared" si="7"/>
        <v>0</v>
      </c>
      <c r="AD69" s="15"/>
      <c r="AE69" s="15"/>
      <c r="AF69" s="13" t="str">
        <f t="shared" si="8"/>
        <v>1</v>
      </c>
      <c r="AG69" s="17"/>
      <c r="AH69" s="17"/>
      <c r="AI69" s="15"/>
      <c r="AJ69" s="14"/>
      <c r="AK69" s="15" cm="1">
        <f t="array" ref="AK69">_xlfn.IFS(B69="","",LEFT(G69,1)="L",1,LEFT(G69,1)="W",1,AND(LEFT(B69,1)="H",G69=""),0)</f>
        <v>0</v>
      </c>
      <c r="AL69" s="15"/>
      <c r="AM69" s="15"/>
      <c r="AN69" s="15"/>
      <c r="AO69" s="15"/>
      <c r="AP69" s="15"/>
      <c r="AQ69" s="15"/>
      <c r="AR69" s="15"/>
      <c r="AS69" s="15">
        <f t="shared" si="16"/>
        <v>1</v>
      </c>
      <c r="AT69" s="15" t="s">
        <v>115</v>
      </c>
      <c r="AU69" s="13" t="str">
        <f t="shared" si="9"/>
        <v>0</v>
      </c>
      <c r="AV69" s="15"/>
      <c r="AW69" s="15"/>
      <c r="AX69" s="15"/>
      <c r="AY69" s="15"/>
      <c r="AZ69" s="14"/>
      <c r="BA69" s="15"/>
      <c r="BB69" s="15"/>
      <c r="BC69" s="15"/>
      <c r="BD69" s="13" t="str">
        <f t="shared" si="10"/>
        <v>0</v>
      </c>
      <c r="BE69" s="2"/>
      <c r="BF69" s="2"/>
      <c r="BG69" s="2"/>
      <c r="BH69" s="2"/>
      <c r="BI69" s="2"/>
      <c r="BJ69" s="2"/>
      <c r="BK69" s="2" t="s">
        <v>340</v>
      </c>
      <c r="BL69" s="10"/>
      <c r="BM69" t="str" cm="1">
        <f t="array" ref="BM69">_xlfn.IFS(LEFT(G69,1)="L","外注品",LEFT(G69,1)="W","内製品",G69="","購買品")</f>
        <v>購買品</v>
      </c>
    </row>
    <row r="70" spans="1:65">
      <c r="A70" s="2" t="str">
        <f t="shared" si="0"/>
        <v>WG01</v>
      </c>
      <c r="B70" s="2" t="s">
        <v>199</v>
      </c>
      <c r="C70" s="2" t="s">
        <v>318</v>
      </c>
      <c r="D70" s="10" t="str">
        <f t="shared" si="27"/>
        <v>E385503_01</v>
      </c>
      <c r="E70" s="10">
        <f t="shared" si="28"/>
        <v>0</v>
      </c>
      <c r="F70" s="2"/>
      <c r="G70" s="3"/>
      <c r="H70" s="19" t="s">
        <v>350</v>
      </c>
      <c r="I70" s="2"/>
      <c r="J70" s="2"/>
      <c r="K70" s="2" t="str">
        <f t="shared" si="3"/>
        <v/>
      </c>
      <c r="L70" s="7" t="str">
        <f t="shared" si="60"/>
        <v>2001/01/01</v>
      </c>
      <c r="M70" s="7" t="str">
        <f t="shared" si="61"/>
        <v>2199/12/31</v>
      </c>
      <c r="N70" s="2" t="str">
        <f t="shared" si="15"/>
        <v/>
      </c>
      <c r="O70" s="13" t="str">
        <f t="shared" si="43"/>
        <v/>
      </c>
      <c r="P70" s="15"/>
      <c r="Q70" s="13">
        <v>15</v>
      </c>
      <c r="R70" s="18">
        <v>100000000</v>
      </c>
      <c r="S70" s="18" t="str" cm="1">
        <f t="array" ref="S70">_xlfn.IFS(LEFT(G70,1)="L","記載要",LEFT(G70,1)="W","記載要",G70="","")</f>
        <v/>
      </c>
      <c r="T70" s="2"/>
      <c r="U70" s="2"/>
      <c r="V70" s="2"/>
      <c r="W70" s="2"/>
      <c r="X70" s="2"/>
      <c r="Y70" s="2"/>
      <c r="Z70" s="2"/>
      <c r="AA70" s="13">
        <v>1</v>
      </c>
      <c r="AB70" s="13">
        <f t="shared" si="6"/>
        <v>0</v>
      </c>
      <c r="AC70" s="13">
        <f t="shared" si="7"/>
        <v>0</v>
      </c>
      <c r="AD70" s="15"/>
      <c r="AE70" s="15"/>
      <c r="AF70" s="13" t="str">
        <f t="shared" si="8"/>
        <v>1</v>
      </c>
      <c r="AG70" s="17"/>
      <c r="AH70" s="17"/>
      <c r="AI70" s="15"/>
      <c r="AJ70" s="14"/>
      <c r="AK70" s="15" cm="1">
        <f t="array" ref="AK70">_xlfn.IFS(B70="","",LEFT(G70,1)="L",1,LEFT(G70,1)="W",1,AND(LEFT(B70,1)="H",G70=""),0)</f>
        <v>0</v>
      </c>
      <c r="AL70" s="15"/>
      <c r="AM70" s="15"/>
      <c r="AN70" s="15"/>
      <c r="AO70" s="15"/>
      <c r="AP70" s="15"/>
      <c r="AQ70" s="15"/>
      <c r="AR70" s="15"/>
      <c r="AS70" s="15">
        <f t="shared" si="16"/>
        <v>1</v>
      </c>
      <c r="AT70" s="15" t="s">
        <v>115</v>
      </c>
      <c r="AU70" s="13" t="str">
        <f t="shared" si="9"/>
        <v>0</v>
      </c>
      <c r="AV70" s="15"/>
      <c r="AW70" s="15"/>
      <c r="AX70" s="15"/>
      <c r="AY70" s="15"/>
      <c r="AZ70" s="14"/>
      <c r="BA70" s="15"/>
      <c r="BB70" s="15"/>
      <c r="BC70" s="15"/>
      <c r="BD70" s="13" t="str">
        <f t="shared" si="10"/>
        <v>0</v>
      </c>
      <c r="BE70" s="2"/>
      <c r="BF70" s="2"/>
      <c r="BG70" s="2"/>
      <c r="BH70" s="2"/>
      <c r="BI70" s="2"/>
      <c r="BJ70" s="2"/>
      <c r="BK70" s="2" t="s">
        <v>340</v>
      </c>
      <c r="BL70" s="10"/>
      <c r="BM70" t="str" cm="1">
        <f t="array" ref="BM70">_xlfn.IFS(LEFT(G70,1)="L","外注品",LEFT(G70,1)="W","内製品",G70="","購買品")</f>
        <v>購買品</v>
      </c>
    </row>
    <row r="71" spans="1:65">
      <c r="A71" s="2" t="str">
        <f t="shared" si="0"/>
        <v>WG01</v>
      </c>
      <c r="B71" s="2" t="s">
        <v>200</v>
      </c>
      <c r="C71" s="2" t="s">
        <v>319</v>
      </c>
      <c r="D71" s="10" t="str">
        <f t="shared" si="27"/>
        <v>E385503_01</v>
      </c>
      <c r="E71" s="10">
        <f t="shared" si="28"/>
        <v>0</v>
      </c>
      <c r="F71" s="2"/>
      <c r="G71" s="3"/>
      <c r="H71" s="19" t="s">
        <v>350</v>
      </c>
      <c r="I71" s="2"/>
      <c r="J71" s="2"/>
      <c r="K71" s="2" t="str">
        <f t="shared" si="3"/>
        <v/>
      </c>
      <c r="L71" s="7" t="str">
        <f t="shared" si="60"/>
        <v>2001/01/01</v>
      </c>
      <c r="M71" s="7" t="str">
        <f t="shared" si="61"/>
        <v>2199/12/31</v>
      </c>
      <c r="N71" s="2" t="str">
        <f t="shared" si="15"/>
        <v/>
      </c>
      <c r="O71" s="13" t="str">
        <f t="shared" si="43"/>
        <v/>
      </c>
      <c r="P71" s="15"/>
      <c r="Q71" s="13">
        <v>15</v>
      </c>
      <c r="R71" s="18">
        <v>100000000</v>
      </c>
      <c r="S71" s="18" t="str" cm="1">
        <f t="array" ref="S71">_xlfn.IFS(LEFT(G71,1)="L","記載要",LEFT(G71,1)="W","記載要",G71="","")</f>
        <v/>
      </c>
      <c r="T71" s="2"/>
      <c r="U71" s="2"/>
      <c r="V71" s="2"/>
      <c r="W71" s="2"/>
      <c r="X71" s="2"/>
      <c r="Y71" s="2"/>
      <c r="Z71" s="2"/>
      <c r="AA71" s="13">
        <v>1</v>
      </c>
      <c r="AB71" s="13">
        <f t="shared" si="6"/>
        <v>0</v>
      </c>
      <c r="AC71" s="13">
        <f t="shared" si="7"/>
        <v>0</v>
      </c>
      <c r="AD71" s="15"/>
      <c r="AE71" s="15"/>
      <c r="AF71" s="13" t="str">
        <f t="shared" si="8"/>
        <v>1</v>
      </c>
      <c r="AG71" s="17"/>
      <c r="AH71" s="17"/>
      <c r="AI71" s="15"/>
      <c r="AJ71" s="14"/>
      <c r="AK71" s="15" cm="1">
        <f t="array" ref="AK71">_xlfn.IFS(B71="","",LEFT(G71,1)="L",1,LEFT(G71,1)="W",1,AND(LEFT(B71,1)="H",G71=""),0)</f>
        <v>0</v>
      </c>
      <c r="AL71" s="15"/>
      <c r="AM71" s="15"/>
      <c r="AN71" s="15"/>
      <c r="AO71" s="15"/>
      <c r="AP71" s="15"/>
      <c r="AQ71" s="15"/>
      <c r="AR71" s="15"/>
      <c r="AS71" s="15">
        <f t="shared" si="16"/>
        <v>1</v>
      </c>
      <c r="AT71" s="15" t="s">
        <v>115</v>
      </c>
      <c r="AU71" s="13" t="str">
        <f t="shared" si="9"/>
        <v>0</v>
      </c>
      <c r="AV71" s="15"/>
      <c r="AW71" s="15"/>
      <c r="AX71" s="15"/>
      <c r="AY71" s="15"/>
      <c r="AZ71" s="14"/>
      <c r="BA71" s="15"/>
      <c r="BB71" s="15"/>
      <c r="BC71" s="15"/>
      <c r="BD71" s="13" t="str">
        <f t="shared" si="10"/>
        <v>0</v>
      </c>
      <c r="BE71" s="2"/>
      <c r="BF71" s="2"/>
      <c r="BG71" s="2"/>
      <c r="BH71" s="2"/>
      <c r="BI71" s="2"/>
      <c r="BJ71" s="2"/>
      <c r="BK71" s="2" t="s">
        <v>340</v>
      </c>
      <c r="BL71" s="10"/>
      <c r="BM71" t="str" cm="1">
        <f t="array" ref="BM71">_xlfn.IFS(LEFT(G71,1)="L","外注品",LEFT(G71,1)="W","内製品",G71="","購買品")</f>
        <v>購買品</v>
      </c>
    </row>
    <row r="72" spans="1:65">
      <c r="A72" s="2" t="str">
        <f t="shared" si="0"/>
        <v>WG01</v>
      </c>
      <c r="B72" s="2" t="s">
        <v>201</v>
      </c>
      <c r="C72" s="2" t="s">
        <v>275</v>
      </c>
      <c r="D72" s="10" t="str">
        <f t="shared" si="27"/>
        <v>E385503_01</v>
      </c>
      <c r="E72" s="10">
        <f t="shared" si="28"/>
        <v>0</v>
      </c>
      <c r="F72" s="2"/>
      <c r="G72" s="3"/>
      <c r="H72" s="19" t="s">
        <v>350</v>
      </c>
      <c r="I72" s="2"/>
      <c r="J72" s="2"/>
      <c r="K72" s="2" t="str">
        <f t="shared" si="3"/>
        <v/>
      </c>
      <c r="L72" s="7" t="str">
        <f t="shared" si="60"/>
        <v>2001/01/01</v>
      </c>
      <c r="M72" s="7" t="str">
        <f t="shared" si="61"/>
        <v>2199/12/31</v>
      </c>
      <c r="N72" s="2" t="str">
        <f t="shared" si="15"/>
        <v/>
      </c>
      <c r="O72" s="13" t="str">
        <f t="shared" si="43"/>
        <v/>
      </c>
      <c r="P72" s="15"/>
      <c r="Q72" s="13">
        <v>15</v>
      </c>
      <c r="R72" s="18">
        <v>100000000</v>
      </c>
      <c r="S72" s="18" t="str" cm="1">
        <f t="array" ref="S72">_xlfn.IFS(LEFT(G72,1)="L","記載要",LEFT(G72,1)="W","記載要",G72="","")</f>
        <v/>
      </c>
      <c r="T72" s="2"/>
      <c r="U72" s="2"/>
      <c r="V72" s="2"/>
      <c r="W72" s="2"/>
      <c r="X72" s="2"/>
      <c r="Y72" s="2"/>
      <c r="Z72" s="2"/>
      <c r="AA72" s="13">
        <v>1</v>
      </c>
      <c r="AB72" s="13">
        <f t="shared" si="6"/>
        <v>0</v>
      </c>
      <c r="AC72" s="13">
        <f t="shared" si="7"/>
        <v>0</v>
      </c>
      <c r="AD72" s="15"/>
      <c r="AE72" s="15"/>
      <c r="AF72" s="13" t="str">
        <f t="shared" si="8"/>
        <v>1</v>
      </c>
      <c r="AG72" s="17"/>
      <c r="AH72" s="17"/>
      <c r="AI72" s="15"/>
      <c r="AJ72" s="14"/>
      <c r="AK72" s="15" cm="1">
        <f t="array" ref="AK72">_xlfn.IFS(B72="","",LEFT(G72,1)="L",1,LEFT(G72,1)="W",1,AND(LEFT(B72,1)="H",G72=""),0)</f>
        <v>0</v>
      </c>
      <c r="AL72" s="15"/>
      <c r="AM72" s="15"/>
      <c r="AN72" s="15"/>
      <c r="AO72" s="15"/>
      <c r="AP72" s="15"/>
      <c r="AQ72" s="15"/>
      <c r="AR72" s="15"/>
      <c r="AS72" s="15">
        <f t="shared" si="16"/>
        <v>1</v>
      </c>
      <c r="AT72" s="15" t="s">
        <v>115</v>
      </c>
      <c r="AU72" s="13" t="str">
        <f t="shared" si="9"/>
        <v>0</v>
      </c>
      <c r="AV72" s="15"/>
      <c r="AW72" s="15"/>
      <c r="AX72" s="15"/>
      <c r="AY72" s="15"/>
      <c r="AZ72" s="14"/>
      <c r="BA72" s="15"/>
      <c r="BB72" s="15"/>
      <c r="BC72" s="15"/>
      <c r="BD72" s="13" t="str">
        <f t="shared" si="10"/>
        <v>0</v>
      </c>
      <c r="BE72" s="2"/>
      <c r="BF72" s="2"/>
      <c r="BG72" s="2"/>
      <c r="BH72" s="2"/>
      <c r="BI72" s="2"/>
      <c r="BJ72" s="2"/>
      <c r="BK72" s="2" t="s">
        <v>340</v>
      </c>
      <c r="BL72" s="10"/>
      <c r="BM72" t="str" cm="1">
        <f t="array" ref="BM72">_xlfn.IFS(LEFT(G72,1)="L","外注品",LEFT(G72,1)="W","内製品",G72="","購買品")</f>
        <v>購買品</v>
      </c>
    </row>
    <row r="73" spans="1:65">
      <c r="A73" s="2" t="str">
        <f t="shared" si="0"/>
        <v>WG01</v>
      </c>
      <c r="B73" s="2" t="s">
        <v>202</v>
      </c>
      <c r="C73" s="2" t="s">
        <v>276</v>
      </c>
      <c r="D73" s="10" t="str">
        <f t="shared" si="27"/>
        <v>E385503_01</v>
      </c>
      <c r="E73" s="10">
        <f t="shared" si="28"/>
        <v>0</v>
      </c>
      <c r="F73" s="2"/>
      <c r="G73" s="3"/>
      <c r="H73" s="19" t="s">
        <v>350</v>
      </c>
      <c r="I73" s="2"/>
      <c r="J73" s="2"/>
      <c r="K73" s="2" t="str">
        <f t="shared" ref="K73:K136" si="62">IF(G73="","","11"&amp;G73&amp;RIGHT(B73,5))</f>
        <v/>
      </c>
      <c r="L73" s="7" t="str">
        <f t="shared" si="60"/>
        <v>2001/01/01</v>
      </c>
      <c r="M73" s="7" t="str">
        <f t="shared" si="61"/>
        <v>2199/12/31</v>
      </c>
      <c r="N73" s="2" t="str">
        <f t="shared" si="15"/>
        <v/>
      </c>
      <c r="O73" s="13" t="str">
        <f t="shared" si="43"/>
        <v/>
      </c>
      <c r="P73" s="15"/>
      <c r="Q73" s="13">
        <v>15</v>
      </c>
      <c r="R73" s="18">
        <v>100000000</v>
      </c>
      <c r="S73" s="18" t="str" cm="1">
        <f t="array" ref="S73">_xlfn.IFS(LEFT(G73,1)="L","記載要",LEFT(G73,1)="W","記載要",G73="","")</f>
        <v/>
      </c>
      <c r="T73" s="2"/>
      <c r="U73" s="2"/>
      <c r="V73" s="2"/>
      <c r="W73" s="2"/>
      <c r="X73" s="2"/>
      <c r="Y73" s="2"/>
      <c r="Z73" s="2"/>
      <c r="AA73" s="13">
        <v>1</v>
      </c>
      <c r="AB73" s="13">
        <f t="shared" ref="AB73:AB136" si="63">IF(B73="","",0)</f>
        <v>0</v>
      </c>
      <c r="AC73" s="13">
        <f t="shared" ref="AC73:AC136" si="64">IF(B73="","",0)</f>
        <v>0</v>
      </c>
      <c r="AD73" s="15"/>
      <c r="AE73" s="15"/>
      <c r="AF73" s="13" t="str">
        <f t="shared" ref="AF73:AF136" si="65">IF(B73="","","1")</f>
        <v>1</v>
      </c>
      <c r="AG73" s="17"/>
      <c r="AH73" s="17"/>
      <c r="AI73" s="15"/>
      <c r="AJ73" s="14"/>
      <c r="AK73" s="15" cm="1">
        <f t="array" ref="AK73">_xlfn.IFS(B73="","",LEFT(G73,1)="L",1,LEFT(G73,1)="W",1,AND(LEFT(B73,1)="H",G73=""),0)</f>
        <v>0</v>
      </c>
      <c r="AL73" s="15"/>
      <c r="AM73" s="15"/>
      <c r="AN73" s="15"/>
      <c r="AO73" s="15"/>
      <c r="AP73" s="15"/>
      <c r="AQ73" s="15"/>
      <c r="AR73" s="15"/>
      <c r="AS73" s="15">
        <f t="shared" si="16"/>
        <v>1</v>
      </c>
      <c r="AT73" s="15" t="s">
        <v>115</v>
      </c>
      <c r="AU73" s="13" t="str">
        <f t="shared" ref="AU73:AU136" si="66">IF(B73="","","0")</f>
        <v>0</v>
      </c>
      <c r="AV73" s="15"/>
      <c r="AW73" s="15"/>
      <c r="AX73" s="15"/>
      <c r="AY73" s="15"/>
      <c r="AZ73" s="14"/>
      <c r="BA73" s="15"/>
      <c r="BB73" s="15"/>
      <c r="BC73" s="15"/>
      <c r="BD73" s="13" t="str">
        <f t="shared" ref="BD73:BD136" si="67">IF(B73="","","0")</f>
        <v>0</v>
      </c>
      <c r="BE73" s="2"/>
      <c r="BF73" s="2"/>
      <c r="BG73" s="2"/>
      <c r="BH73" s="2"/>
      <c r="BI73" s="2"/>
      <c r="BJ73" s="2"/>
      <c r="BK73" s="2" t="s">
        <v>340</v>
      </c>
      <c r="BL73" s="10"/>
      <c r="BM73" t="str" cm="1">
        <f t="array" ref="BM73">_xlfn.IFS(LEFT(G73,1)="L","外注品",LEFT(G73,1)="W","内製品",G73="","購買品")</f>
        <v>購買品</v>
      </c>
    </row>
    <row r="74" spans="1:65">
      <c r="A74" s="2" t="str">
        <f t="shared" si="0"/>
        <v>WG01</v>
      </c>
      <c r="B74" s="2" t="s">
        <v>203</v>
      </c>
      <c r="C74" s="2" t="s">
        <v>277</v>
      </c>
      <c r="D74" s="10" t="str">
        <f t="shared" si="27"/>
        <v>E385503_01</v>
      </c>
      <c r="E74" s="10">
        <f t="shared" si="28"/>
        <v>0</v>
      </c>
      <c r="F74" s="2"/>
      <c r="G74" s="3"/>
      <c r="H74" s="19" t="s">
        <v>350</v>
      </c>
      <c r="I74" s="2"/>
      <c r="J74" s="2"/>
      <c r="K74" s="2" t="str">
        <f t="shared" si="62"/>
        <v/>
      </c>
      <c r="L74" s="7" t="str">
        <f t="shared" si="60"/>
        <v>2001/01/01</v>
      </c>
      <c r="M74" s="7" t="str">
        <f t="shared" si="61"/>
        <v>2199/12/31</v>
      </c>
      <c r="N74" s="2" t="str">
        <f t="shared" si="15"/>
        <v/>
      </c>
      <c r="O74" s="13" t="str">
        <f t="shared" si="43"/>
        <v/>
      </c>
      <c r="P74" s="15"/>
      <c r="Q74" s="13">
        <v>15</v>
      </c>
      <c r="R74" s="18">
        <v>100000000</v>
      </c>
      <c r="S74" s="18" t="str" cm="1">
        <f t="array" ref="S74">_xlfn.IFS(LEFT(G74,1)="L","記載要",LEFT(G74,1)="W","記載要",G74="","")</f>
        <v/>
      </c>
      <c r="T74" s="2"/>
      <c r="U74" s="2"/>
      <c r="V74" s="2"/>
      <c r="W74" s="2"/>
      <c r="X74" s="2"/>
      <c r="Y74" s="2"/>
      <c r="Z74" s="2"/>
      <c r="AA74" s="13">
        <v>1</v>
      </c>
      <c r="AB74" s="13">
        <f t="shared" si="63"/>
        <v>0</v>
      </c>
      <c r="AC74" s="13">
        <f t="shared" si="64"/>
        <v>0</v>
      </c>
      <c r="AD74" s="15"/>
      <c r="AE74" s="15"/>
      <c r="AF74" s="13" t="str">
        <f t="shared" si="65"/>
        <v>1</v>
      </c>
      <c r="AG74" s="17"/>
      <c r="AH74" s="17"/>
      <c r="AI74" s="15"/>
      <c r="AJ74" s="14"/>
      <c r="AK74" s="15" cm="1">
        <f t="array" ref="AK74">_xlfn.IFS(B74="","",LEFT(G74,1)="L",1,LEFT(G74,1)="W",1,AND(LEFT(B74,1)="H",G74=""),0)</f>
        <v>0</v>
      </c>
      <c r="AL74" s="15"/>
      <c r="AM74" s="15"/>
      <c r="AN74" s="15"/>
      <c r="AO74" s="15"/>
      <c r="AP74" s="15"/>
      <c r="AQ74" s="15"/>
      <c r="AR74" s="15"/>
      <c r="AS74" s="15">
        <f t="shared" si="16"/>
        <v>1</v>
      </c>
      <c r="AT74" s="15" t="s">
        <v>115</v>
      </c>
      <c r="AU74" s="13" t="str">
        <f t="shared" si="66"/>
        <v>0</v>
      </c>
      <c r="AV74" s="15"/>
      <c r="AW74" s="15"/>
      <c r="AX74" s="15"/>
      <c r="AY74" s="15"/>
      <c r="AZ74" s="14"/>
      <c r="BA74" s="15"/>
      <c r="BB74" s="15"/>
      <c r="BC74" s="15"/>
      <c r="BD74" s="13" t="str">
        <f t="shared" si="67"/>
        <v>0</v>
      </c>
      <c r="BE74" s="2"/>
      <c r="BF74" s="2"/>
      <c r="BG74" s="2"/>
      <c r="BH74" s="2"/>
      <c r="BI74" s="2"/>
      <c r="BJ74" s="2"/>
      <c r="BK74" s="2" t="s">
        <v>340</v>
      </c>
      <c r="BL74" s="10"/>
      <c r="BM74" t="str" cm="1">
        <f t="array" ref="BM74">_xlfn.IFS(LEFT(G74,1)="L","外注品",LEFT(G74,1)="W","内製品",G74="","購買品")</f>
        <v>購買品</v>
      </c>
    </row>
    <row r="75" spans="1:65">
      <c r="A75" s="2" t="str">
        <f t="shared" si="0"/>
        <v>WG01</v>
      </c>
      <c r="B75" s="2" t="s">
        <v>204</v>
      </c>
      <c r="C75" s="2" t="s">
        <v>278</v>
      </c>
      <c r="D75" s="10" t="str">
        <f t="shared" si="27"/>
        <v>E385503_01</v>
      </c>
      <c r="E75" s="10">
        <f t="shared" si="28"/>
        <v>0</v>
      </c>
      <c r="F75" s="2"/>
      <c r="G75" s="3"/>
      <c r="H75" s="19" t="s">
        <v>350</v>
      </c>
      <c r="I75" s="2"/>
      <c r="J75" s="2"/>
      <c r="K75" s="2" t="str">
        <f t="shared" si="62"/>
        <v/>
      </c>
      <c r="L75" s="7" t="str">
        <f t="shared" si="60"/>
        <v>2001/01/01</v>
      </c>
      <c r="M75" s="7" t="str">
        <f t="shared" si="61"/>
        <v>2199/12/31</v>
      </c>
      <c r="N75" s="2" t="str">
        <f t="shared" si="15"/>
        <v/>
      </c>
      <c r="O75" s="13" t="str">
        <f t="shared" si="43"/>
        <v/>
      </c>
      <c r="P75" s="15"/>
      <c r="Q75" s="13">
        <v>15</v>
      </c>
      <c r="R75" s="18">
        <v>100000000</v>
      </c>
      <c r="S75" s="18" t="str" cm="1">
        <f t="array" ref="S75">_xlfn.IFS(LEFT(G75,1)="L","記載要",LEFT(G75,1)="W","記載要",G75="","")</f>
        <v/>
      </c>
      <c r="T75" s="2"/>
      <c r="U75" s="2"/>
      <c r="V75" s="2"/>
      <c r="W75" s="2"/>
      <c r="X75" s="2"/>
      <c r="Y75" s="2"/>
      <c r="Z75" s="2"/>
      <c r="AA75" s="13">
        <v>1</v>
      </c>
      <c r="AB75" s="13">
        <f t="shared" si="63"/>
        <v>0</v>
      </c>
      <c r="AC75" s="13">
        <f t="shared" si="64"/>
        <v>0</v>
      </c>
      <c r="AD75" s="15"/>
      <c r="AE75" s="15"/>
      <c r="AF75" s="13" t="str">
        <f t="shared" si="65"/>
        <v>1</v>
      </c>
      <c r="AG75" s="17"/>
      <c r="AH75" s="17"/>
      <c r="AI75" s="15"/>
      <c r="AJ75" s="14"/>
      <c r="AK75" s="15" cm="1">
        <f t="array" ref="AK75">_xlfn.IFS(B75="","",LEFT(G75,1)="L",1,LEFT(G75,1)="W",1,AND(LEFT(B75,1)="H",G75=""),0)</f>
        <v>0</v>
      </c>
      <c r="AL75" s="15"/>
      <c r="AM75" s="15"/>
      <c r="AN75" s="15"/>
      <c r="AO75" s="15"/>
      <c r="AP75" s="15"/>
      <c r="AQ75" s="15"/>
      <c r="AR75" s="15"/>
      <c r="AS75" s="15">
        <f t="shared" si="16"/>
        <v>1</v>
      </c>
      <c r="AT75" s="15" t="s">
        <v>115</v>
      </c>
      <c r="AU75" s="13" t="str">
        <f t="shared" si="66"/>
        <v>0</v>
      </c>
      <c r="AV75" s="15"/>
      <c r="AW75" s="15"/>
      <c r="AX75" s="15"/>
      <c r="AY75" s="15"/>
      <c r="AZ75" s="14"/>
      <c r="BA75" s="15"/>
      <c r="BB75" s="15"/>
      <c r="BC75" s="15"/>
      <c r="BD75" s="13" t="str">
        <f t="shared" si="67"/>
        <v>0</v>
      </c>
      <c r="BE75" s="2"/>
      <c r="BF75" s="2"/>
      <c r="BG75" s="2"/>
      <c r="BH75" s="2"/>
      <c r="BI75" s="2"/>
      <c r="BJ75" s="2"/>
      <c r="BK75" s="2" t="s">
        <v>340</v>
      </c>
      <c r="BL75" s="10"/>
      <c r="BM75" t="str" cm="1">
        <f t="array" ref="BM75">_xlfn.IFS(LEFT(G75,1)="L","外注品",LEFT(G75,1)="W","内製品",G75="","購買品")</f>
        <v>購買品</v>
      </c>
    </row>
    <row r="76" spans="1:65">
      <c r="A76" s="2" t="str">
        <f t="shared" ref="A76:A139" si="68">IF(B76="","","WG01")</f>
        <v>WG01</v>
      </c>
      <c r="B76" s="2" t="s">
        <v>205</v>
      </c>
      <c r="C76" s="2" t="s">
        <v>279</v>
      </c>
      <c r="D76" s="10" t="str">
        <f t="shared" si="27"/>
        <v>E385503_01</v>
      </c>
      <c r="E76" s="10">
        <f t="shared" si="28"/>
        <v>0</v>
      </c>
      <c r="F76" s="2"/>
      <c r="G76" s="3"/>
      <c r="H76" s="19" t="s">
        <v>350</v>
      </c>
      <c r="I76" s="2"/>
      <c r="J76" s="2"/>
      <c r="K76" s="2" t="str">
        <f t="shared" si="62"/>
        <v/>
      </c>
      <c r="L76" s="7" t="str">
        <f t="shared" si="60"/>
        <v>2001/01/01</v>
      </c>
      <c r="M76" s="7" t="str">
        <f t="shared" si="61"/>
        <v>2199/12/31</v>
      </c>
      <c r="N76" s="2" t="str">
        <f t="shared" si="15"/>
        <v/>
      </c>
      <c r="O76" s="13" t="str">
        <f t="shared" si="43"/>
        <v/>
      </c>
      <c r="P76" s="15"/>
      <c r="Q76" s="13">
        <v>15</v>
      </c>
      <c r="R76" s="18">
        <v>100000000</v>
      </c>
      <c r="S76" s="18" t="str" cm="1">
        <f t="array" ref="S76">_xlfn.IFS(LEFT(G76,1)="L","記載要",LEFT(G76,1)="W","記載要",G76="","")</f>
        <v/>
      </c>
      <c r="T76" s="2"/>
      <c r="U76" s="2"/>
      <c r="V76" s="2"/>
      <c r="W76" s="2"/>
      <c r="X76" s="2"/>
      <c r="Y76" s="2"/>
      <c r="Z76" s="2"/>
      <c r="AA76" s="13">
        <v>1</v>
      </c>
      <c r="AB76" s="13">
        <f t="shared" si="63"/>
        <v>0</v>
      </c>
      <c r="AC76" s="13">
        <f t="shared" si="64"/>
        <v>0</v>
      </c>
      <c r="AD76" s="15"/>
      <c r="AE76" s="15"/>
      <c r="AF76" s="13" t="str">
        <f t="shared" si="65"/>
        <v>1</v>
      </c>
      <c r="AG76" s="17"/>
      <c r="AH76" s="17"/>
      <c r="AI76" s="15"/>
      <c r="AJ76" s="14"/>
      <c r="AK76" s="15" cm="1">
        <f t="array" ref="AK76">_xlfn.IFS(B76="","",LEFT(G76,1)="L",1,LEFT(G76,1)="W",1,AND(LEFT(B76,1)="H",G76=""),0)</f>
        <v>0</v>
      </c>
      <c r="AL76" s="15"/>
      <c r="AM76" s="15"/>
      <c r="AN76" s="15"/>
      <c r="AO76" s="15"/>
      <c r="AP76" s="15"/>
      <c r="AQ76" s="15"/>
      <c r="AR76" s="15"/>
      <c r="AS76" s="15">
        <f t="shared" si="16"/>
        <v>1</v>
      </c>
      <c r="AT76" s="15" t="s">
        <v>115</v>
      </c>
      <c r="AU76" s="13" t="str">
        <f t="shared" si="66"/>
        <v>0</v>
      </c>
      <c r="AV76" s="15"/>
      <c r="AW76" s="15"/>
      <c r="AX76" s="15"/>
      <c r="AY76" s="15"/>
      <c r="AZ76" s="14"/>
      <c r="BA76" s="15"/>
      <c r="BB76" s="15"/>
      <c r="BC76" s="15"/>
      <c r="BD76" s="13" t="str">
        <f t="shared" si="67"/>
        <v>0</v>
      </c>
      <c r="BE76" s="2"/>
      <c r="BF76" s="2"/>
      <c r="BG76" s="2"/>
      <c r="BH76" s="2"/>
      <c r="BI76" s="2"/>
      <c r="BJ76" s="2"/>
      <c r="BK76" s="2" t="s">
        <v>340</v>
      </c>
      <c r="BL76" s="10"/>
      <c r="BM76" t="str" cm="1">
        <f t="array" ref="BM76">_xlfn.IFS(LEFT(G76,1)="L","外注品",LEFT(G76,1)="W","内製品",G76="","購買品")</f>
        <v>購買品</v>
      </c>
    </row>
    <row r="77" spans="1:65">
      <c r="A77" s="2" t="str">
        <f t="shared" si="68"/>
        <v>WG01</v>
      </c>
      <c r="B77" s="2" t="s">
        <v>206</v>
      </c>
      <c r="C77" s="2" t="s">
        <v>280</v>
      </c>
      <c r="D77" s="10" t="str">
        <f t="shared" ref="D77:D140" si="69">BK77</f>
        <v>E385503_01</v>
      </c>
      <c r="E77" s="10">
        <f t="shared" ref="E77:E140" si="70">BL77</f>
        <v>0</v>
      </c>
      <c r="F77" s="2"/>
      <c r="G77" s="3"/>
      <c r="H77" s="19" t="s">
        <v>350</v>
      </c>
      <c r="I77" s="2"/>
      <c r="J77" s="2"/>
      <c r="K77" s="2" t="str">
        <f t="shared" si="62"/>
        <v/>
      </c>
      <c r="L77" s="7" t="str">
        <f t="shared" si="60"/>
        <v>2001/01/01</v>
      </c>
      <c r="M77" s="7" t="str">
        <f t="shared" si="61"/>
        <v>2199/12/31</v>
      </c>
      <c r="N77" s="2" t="str">
        <f t="shared" ref="N77:N140" si="71">IF(LEFT(G77,1)="W",K77,"")</f>
        <v/>
      </c>
      <c r="O77" s="13" t="str">
        <f t="shared" ref="O77:O140" si="72">IF(G77="","","記載要")</f>
        <v/>
      </c>
      <c r="P77" s="15"/>
      <c r="Q77" s="13">
        <v>15</v>
      </c>
      <c r="R77" s="18">
        <v>100000000</v>
      </c>
      <c r="S77" s="18" t="str" cm="1">
        <f t="array" ref="S77">_xlfn.IFS(LEFT(G77,1)="L","記載要",LEFT(G77,1)="W","記載要",G77="","")</f>
        <v/>
      </c>
      <c r="T77" s="2"/>
      <c r="U77" s="2"/>
      <c r="V77" s="2"/>
      <c r="W77" s="2"/>
      <c r="X77" s="2"/>
      <c r="Y77" s="2"/>
      <c r="Z77" s="2"/>
      <c r="AA77" s="13">
        <v>1</v>
      </c>
      <c r="AB77" s="13">
        <f t="shared" si="63"/>
        <v>0</v>
      </c>
      <c r="AC77" s="13">
        <f t="shared" si="64"/>
        <v>0</v>
      </c>
      <c r="AD77" s="15"/>
      <c r="AE77" s="15"/>
      <c r="AF77" s="13" t="str">
        <f t="shared" si="65"/>
        <v>1</v>
      </c>
      <c r="AG77" s="17"/>
      <c r="AH77" s="17"/>
      <c r="AI77" s="15"/>
      <c r="AJ77" s="14"/>
      <c r="AK77" s="15" cm="1">
        <f t="array" ref="AK77">_xlfn.IFS(B77="","",LEFT(G77,1)="L",1,LEFT(G77,1)="W",1,AND(LEFT(B77,1)="H",G77=""),0)</f>
        <v>0</v>
      </c>
      <c r="AL77" s="15"/>
      <c r="AM77" s="15"/>
      <c r="AN77" s="15"/>
      <c r="AO77" s="15"/>
      <c r="AP77" s="15"/>
      <c r="AQ77" s="15"/>
      <c r="AR77" s="15"/>
      <c r="AS77" s="15">
        <f t="shared" ref="AS77:AS140" si="73">IF(Q77="","",1)</f>
        <v>1</v>
      </c>
      <c r="AT77" s="15" t="s">
        <v>115</v>
      </c>
      <c r="AU77" s="13" t="str">
        <f t="shared" si="66"/>
        <v>0</v>
      </c>
      <c r="AV77" s="15"/>
      <c r="AW77" s="15"/>
      <c r="AX77" s="15"/>
      <c r="AY77" s="15"/>
      <c r="AZ77" s="14"/>
      <c r="BA77" s="15"/>
      <c r="BB77" s="15"/>
      <c r="BC77" s="15"/>
      <c r="BD77" s="13" t="str">
        <f t="shared" si="67"/>
        <v>0</v>
      </c>
      <c r="BE77" s="2"/>
      <c r="BF77" s="2"/>
      <c r="BG77" s="2"/>
      <c r="BH77" s="2"/>
      <c r="BI77" s="2"/>
      <c r="BJ77" s="2"/>
      <c r="BK77" s="2" t="s">
        <v>340</v>
      </c>
      <c r="BL77" s="10"/>
      <c r="BM77" t="str" cm="1">
        <f t="array" ref="BM77">_xlfn.IFS(LEFT(G77,1)="L","外注品",LEFT(G77,1)="W","内製品",G77="","購買品")</f>
        <v>購買品</v>
      </c>
    </row>
    <row r="78" spans="1:65">
      <c r="A78" s="2" t="str">
        <f t="shared" si="68"/>
        <v>WG01</v>
      </c>
      <c r="B78" s="2" t="s">
        <v>207</v>
      </c>
      <c r="C78" s="2" t="s">
        <v>281</v>
      </c>
      <c r="D78" s="10" t="str">
        <f t="shared" si="69"/>
        <v>E385503_01</v>
      </c>
      <c r="E78" s="10">
        <f t="shared" si="70"/>
        <v>0</v>
      </c>
      <c r="F78" s="2"/>
      <c r="G78" s="3"/>
      <c r="H78" s="19" t="s">
        <v>350</v>
      </c>
      <c r="I78" s="2"/>
      <c r="J78" s="2"/>
      <c r="K78" s="2" t="str">
        <f t="shared" si="62"/>
        <v/>
      </c>
      <c r="L78" s="7" t="str">
        <f t="shared" si="60"/>
        <v>2001/01/01</v>
      </c>
      <c r="M78" s="7" t="str">
        <f t="shared" si="61"/>
        <v>2199/12/31</v>
      </c>
      <c r="N78" s="2" t="str">
        <f t="shared" si="71"/>
        <v/>
      </c>
      <c r="O78" s="13" t="str">
        <f t="shared" si="72"/>
        <v/>
      </c>
      <c r="P78" s="15"/>
      <c r="Q78" s="13">
        <v>15</v>
      </c>
      <c r="R78" s="18">
        <v>100000000</v>
      </c>
      <c r="S78" s="18" t="str" cm="1">
        <f t="array" ref="S78">_xlfn.IFS(LEFT(G78,1)="L","記載要",LEFT(G78,1)="W","記載要",G78="","")</f>
        <v/>
      </c>
      <c r="T78" s="2"/>
      <c r="U78" s="2"/>
      <c r="V78" s="2"/>
      <c r="W78" s="2"/>
      <c r="X78" s="2"/>
      <c r="Y78" s="2"/>
      <c r="Z78" s="2"/>
      <c r="AA78" s="13">
        <v>1</v>
      </c>
      <c r="AB78" s="13">
        <f t="shared" si="63"/>
        <v>0</v>
      </c>
      <c r="AC78" s="13">
        <f t="shared" si="64"/>
        <v>0</v>
      </c>
      <c r="AD78" s="15"/>
      <c r="AE78" s="15"/>
      <c r="AF78" s="13" t="str">
        <f t="shared" si="65"/>
        <v>1</v>
      </c>
      <c r="AG78" s="17"/>
      <c r="AH78" s="17"/>
      <c r="AI78" s="15"/>
      <c r="AJ78" s="14"/>
      <c r="AK78" s="15" cm="1">
        <f t="array" ref="AK78">_xlfn.IFS(B78="","",LEFT(G78,1)="L",1,LEFT(G78,1)="W",1,AND(LEFT(B78,1)="H",G78=""),0)</f>
        <v>0</v>
      </c>
      <c r="AL78" s="15"/>
      <c r="AM78" s="15"/>
      <c r="AN78" s="15"/>
      <c r="AO78" s="15"/>
      <c r="AP78" s="15"/>
      <c r="AQ78" s="15"/>
      <c r="AR78" s="15"/>
      <c r="AS78" s="15">
        <f t="shared" si="73"/>
        <v>1</v>
      </c>
      <c r="AT78" s="15" t="s">
        <v>115</v>
      </c>
      <c r="AU78" s="13" t="str">
        <f t="shared" si="66"/>
        <v>0</v>
      </c>
      <c r="AV78" s="15"/>
      <c r="AW78" s="15"/>
      <c r="AX78" s="15"/>
      <c r="AY78" s="15"/>
      <c r="AZ78" s="14"/>
      <c r="BA78" s="15"/>
      <c r="BB78" s="15"/>
      <c r="BC78" s="15"/>
      <c r="BD78" s="13" t="str">
        <f t="shared" si="67"/>
        <v>0</v>
      </c>
      <c r="BE78" s="2"/>
      <c r="BF78" s="2"/>
      <c r="BG78" s="2"/>
      <c r="BH78" s="2"/>
      <c r="BI78" s="2"/>
      <c r="BJ78" s="2"/>
      <c r="BK78" s="2" t="s">
        <v>340</v>
      </c>
      <c r="BL78" s="10"/>
      <c r="BM78" t="str" cm="1">
        <f t="array" ref="BM78">_xlfn.IFS(LEFT(G78,1)="L","外注品",LEFT(G78,1)="W","内製品",G78="","購買品")</f>
        <v>購買品</v>
      </c>
    </row>
    <row r="79" spans="1:65">
      <c r="A79" s="2" t="str">
        <f t="shared" si="68"/>
        <v>WG01</v>
      </c>
      <c r="B79" s="2" t="s">
        <v>208</v>
      </c>
      <c r="C79" s="2" t="s">
        <v>282</v>
      </c>
      <c r="D79" s="10" t="str">
        <f t="shared" si="69"/>
        <v>E385503_01</v>
      </c>
      <c r="E79" s="10">
        <f t="shared" si="70"/>
        <v>0</v>
      </c>
      <c r="F79" s="2"/>
      <c r="G79" s="3"/>
      <c r="H79" s="19" t="s">
        <v>350</v>
      </c>
      <c r="I79" s="2"/>
      <c r="J79" s="2"/>
      <c r="K79" s="2" t="str">
        <f t="shared" si="62"/>
        <v/>
      </c>
      <c r="L79" s="7" t="str">
        <f t="shared" si="60"/>
        <v>2001/01/01</v>
      </c>
      <c r="M79" s="7" t="str">
        <f t="shared" si="61"/>
        <v>2199/12/31</v>
      </c>
      <c r="N79" s="2" t="str">
        <f t="shared" si="71"/>
        <v/>
      </c>
      <c r="O79" s="13" t="str">
        <f t="shared" si="72"/>
        <v/>
      </c>
      <c r="P79" s="15"/>
      <c r="Q79" s="13">
        <v>15</v>
      </c>
      <c r="R79" s="18">
        <v>100000000</v>
      </c>
      <c r="S79" s="18" t="str" cm="1">
        <f t="array" ref="S79">_xlfn.IFS(LEFT(G79,1)="L","記載要",LEFT(G79,1)="W","記載要",G79="","")</f>
        <v/>
      </c>
      <c r="T79" s="2"/>
      <c r="U79" s="2"/>
      <c r="V79" s="2"/>
      <c r="W79" s="2"/>
      <c r="X79" s="2"/>
      <c r="Y79" s="2"/>
      <c r="Z79" s="2"/>
      <c r="AA79" s="13">
        <v>1</v>
      </c>
      <c r="AB79" s="13">
        <f t="shared" si="63"/>
        <v>0</v>
      </c>
      <c r="AC79" s="13">
        <f t="shared" si="64"/>
        <v>0</v>
      </c>
      <c r="AD79" s="15"/>
      <c r="AE79" s="15"/>
      <c r="AF79" s="13" t="str">
        <f t="shared" si="65"/>
        <v>1</v>
      </c>
      <c r="AG79" s="17"/>
      <c r="AH79" s="17"/>
      <c r="AI79" s="15"/>
      <c r="AJ79" s="14"/>
      <c r="AK79" s="15" cm="1">
        <f t="array" ref="AK79">_xlfn.IFS(B79="","",LEFT(G79,1)="L",1,LEFT(G79,1)="W",1,AND(LEFT(B79,1)="H",G79=""),0)</f>
        <v>0</v>
      </c>
      <c r="AL79" s="15"/>
      <c r="AM79" s="15"/>
      <c r="AN79" s="15"/>
      <c r="AO79" s="15"/>
      <c r="AP79" s="15"/>
      <c r="AQ79" s="15"/>
      <c r="AR79" s="15"/>
      <c r="AS79" s="15">
        <f t="shared" si="73"/>
        <v>1</v>
      </c>
      <c r="AT79" s="15" t="s">
        <v>115</v>
      </c>
      <c r="AU79" s="13" t="str">
        <f t="shared" si="66"/>
        <v>0</v>
      </c>
      <c r="AV79" s="15"/>
      <c r="AW79" s="15"/>
      <c r="AX79" s="15"/>
      <c r="AY79" s="15"/>
      <c r="AZ79" s="14"/>
      <c r="BA79" s="15"/>
      <c r="BB79" s="15"/>
      <c r="BC79" s="15"/>
      <c r="BD79" s="13" t="str">
        <f t="shared" si="67"/>
        <v>0</v>
      </c>
      <c r="BE79" s="2"/>
      <c r="BF79" s="2"/>
      <c r="BG79" s="2"/>
      <c r="BH79" s="2"/>
      <c r="BI79" s="2"/>
      <c r="BJ79" s="2"/>
      <c r="BK79" s="2" t="s">
        <v>340</v>
      </c>
      <c r="BL79" s="10"/>
      <c r="BM79" t="str" cm="1">
        <f t="array" ref="BM79">_xlfn.IFS(LEFT(G79,1)="L","外注品",LEFT(G79,1)="W","内製品",G79="","購買品")</f>
        <v>購買品</v>
      </c>
    </row>
    <row r="80" spans="1:65">
      <c r="A80" s="2" t="str">
        <f t="shared" si="68"/>
        <v>WG01</v>
      </c>
      <c r="B80" s="2" t="s">
        <v>209</v>
      </c>
      <c r="C80" s="2" t="s">
        <v>283</v>
      </c>
      <c r="D80" s="10" t="str">
        <f t="shared" si="69"/>
        <v>E385503_01</v>
      </c>
      <c r="E80" s="10">
        <f t="shared" si="70"/>
        <v>0</v>
      </c>
      <c r="F80" s="2"/>
      <c r="G80" s="3"/>
      <c r="H80" s="19" t="s">
        <v>350</v>
      </c>
      <c r="I80" s="2"/>
      <c r="J80" s="2"/>
      <c r="K80" s="2" t="str">
        <f t="shared" si="62"/>
        <v/>
      </c>
      <c r="L80" s="7" t="str">
        <f t="shared" si="60"/>
        <v>2001/01/01</v>
      </c>
      <c r="M80" s="7" t="str">
        <f t="shared" si="61"/>
        <v>2199/12/31</v>
      </c>
      <c r="N80" s="2" t="str">
        <f t="shared" si="71"/>
        <v/>
      </c>
      <c r="O80" s="13" t="str">
        <f t="shared" si="72"/>
        <v/>
      </c>
      <c r="P80" s="15"/>
      <c r="Q80" s="13">
        <v>15</v>
      </c>
      <c r="R80" s="18">
        <v>100000000</v>
      </c>
      <c r="S80" s="18" t="str" cm="1">
        <f t="array" ref="S80">_xlfn.IFS(LEFT(G80,1)="L","記載要",LEFT(G80,1)="W","記載要",G80="","")</f>
        <v/>
      </c>
      <c r="T80" s="2"/>
      <c r="U80" s="2"/>
      <c r="V80" s="2"/>
      <c r="W80" s="2"/>
      <c r="X80" s="2"/>
      <c r="Y80" s="2"/>
      <c r="Z80" s="2"/>
      <c r="AA80" s="13">
        <v>1</v>
      </c>
      <c r="AB80" s="13">
        <f t="shared" si="63"/>
        <v>0</v>
      </c>
      <c r="AC80" s="13">
        <f t="shared" si="64"/>
        <v>0</v>
      </c>
      <c r="AD80" s="15"/>
      <c r="AE80" s="15"/>
      <c r="AF80" s="13" t="str">
        <f t="shared" si="65"/>
        <v>1</v>
      </c>
      <c r="AG80" s="17"/>
      <c r="AH80" s="17"/>
      <c r="AI80" s="15"/>
      <c r="AJ80" s="14"/>
      <c r="AK80" s="15" cm="1">
        <f t="array" ref="AK80">_xlfn.IFS(B80="","",LEFT(G80,1)="L",1,LEFT(G80,1)="W",1,AND(LEFT(B80,1)="H",G80=""),0)</f>
        <v>0</v>
      </c>
      <c r="AL80" s="15"/>
      <c r="AM80" s="15"/>
      <c r="AN80" s="15"/>
      <c r="AO80" s="15"/>
      <c r="AP80" s="15"/>
      <c r="AQ80" s="15"/>
      <c r="AR80" s="15"/>
      <c r="AS80" s="15">
        <f t="shared" si="73"/>
        <v>1</v>
      </c>
      <c r="AT80" s="15" t="s">
        <v>115</v>
      </c>
      <c r="AU80" s="13" t="str">
        <f t="shared" si="66"/>
        <v>0</v>
      </c>
      <c r="AV80" s="15"/>
      <c r="AW80" s="15"/>
      <c r="AX80" s="15"/>
      <c r="AY80" s="15"/>
      <c r="AZ80" s="14"/>
      <c r="BA80" s="15"/>
      <c r="BB80" s="15"/>
      <c r="BC80" s="15"/>
      <c r="BD80" s="13" t="str">
        <f t="shared" si="67"/>
        <v>0</v>
      </c>
      <c r="BE80" s="2"/>
      <c r="BF80" s="2"/>
      <c r="BG80" s="2"/>
      <c r="BH80" s="2"/>
      <c r="BI80" s="2"/>
      <c r="BJ80" s="2"/>
      <c r="BK80" s="2" t="s">
        <v>340</v>
      </c>
      <c r="BL80" s="10"/>
      <c r="BM80" t="str" cm="1">
        <f t="array" ref="BM80">_xlfn.IFS(LEFT(G80,1)="L","外注品",LEFT(G80,1)="W","内製品",G80="","購買品")</f>
        <v>購買品</v>
      </c>
    </row>
    <row r="81" spans="1:65">
      <c r="A81" s="2" t="str">
        <f t="shared" si="68"/>
        <v>WG01</v>
      </c>
      <c r="B81" s="2" t="s">
        <v>210</v>
      </c>
      <c r="C81" s="2" t="s">
        <v>284</v>
      </c>
      <c r="D81" s="10" t="str">
        <f t="shared" si="69"/>
        <v>E385503_01</v>
      </c>
      <c r="E81" s="10">
        <f t="shared" si="70"/>
        <v>0</v>
      </c>
      <c r="F81" s="2"/>
      <c r="G81" s="3"/>
      <c r="H81" s="19" t="s">
        <v>350</v>
      </c>
      <c r="I81" s="2"/>
      <c r="J81" s="2"/>
      <c r="K81" s="2" t="str">
        <f t="shared" si="62"/>
        <v/>
      </c>
      <c r="L81" s="7" t="str">
        <f t="shared" si="60"/>
        <v>2001/01/01</v>
      </c>
      <c r="M81" s="7" t="str">
        <f t="shared" si="61"/>
        <v>2199/12/31</v>
      </c>
      <c r="N81" s="2" t="str">
        <f t="shared" si="71"/>
        <v/>
      </c>
      <c r="O81" s="13" t="str">
        <f t="shared" si="72"/>
        <v/>
      </c>
      <c r="P81" s="15"/>
      <c r="Q81" s="13">
        <v>15</v>
      </c>
      <c r="R81" s="18">
        <v>100000000</v>
      </c>
      <c r="S81" s="18" t="str" cm="1">
        <f t="array" ref="S81">_xlfn.IFS(LEFT(G81,1)="L","記載要",LEFT(G81,1)="W","記載要",G81="","")</f>
        <v/>
      </c>
      <c r="T81" s="2"/>
      <c r="U81" s="2"/>
      <c r="V81" s="2"/>
      <c r="W81" s="2"/>
      <c r="X81" s="2"/>
      <c r="Y81" s="2"/>
      <c r="Z81" s="2"/>
      <c r="AA81" s="13">
        <v>1</v>
      </c>
      <c r="AB81" s="13">
        <f t="shared" si="63"/>
        <v>0</v>
      </c>
      <c r="AC81" s="13">
        <f t="shared" si="64"/>
        <v>0</v>
      </c>
      <c r="AD81" s="15"/>
      <c r="AE81" s="15"/>
      <c r="AF81" s="13" t="str">
        <f t="shared" si="65"/>
        <v>1</v>
      </c>
      <c r="AG81" s="17"/>
      <c r="AH81" s="17"/>
      <c r="AI81" s="15"/>
      <c r="AJ81" s="14"/>
      <c r="AK81" s="15" cm="1">
        <f t="array" ref="AK81">_xlfn.IFS(B81="","",LEFT(G81,1)="L",1,LEFT(G81,1)="W",1,AND(LEFT(B81,1)="H",G81=""),0)</f>
        <v>0</v>
      </c>
      <c r="AL81" s="15"/>
      <c r="AM81" s="15"/>
      <c r="AN81" s="15"/>
      <c r="AO81" s="15"/>
      <c r="AP81" s="15"/>
      <c r="AQ81" s="15"/>
      <c r="AR81" s="15"/>
      <c r="AS81" s="15">
        <f t="shared" si="73"/>
        <v>1</v>
      </c>
      <c r="AT81" s="15" t="s">
        <v>115</v>
      </c>
      <c r="AU81" s="13" t="str">
        <f t="shared" si="66"/>
        <v>0</v>
      </c>
      <c r="AV81" s="15"/>
      <c r="AW81" s="15"/>
      <c r="AX81" s="15"/>
      <c r="AY81" s="15"/>
      <c r="AZ81" s="14"/>
      <c r="BA81" s="15"/>
      <c r="BB81" s="15"/>
      <c r="BC81" s="15"/>
      <c r="BD81" s="13" t="str">
        <f t="shared" si="67"/>
        <v>0</v>
      </c>
      <c r="BE81" s="2"/>
      <c r="BF81" s="2"/>
      <c r="BG81" s="2"/>
      <c r="BH81" s="2"/>
      <c r="BI81" s="2"/>
      <c r="BJ81" s="2"/>
      <c r="BK81" s="2" t="s">
        <v>340</v>
      </c>
      <c r="BL81" s="10"/>
      <c r="BM81" t="str" cm="1">
        <f t="array" ref="BM81">_xlfn.IFS(LEFT(G81,1)="L","外注品",LEFT(G81,1)="W","内製品",G81="","購買品")</f>
        <v>購買品</v>
      </c>
    </row>
    <row r="82" spans="1:65">
      <c r="A82" s="2" t="str">
        <f t="shared" si="68"/>
        <v>WG01</v>
      </c>
      <c r="B82" s="2" t="s">
        <v>211</v>
      </c>
      <c r="C82" s="2" t="s">
        <v>285</v>
      </c>
      <c r="D82" s="10" t="str">
        <f t="shared" si="69"/>
        <v>E385503_01</v>
      </c>
      <c r="E82" s="10">
        <f t="shared" si="70"/>
        <v>0</v>
      </c>
      <c r="F82" s="2"/>
      <c r="G82" s="3"/>
      <c r="H82" s="19" t="s">
        <v>350</v>
      </c>
      <c r="I82" s="2"/>
      <c r="J82" s="2"/>
      <c r="K82" s="2" t="str">
        <f t="shared" si="62"/>
        <v/>
      </c>
      <c r="L82" s="7" t="str">
        <f t="shared" si="60"/>
        <v>2001/01/01</v>
      </c>
      <c r="M82" s="7" t="str">
        <f t="shared" si="61"/>
        <v>2199/12/31</v>
      </c>
      <c r="N82" s="2" t="str">
        <f t="shared" si="71"/>
        <v/>
      </c>
      <c r="O82" s="13" t="str">
        <f t="shared" si="72"/>
        <v/>
      </c>
      <c r="P82" s="15"/>
      <c r="Q82" s="13">
        <v>15</v>
      </c>
      <c r="R82" s="18">
        <v>100000000</v>
      </c>
      <c r="S82" s="18" t="str" cm="1">
        <f t="array" ref="S82">_xlfn.IFS(LEFT(G82,1)="L","記載要",LEFT(G82,1)="W","記載要",G82="","")</f>
        <v/>
      </c>
      <c r="T82" s="2"/>
      <c r="U82" s="2"/>
      <c r="V82" s="2"/>
      <c r="W82" s="2"/>
      <c r="X82" s="2"/>
      <c r="Y82" s="2"/>
      <c r="Z82" s="2"/>
      <c r="AA82" s="13">
        <v>1</v>
      </c>
      <c r="AB82" s="13">
        <f t="shared" si="63"/>
        <v>0</v>
      </c>
      <c r="AC82" s="13">
        <f t="shared" si="64"/>
        <v>0</v>
      </c>
      <c r="AD82" s="15"/>
      <c r="AE82" s="15"/>
      <c r="AF82" s="13" t="str">
        <f t="shared" si="65"/>
        <v>1</v>
      </c>
      <c r="AG82" s="17"/>
      <c r="AH82" s="17"/>
      <c r="AI82" s="15"/>
      <c r="AJ82" s="14"/>
      <c r="AK82" s="15" cm="1">
        <f t="array" ref="AK82">_xlfn.IFS(B82="","",LEFT(G82,1)="L",1,LEFT(G82,1)="W",1,AND(LEFT(B82,1)="H",G82=""),0)</f>
        <v>0</v>
      </c>
      <c r="AL82" s="15"/>
      <c r="AM82" s="15"/>
      <c r="AN82" s="15"/>
      <c r="AO82" s="15"/>
      <c r="AP82" s="15"/>
      <c r="AQ82" s="15"/>
      <c r="AR82" s="15"/>
      <c r="AS82" s="15">
        <f t="shared" si="73"/>
        <v>1</v>
      </c>
      <c r="AT82" s="15" t="s">
        <v>115</v>
      </c>
      <c r="AU82" s="13" t="str">
        <f t="shared" si="66"/>
        <v>0</v>
      </c>
      <c r="AV82" s="15"/>
      <c r="AW82" s="15"/>
      <c r="AX82" s="15"/>
      <c r="AY82" s="15"/>
      <c r="AZ82" s="14"/>
      <c r="BA82" s="15"/>
      <c r="BB82" s="15"/>
      <c r="BC82" s="15"/>
      <c r="BD82" s="13" t="str">
        <f t="shared" si="67"/>
        <v>0</v>
      </c>
      <c r="BE82" s="2"/>
      <c r="BF82" s="2"/>
      <c r="BG82" s="2"/>
      <c r="BH82" s="2"/>
      <c r="BI82" s="2"/>
      <c r="BJ82" s="2"/>
      <c r="BK82" s="2" t="s">
        <v>340</v>
      </c>
      <c r="BL82" s="10"/>
      <c r="BM82" t="str" cm="1">
        <f t="array" ref="BM82">_xlfn.IFS(LEFT(G82,1)="L","外注品",LEFT(G82,1)="W","内製品",G82="","購買品")</f>
        <v>購買品</v>
      </c>
    </row>
    <row r="83" spans="1:65">
      <c r="A83" s="2" t="str">
        <f t="shared" si="68"/>
        <v>WG01</v>
      </c>
      <c r="B83" s="2" t="s">
        <v>212</v>
      </c>
      <c r="C83" s="2" t="s">
        <v>286</v>
      </c>
      <c r="D83" s="10" t="str">
        <f t="shared" si="69"/>
        <v>E385503_01</v>
      </c>
      <c r="E83" s="10">
        <f t="shared" si="70"/>
        <v>0</v>
      </c>
      <c r="F83" s="2"/>
      <c r="G83" s="3"/>
      <c r="H83" s="19" t="s">
        <v>350</v>
      </c>
      <c r="I83" s="2"/>
      <c r="J83" s="2"/>
      <c r="K83" s="2" t="str">
        <f t="shared" si="62"/>
        <v/>
      </c>
      <c r="L83" s="7" t="str">
        <f t="shared" si="60"/>
        <v>2001/01/01</v>
      </c>
      <c r="M83" s="7" t="str">
        <f t="shared" si="61"/>
        <v>2199/12/31</v>
      </c>
      <c r="N83" s="2" t="str">
        <f t="shared" si="71"/>
        <v/>
      </c>
      <c r="O83" s="13" t="str">
        <f t="shared" si="72"/>
        <v/>
      </c>
      <c r="P83" s="15"/>
      <c r="Q83" s="13">
        <v>15</v>
      </c>
      <c r="R83" s="18">
        <v>100000000</v>
      </c>
      <c r="S83" s="18" t="str" cm="1">
        <f t="array" ref="S83">_xlfn.IFS(LEFT(G83,1)="L","記載要",LEFT(G83,1)="W","記載要",G83="","")</f>
        <v/>
      </c>
      <c r="T83" s="2"/>
      <c r="U83" s="2"/>
      <c r="V83" s="2"/>
      <c r="W83" s="2"/>
      <c r="X83" s="2"/>
      <c r="Y83" s="2"/>
      <c r="Z83" s="2"/>
      <c r="AA83" s="13">
        <v>1</v>
      </c>
      <c r="AB83" s="13">
        <f t="shared" si="63"/>
        <v>0</v>
      </c>
      <c r="AC83" s="13">
        <f t="shared" si="64"/>
        <v>0</v>
      </c>
      <c r="AD83" s="15"/>
      <c r="AE83" s="15"/>
      <c r="AF83" s="13" t="str">
        <f t="shared" si="65"/>
        <v>1</v>
      </c>
      <c r="AG83" s="17"/>
      <c r="AH83" s="17"/>
      <c r="AI83" s="15"/>
      <c r="AJ83" s="14"/>
      <c r="AK83" s="15" cm="1">
        <f t="array" ref="AK83">_xlfn.IFS(B83="","",LEFT(G83,1)="L",1,LEFT(G83,1)="W",1,AND(LEFT(B83,1)="H",G83=""),0)</f>
        <v>0</v>
      </c>
      <c r="AL83" s="15"/>
      <c r="AM83" s="15"/>
      <c r="AN83" s="15"/>
      <c r="AO83" s="15"/>
      <c r="AP83" s="15"/>
      <c r="AQ83" s="15"/>
      <c r="AR83" s="15"/>
      <c r="AS83" s="15">
        <f t="shared" si="73"/>
        <v>1</v>
      </c>
      <c r="AT83" s="15" t="s">
        <v>115</v>
      </c>
      <c r="AU83" s="13" t="str">
        <f t="shared" si="66"/>
        <v>0</v>
      </c>
      <c r="AV83" s="15"/>
      <c r="AW83" s="15"/>
      <c r="AX83" s="15"/>
      <c r="AY83" s="15"/>
      <c r="AZ83" s="14"/>
      <c r="BA83" s="15"/>
      <c r="BB83" s="15"/>
      <c r="BC83" s="15"/>
      <c r="BD83" s="13" t="str">
        <f t="shared" si="67"/>
        <v>0</v>
      </c>
      <c r="BE83" s="2"/>
      <c r="BF83" s="2"/>
      <c r="BG83" s="2"/>
      <c r="BH83" s="2"/>
      <c r="BI83" s="2"/>
      <c r="BJ83" s="2"/>
      <c r="BK83" s="2" t="s">
        <v>340</v>
      </c>
      <c r="BL83" s="10"/>
      <c r="BM83" t="str" cm="1">
        <f t="array" ref="BM83">_xlfn.IFS(LEFT(G83,1)="L","外注品",LEFT(G83,1)="W","内製品",G83="","購買品")</f>
        <v>購買品</v>
      </c>
    </row>
    <row r="84" spans="1:65">
      <c r="A84" s="2" t="str">
        <f t="shared" si="68"/>
        <v>WG01</v>
      </c>
      <c r="B84" s="2" t="s">
        <v>213</v>
      </c>
      <c r="C84" s="2" t="s">
        <v>287</v>
      </c>
      <c r="D84" s="10" t="str">
        <f t="shared" si="69"/>
        <v>E385503_01</v>
      </c>
      <c r="E84" s="10">
        <f t="shared" si="70"/>
        <v>0</v>
      </c>
      <c r="F84" s="2"/>
      <c r="G84" s="3"/>
      <c r="H84" s="19" t="s">
        <v>350</v>
      </c>
      <c r="I84" s="2"/>
      <c r="J84" s="2"/>
      <c r="K84" s="2" t="str">
        <f t="shared" si="62"/>
        <v/>
      </c>
      <c r="L84" s="7" t="str">
        <f t="shared" si="60"/>
        <v>2001/01/01</v>
      </c>
      <c r="M84" s="7" t="str">
        <f t="shared" si="61"/>
        <v>2199/12/31</v>
      </c>
      <c r="N84" s="2" t="str">
        <f t="shared" si="71"/>
        <v/>
      </c>
      <c r="O84" s="13" t="str">
        <f t="shared" si="72"/>
        <v/>
      </c>
      <c r="P84" s="15"/>
      <c r="Q84" s="13">
        <v>15</v>
      </c>
      <c r="R84" s="18">
        <v>100000000</v>
      </c>
      <c r="S84" s="18" t="str" cm="1">
        <f t="array" ref="S84">_xlfn.IFS(LEFT(G84,1)="L","記載要",LEFT(G84,1)="W","記載要",G84="","")</f>
        <v/>
      </c>
      <c r="T84" s="2"/>
      <c r="U84" s="2"/>
      <c r="V84" s="2"/>
      <c r="W84" s="2"/>
      <c r="X84" s="2"/>
      <c r="Y84" s="2"/>
      <c r="Z84" s="2"/>
      <c r="AA84" s="13">
        <v>1</v>
      </c>
      <c r="AB84" s="13">
        <f t="shared" si="63"/>
        <v>0</v>
      </c>
      <c r="AC84" s="13">
        <f t="shared" si="64"/>
        <v>0</v>
      </c>
      <c r="AD84" s="15"/>
      <c r="AE84" s="15"/>
      <c r="AF84" s="13" t="str">
        <f t="shared" si="65"/>
        <v>1</v>
      </c>
      <c r="AG84" s="17"/>
      <c r="AH84" s="17"/>
      <c r="AI84" s="15"/>
      <c r="AJ84" s="14"/>
      <c r="AK84" s="15" cm="1">
        <f t="array" ref="AK84">_xlfn.IFS(B84="","",LEFT(G84,1)="L",1,LEFT(G84,1)="W",1,AND(LEFT(B84,1)="H",G84=""),0)</f>
        <v>0</v>
      </c>
      <c r="AL84" s="15"/>
      <c r="AM84" s="15"/>
      <c r="AN84" s="15"/>
      <c r="AO84" s="15"/>
      <c r="AP84" s="15"/>
      <c r="AQ84" s="15"/>
      <c r="AR84" s="15"/>
      <c r="AS84" s="15">
        <f t="shared" si="73"/>
        <v>1</v>
      </c>
      <c r="AT84" s="15" t="s">
        <v>115</v>
      </c>
      <c r="AU84" s="13" t="str">
        <f t="shared" si="66"/>
        <v>0</v>
      </c>
      <c r="AV84" s="15"/>
      <c r="AW84" s="15"/>
      <c r="AX84" s="15"/>
      <c r="AY84" s="15"/>
      <c r="AZ84" s="14"/>
      <c r="BA84" s="15"/>
      <c r="BB84" s="15"/>
      <c r="BC84" s="15"/>
      <c r="BD84" s="13" t="str">
        <f t="shared" si="67"/>
        <v>0</v>
      </c>
      <c r="BE84" s="2"/>
      <c r="BF84" s="2"/>
      <c r="BG84" s="2"/>
      <c r="BH84" s="2"/>
      <c r="BI84" s="2"/>
      <c r="BJ84" s="2"/>
      <c r="BK84" s="2" t="s">
        <v>340</v>
      </c>
      <c r="BL84" s="10"/>
      <c r="BM84" t="str" cm="1">
        <f t="array" ref="BM84">_xlfn.IFS(LEFT(G84,1)="L","外注品",LEFT(G84,1)="W","内製品",G84="","購買品")</f>
        <v>購買品</v>
      </c>
    </row>
    <row r="85" spans="1:65">
      <c r="A85" s="2" t="str">
        <f t="shared" si="68"/>
        <v>WG01</v>
      </c>
      <c r="B85" s="2" t="s">
        <v>214</v>
      </c>
      <c r="C85" s="2" t="s">
        <v>288</v>
      </c>
      <c r="D85" s="10" t="str">
        <f t="shared" si="69"/>
        <v>E385503_01</v>
      </c>
      <c r="E85" s="10">
        <f t="shared" si="70"/>
        <v>0</v>
      </c>
      <c r="F85" s="2"/>
      <c r="G85" s="3"/>
      <c r="H85" s="19" t="s">
        <v>350</v>
      </c>
      <c r="I85" s="2"/>
      <c r="J85" s="2"/>
      <c r="K85" s="2" t="str">
        <f t="shared" si="62"/>
        <v/>
      </c>
      <c r="L85" s="7" t="str">
        <f t="shared" si="60"/>
        <v>2001/01/01</v>
      </c>
      <c r="M85" s="7" t="str">
        <f t="shared" si="61"/>
        <v>2199/12/31</v>
      </c>
      <c r="N85" s="2" t="str">
        <f t="shared" si="71"/>
        <v/>
      </c>
      <c r="O85" s="13" t="str">
        <f t="shared" si="72"/>
        <v/>
      </c>
      <c r="P85" s="15"/>
      <c r="Q85" s="13">
        <v>15</v>
      </c>
      <c r="R85" s="18">
        <v>100000000</v>
      </c>
      <c r="S85" s="18" t="str" cm="1">
        <f t="array" ref="S85">_xlfn.IFS(LEFT(G85,1)="L","記載要",LEFT(G85,1)="W","記載要",G85="","")</f>
        <v/>
      </c>
      <c r="T85" s="2"/>
      <c r="U85" s="2"/>
      <c r="V85" s="2"/>
      <c r="W85" s="2"/>
      <c r="X85" s="2"/>
      <c r="Y85" s="2"/>
      <c r="Z85" s="2"/>
      <c r="AA85" s="13">
        <v>1</v>
      </c>
      <c r="AB85" s="13">
        <f t="shared" si="63"/>
        <v>0</v>
      </c>
      <c r="AC85" s="13">
        <f t="shared" si="64"/>
        <v>0</v>
      </c>
      <c r="AD85" s="15"/>
      <c r="AE85" s="15"/>
      <c r="AF85" s="13" t="str">
        <f t="shared" si="65"/>
        <v>1</v>
      </c>
      <c r="AG85" s="17"/>
      <c r="AH85" s="17"/>
      <c r="AI85" s="15"/>
      <c r="AJ85" s="14"/>
      <c r="AK85" s="15" cm="1">
        <f t="array" ref="AK85">_xlfn.IFS(B85="","",LEFT(G85,1)="L",1,LEFT(G85,1)="W",1,AND(LEFT(B85,1)="H",G85=""),0)</f>
        <v>0</v>
      </c>
      <c r="AL85" s="15"/>
      <c r="AM85" s="15"/>
      <c r="AN85" s="15"/>
      <c r="AO85" s="15"/>
      <c r="AP85" s="15"/>
      <c r="AQ85" s="15"/>
      <c r="AR85" s="15"/>
      <c r="AS85" s="15">
        <f t="shared" si="73"/>
        <v>1</v>
      </c>
      <c r="AT85" s="15" t="s">
        <v>115</v>
      </c>
      <c r="AU85" s="13" t="str">
        <f t="shared" si="66"/>
        <v>0</v>
      </c>
      <c r="AV85" s="15"/>
      <c r="AW85" s="15"/>
      <c r="AX85" s="15"/>
      <c r="AY85" s="15"/>
      <c r="AZ85" s="14"/>
      <c r="BA85" s="15"/>
      <c r="BB85" s="15"/>
      <c r="BC85" s="15"/>
      <c r="BD85" s="13" t="str">
        <f t="shared" si="67"/>
        <v>0</v>
      </c>
      <c r="BE85" s="2"/>
      <c r="BF85" s="2"/>
      <c r="BG85" s="2"/>
      <c r="BH85" s="2"/>
      <c r="BI85" s="2"/>
      <c r="BJ85" s="2"/>
      <c r="BK85" s="2" t="s">
        <v>340</v>
      </c>
      <c r="BL85" s="10"/>
      <c r="BM85" t="str" cm="1">
        <f t="array" ref="BM85">_xlfn.IFS(LEFT(G85,1)="L","外注品",LEFT(G85,1)="W","内製品",G85="","購買品")</f>
        <v>購買品</v>
      </c>
    </row>
    <row r="86" spans="1:65">
      <c r="A86" s="2" t="str">
        <f t="shared" si="68"/>
        <v>WG01</v>
      </c>
      <c r="B86" s="2" t="s">
        <v>215</v>
      </c>
      <c r="C86" s="2" t="s">
        <v>289</v>
      </c>
      <c r="D86" s="10" t="str">
        <f t="shared" si="69"/>
        <v>E385503_01</v>
      </c>
      <c r="E86" s="10">
        <f t="shared" si="70"/>
        <v>0</v>
      </c>
      <c r="F86" s="2"/>
      <c r="G86" s="3"/>
      <c r="H86" s="19" t="s">
        <v>350</v>
      </c>
      <c r="I86" s="2"/>
      <c r="J86" s="2"/>
      <c r="K86" s="2" t="str">
        <f t="shared" si="62"/>
        <v/>
      </c>
      <c r="L86" s="7" t="str">
        <f t="shared" si="60"/>
        <v>2001/01/01</v>
      </c>
      <c r="M86" s="7" t="str">
        <f t="shared" si="61"/>
        <v>2199/12/31</v>
      </c>
      <c r="N86" s="2" t="str">
        <f t="shared" si="71"/>
        <v/>
      </c>
      <c r="O86" s="13" t="str">
        <f t="shared" si="72"/>
        <v/>
      </c>
      <c r="P86" s="15"/>
      <c r="Q86" s="13">
        <v>15</v>
      </c>
      <c r="R86" s="18">
        <v>100000000</v>
      </c>
      <c r="S86" s="18" t="str" cm="1">
        <f t="array" ref="S86">_xlfn.IFS(LEFT(G86,1)="L","記載要",LEFT(G86,1)="W","記載要",G86="","")</f>
        <v/>
      </c>
      <c r="T86" s="2"/>
      <c r="U86" s="2"/>
      <c r="V86" s="2"/>
      <c r="W86" s="2"/>
      <c r="X86" s="2"/>
      <c r="Y86" s="2"/>
      <c r="Z86" s="2"/>
      <c r="AA86" s="13">
        <v>1</v>
      </c>
      <c r="AB86" s="13">
        <f t="shared" si="63"/>
        <v>0</v>
      </c>
      <c r="AC86" s="13">
        <f t="shared" si="64"/>
        <v>0</v>
      </c>
      <c r="AD86" s="15"/>
      <c r="AE86" s="15"/>
      <c r="AF86" s="13" t="str">
        <f t="shared" si="65"/>
        <v>1</v>
      </c>
      <c r="AG86" s="17"/>
      <c r="AH86" s="17"/>
      <c r="AI86" s="15"/>
      <c r="AJ86" s="14"/>
      <c r="AK86" s="15" cm="1">
        <f t="array" ref="AK86">_xlfn.IFS(B86="","",LEFT(G86,1)="L",1,LEFT(G86,1)="W",1,AND(LEFT(B86,1)="H",G86=""),0)</f>
        <v>0</v>
      </c>
      <c r="AL86" s="15"/>
      <c r="AM86" s="15"/>
      <c r="AN86" s="15"/>
      <c r="AO86" s="15"/>
      <c r="AP86" s="15"/>
      <c r="AQ86" s="15"/>
      <c r="AR86" s="15"/>
      <c r="AS86" s="15">
        <f t="shared" si="73"/>
        <v>1</v>
      </c>
      <c r="AT86" s="15" t="s">
        <v>115</v>
      </c>
      <c r="AU86" s="13" t="str">
        <f t="shared" si="66"/>
        <v>0</v>
      </c>
      <c r="AV86" s="15"/>
      <c r="AW86" s="15"/>
      <c r="AX86" s="15"/>
      <c r="AY86" s="15"/>
      <c r="AZ86" s="14"/>
      <c r="BA86" s="15"/>
      <c r="BB86" s="15"/>
      <c r="BC86" s="15"/>
      <c r="BD86" s="13" t="str">
        <f t="shared" si="67"/>
        <v>0</v>
      </c>
      <c r="BE86" s="2"/>
      <c r="BF86" s="2"/>
      <c r="BG86" s="2"/>
      <c r="BH86" s="2"/>
      <c r="BI86" s="2"/>
      <c r="BJ86" s="2"/>
      <c r="BK86" s="2" t="s">
        <v>340</v>
      </c>
      <c r="BL86" s="10"/>
      <c r="BM86" t="str" cm="1">
        <f t="array" ref="BM86">_xlfn.IFS(LEFT(G86,1)="L","外注品",LEFT(G86,1)="W","内製品",G86="","購買品")</f>
        <v>購買品</v>
      </c>
    </row>
    <row r="87" spans="1:65">
      <c r="A87" s="2" t="str">
        <f t="shared" si="68"/>
        <v>WG01</v>
      </c>
      <c r="B87" s="2" t="s">
        <v>216</v>
      </c>
      <c r="C87" s="2" t="s">
        <v>290</v>
      </c>
      <c r="D87" s="10" t="str">
        <f t="shared" si="69"/>
        <v>E385503_01</v>
      </c>
      <c r="E87" s="10">
        <f t="shared" si="70"/>
        <v>0</v>
      </c>
      <c r="F87" s="2"/>
      <c r="G87" s="3"/>
      <c r="H87" s="19" t="s">
        <v>350</v>
      </c>
      <c r="I87" s="2"/>
      <c r="J87" s="2"/>
      <c r="K87" s="2" t="str">
        <f t="shared" si="62"/>
        <v/>
      </c>
      <c r="L87" s="7" t="str">
        <f t="shared" si="60"/>
        <v>2001/01/01</v>
      </c>
      <c r="M87" s="7" t="str">
        <f t="shared" si="61"/>
        <v>2199/12/31</v>
      </c>
      <c r="N87" s="2" t="str">
        <f t="shared" si="71"/>
        <v/>
      </c>
      <c r="O87" s="13" t="str">
        <f t="shared" si="72"/>
        <v/>
      </c>
      <c r="P87" s="15"/>
      <c r="Q87" s="13">
        <v>15</v>
      </c>
      <c r="R87" s="18">
        <v>100000000</v>
      </c>
      <c r="S87" s="18" t="str" cm="1">
        <f t="array" ref="S87">_xlfn.IFS(LEFT(G87,1)="L","記載要",LEFT(G87,1)="W","記載要",G87="","")</f>
        <v/>
      </c>
      <c r="T87" s="2"/>
      <c r="U87" s="2"/>
      <c r="V87" s="2"/>
      <c r="W87" s="2"/>
      <c r="X87" s="2"/>
      <c r="Y87" s="2"/>
      <c r="Z87" s="2"/>
      <c r="AA87" s="13">
        <v>1</v>
      </c>
      <c r="AB87" s="13">
        <f t="shared" si="63"/>
        <v>0</v>
      </c>
      <c r="AC87" s="13">
        <f t="shared" si="64"/>
        <v>0</v>
      </c>
      <c r="AD87" s="15"/>
      <c r="AE87" s="15"/>
      <c r="AF87" s="13" t="str">
        <f t="shared" si="65"/>
        <v>1</v>
      </c>
      <c r="AG87" s="17"/>
      <c r="AH87" s="17"/>
      <c r="AI87" s="15"/>
      <c r="AJ87" s="14"/>
      <c r="AK87" s="15" cm="1">
        <f t="array" ref="AK87">_xlfn.IFS(B87="","",LEFT(G87,1)="L",1,LEFT(G87,1)="W",1,AND(LEFT(B87,1)="H",G87=""),0)</f>
        <v>0</v>
      </c>
      <c r="AL87" s="15"/>
      <c r="AM87" s="15"/>
      <c r="AN87" s="15"/>
      <c r="AO87" s="15"/>
      <c r="AP87" s="15"/>
      <c r="AQ87" s="15"/>
      <c r="AR87" s="15"/>
      <c r="AS87" s="15">
        <f t="shared" si="73"/>
        <v>1</v>
      </c>
      <c r="AT87" s="15" t="s">
        <v>115</v>
      </c>
      <c r="AU87" s="13" t="str">
        <f t="shared" si="66"/>
        <v>0</v>
      </c>
      <c r="AV87" s="15"/>
      <c r="AW87" s="15"/>
      <c r="AX87" s="15"/>
      <c r="AY87" s="15"/>
      <c r="AZ87" s="14"/>
      <c r="BA87" s="15"/>
      <c r="BB87" s="15"/>
      <c r="BC87" s="15"/>
      <c r="BD87" s="13" t="str">
        <f t="shared" si="67"/>
        <v>0</v>
      </c>
      <c r="BE87" s="2"/>
      <c r="BF87" s="2"/>
      <c r="BG87" s="2"/>
      <c r="BH87" s="2"/>
      <c r="BI87" s="2"/>
      <c r="BJ87" s="2"/>
      <c r="BK87" s="2" t="s">
        <v>340</v>
      </c>
      <c r="BL87" s="10"/>
      <c r="BM87" t="str" cm="1">
        <f t="array" ref="BM87">_xlfn.IFS(LEFT(G87,1)="L","外注品",LEFT(G87,1)="W","内製品",G87="","購買品")</f>
        <v>購買品</v>
      </c>
    </row>
    <row r="88" spans="1:65">
      <c r="A88" s="2" t="str">
        <f t="shared" si="68"/>
        <v>WG01</v>
      </c>
      <c r="B88" s="2" t="s">
        <v>217</v>
      </c>
      <c r="C88" s="2" t="s">
        <v>291</v>
      </c>
      <c r="D88" s="10" t="str">
        <f t="shared" si="69"/>
        <v>E385503_01</v>
      </c>
      <c r="E88" s="10">
        <f t="shared" si="70"/>
        <v>0</v>
      </c>
      <c r="F88" s="2"/>
      <c r="G88" s="3"/>
      <c r="H88" s="19" t="s">
        <v>350</v>
      </c>
      <c r="I88" s="2"/>
      <c r="J88" s="2"/>
      <c r="K88" s="2" t="str">
        <f t="shared" si="62"/>
        <v/>
      </c>
      <c r="L88" s="7" t="str">
        <f t="shared" si="60"/>
        <v>2001/01/01</v>
      </c>
      <c r="M88" s="7" t="str">
        <f t="shared" si="61"/>
        <v>2199/12/31</v>
      </c>
      <c r="N88" s="2" t="str">
        <f t="shared" si="71"/>
        <v/>
      </c>
      <c r="O88" s="13" t="str">
        <f t="shared" si="72"/>
        <v/>
      </c>
      <c r="P88" s="15"/>
      <c r="Q88" s="13">
        <v>15</v>
      </c>
      <c r="R88" s="18">
        <v>100000000</v>
      </c>
      <c r="S88" s="18" t="str" cm="1">
        <f t="array" ref="S88">_xlfn.IFS(LEFT(G88,1)="L","記載要",LEFT(G88,1)="W","記載要",G88="","")</f>
        <v/>
      </c>
      <c r="T88" s="2"/>
      <c r="U88" s="2"/>
      <c r="V88" s="2"/>
      <c r="W88" s="2"/>
      <c r="X88" s="2"/>
      <c r="Y88" s="2"/>
      <c r="Z88" s="2"/>
      <c r="AA88" s="13">
        <v>1</v>
      </c>
      <c r="AB88" s="13">
        <f t="shared" si="63"/>
        <v>0</v>
      </c>
      <c r="AC88" s="13">
        <f t="shared" si="64"/>
        <v>0</v>
      </c>
      <c r="AD88" s="15"/>
      <c r="AE88" s="15"/>
      <c r="AF88" s="13" t="str">
        <f t="shared" si="65"/>
        <v>1</v>
      </c>
      <c r="AG88" s="17"/>
      <c r="AH88" s="17"/>
      <c r="AI88" s="15"/>
      <c r="AJ88" s="14"/>
      <c r="AK88" s="15" cm="1">
        <f t="array" ref="AK88">_xlfn.IFS(B88="","",LEFT(G88,1)="L",1,LEFT(G88,1)="W",1,AND(LEFT(B88,1)="H",G88=""),0)</f>
        <v>0</v>
      </c>
      <c r="AL88" s="15"/>
      <c r="AM88" s="15"/>
      <c r="AN88" s="15"/>
      <c r="AO88" s="15"/>
      <c r="AP88" s="15"/>
      <c r="AQ88" s="15"/>
      <c r="AR88" s="15"/>
      <c r="AS88" s="15">
        <f t="shared" si="73"/>
        <v>1</v>
      </c>
      <c r="AT88" s="15" t="s">
        <v>115</v>
      </c>
      <c r="AU88" s="13" t="str">
        <f t="shared" si="66"/>
        <v>0</v>
      </c>
      <c r="AV88" s="15"/>
      <c r="AW88" s="15"/>
      <c r="AX88" s="15"/>
      <c r="AY88" s="15"/>
      <c r="AZ88" s="14"/>
      <c r="BA88" s="15"/>
      <c r="BB88" s="15"/>
      <c r="BC88" s="15"/>
      <c r="BD88" s="13" t="str">
        <f t="shared" si="67"/>
        <v>0</v>
      </c>
      <c r="BE88" s="2"/>
      <c r="BF88" s="2"/>
      <c r="BG88" s="2"/>
      <c r="BH88" s="2"/>
      <c r="BI88" s="2"/>
      <c r="BJ88" s="2"/>
      <c r="BK88" s="2" t="s">
        <v>340</v>
      </c>
      <c r="BL88" s="10"/>
      <c r="BM88" t="str" cm="1">
        <f t="array" ref="BM88">_xlfn.IFS(LEFT(G88,1)="L","外注品",LEFT(G88,1)="W","内製品",G88="","購買品")</f>
        <v>購買品</v>
      </c>
    </row>
    <row r="89" spans="1:65">
      <c r="A89" s="2" t="str">
        <f t="shared" si="68"/>
        <v>WG01</v>
      </c>
      <c r="B89" s="2" t="s">
        <v>218</v>
      </c>
      <c r="C89" s="2" t="s">
        <v>292</v>
      </c>
      <c r="D89" s="10" t="str">
        <f t="shared" si="69"/>
        <v>E385503_01</v>
      </c>
      <c r="E89" s="10">
        <f t="shared" si="70"/>
        <v>0</v>
      </c>
      <c r="F89" s="2"/>
      <c r="G89" s="3"/>
      <c r="H89" s="19" t="s">
        <v>350</v>
      </c>
      <c r="I89" s="2"/>
      <c r="J89" s="2"/>
      <c r="K89" s="2" t="str">
        <f t="shared" si="62"/>
        <v/>
      </c>
      <c r="L89" s="7" t="str">
        <f t="shared" si="60"/>
        <v>2001/01/01</v>
      </c>
      <c r="M89" s="7" t="str">
        <f t="shared" si="61"/>
        <v>2199/12/31</v>
      </c>
      <c r="N89" s="2" t="str">
        <f t="shared" si="71"/>
        <v/>
      </c>
      <c r="O89" s="13" t="str">
        <f t="shared" si="72"/>
        <v/>
      </c>
      <c r="P89" s="15"/>
      <c r="Q89" s="13">
        <v>15</v>
      </c>
      <c r="R89" s="18">
        <v>100000000</v>
      </c>
      <c r="S89" s="18" t="str" cm="1">
        <f t="array" ref="S89">_xlfn.IFS(LEFT(G89,1)="L","記載要",LEFT(G89,1)="W","記載要",G89="","")</f>
        <v/>
      </c>
      <c r="T89" s="2"/>
      <c r="U89" s="2"/>
      <c r="V89" s="2"/>
      <c r="W89" s="2"/>
      <c r="X89" s="2"/>
      <c r="Y89" s="2"/>
      <c r="Z89" s="2"/>
      <c r="AA89" s="13">
        <v>1</v>
      </c>
      <c r="AB89" s="13">
        <f t="shared" si="63"/>
        <v>0</v>
      </c>
      <c r="AC89" s="13">
        <f t="shared" si="64"/>
        <v>0</v>
      </c>
      <c r="AD89" s="15"/>
      <c r="AE89" s="15"/>
      <c r="AF89" s="13" t="str">
        <f t="shared" si="65"/>
        <v>1</v>
      </c>
      <c r="AG89" s="17"/>
      <c r="AH89" s="17"/>
      <c r="AI89" s="15"/>
      <c r="AJ89" s="14"/>
      <c r="AK89" s="15" cm="1">
        <f t="array" ref="AK89">_xlfn.IFS(B89="","",LEFT(G89,1)="L",1,LEFT(G89,1)="W",1,AND(LEFT(B89,1)="H",G89=""),0)</f>
        <v>0</v>
      </c>
      <c r="AL89" s="15"/>
      <c r="AM89" s="15"/>
      <c r="AN89" s="15"/>
      <c r="AO89" s="15"/>
      <c r="AP89" s="15"/>
      <c r="AQ89" s="15"/>
      <c r="AR89" s="15"/>
      <c r="AS89" s="15">
        <f t="shared" si="73"/>
        <v>1</v>
      </c>
      <c r="AT89" s="15" t="s">
        <v>115</v>
      </c>
      <c r="AU89" s="13" t="str">
        <f t="shared" si="66"/>
        <v>0</v>
      </c>
      <c r="AV89" s="15"/>
      <c r="AW89" s="15"/>
      <c r="AX89" s="15"/>
      <c r="AY89" s="15"/>
      <c r="AZ89" s="14"/>
      <c r="BA89" s="15"/>
      <c r="BB89" s="15"/>
      <c r="BC89" s="15"/>
      <c r="BD89" s="13" t="str">
        <f t="shared" si="67"/>
        <v>0</v>
      </c>
      <c r="BE89" s="2"/>
      <c r="BF89" s="2"/>
      <c r="BG89" s="2"/>
      <c r="BH89" s="2"/>
      <c r="BI89" s="2"/>
      <c r="BJ89" s="2"/>
      <c r="BK89" s="2" t="s">
        <v>340</v>
      </c>
      <c r="BL89" s="10"/>
      <c r="BM89" t="str" cm="1">
        <f t="array" ref="BM89">_xlfn.IFS(LEFT(G89,1)="L","外注品",LEFT(G89,1)="W","内製品",G89="","購買品")</f>
        <v>購買品</v>
      </c>
    </row>
    <row r="90" spans="1:65">
      <c r="A90" s="2" t="str">
        <f t="shared" si="68"/>
        <v>WG01</v>
      </c>
      <c r="B90" s="2" t="s">
        <v>219</v>
      </c>
      <c r="C90" s="2" t="s">
        <v>293</v>
      </c>
      <c r="D90" s="10" t="str">
        <f t="shared" si="69"/>
        <v>E385503_01</v>
      </c>
      <c r="E90" s="10">
        <f t="shared" si="70"/>
        <v>0</v>
      </c>
      <c r="F90" s="2"/>
      <c r="G90" s="3"/>
      <c r="H90" s="19" t="s">
        <v>350</v>
      </c>
      <c r="I90" s="2"/>
      <c r="J90" s="2"/>
      <c r="K90" s="2" t="str">
        <f t="shared" si="62"/>
        <v/>
      </c>
      <c r="L90" s="7" t="str">
        <f t="shared" si="60"/>
        <v>2001/01/01</v>
      </c>
      <c r="M90" s="7" t="str">
        <f t="shared" si="61"/>
        <v>2199/12/31</v>
      </c>
      <c r="N90" s="2" t="str">
        <f t="shared" si="71"/>
        <v/>
      </c>
      <c r="O90" s="13" t="str">
        <f t="shared" si="72"/>
        <v/>
      </c>
      <c r="P90" s="15"/>
      <c r="Q90" s="13">
        <v>15</v>
      </c>
      <c r="R90" s="18">
        <v>100000000</v>
      </c>
      <c r="S90" s="18" t="str" cm="1">
        <f t="array" ref="S90">_xlfn.IFS(LEFT(G90,1)="L","記載要",LEFT(G90,1)="W","記載要",G90="","")</f>
        <v/>
      </c>
      <c r="T90" s="2"/>
      <c r="U90" s="2"/>
      <c r="V90" s="2"/>
      <c r="W90" s="2"/>
      <c r="X90" s="2"/>
      <c r="Y90" s="2"/>
      <c r="Z90" s="2"/>
      <c r="AA90" s="13">
        <v>1</v>
      </c>
      <c r="AB90" s="13">
        <f t="shared" si="63"/>
        <v>0</v>
      </c>
      <c r="AC90" s="13">
        <f t="shared" si="64"/>
        <v>0</v>
      </c>
      <c r="AD90" s="15"/>
      <c r="AE90" s="15"/>
      <c r="AF90" s="13" t="str">
        <f t="shared" si="65"/>
        <v>1</v>
      </c>
      <c r="AG90" s="17"/>
      <c r="AH90" s="17"/>
      <c r="AI90" s="15"/>
      <c r="AJ90" s="14"/>
      <c r="AK90" s="15" cm="1">
        <f t="array" ref="AK90">_xlfn.IFS(B90="","",LEFT(G90,1)="L",1,LEFT(G90,1)="W",1,AND(LEFT(B90,1)="H",G90=""),0)</f>
        <v>0</v>
      </c>
      <c r="AL90" s="15"/>
      <c r="AM90" s="15"/>
      <c r="AN90" s="15"/>
      <c r="AO90" s="15"/>
      <c r="AP90" s="15"/>
      <c r="AQ90" s="15"/>
      <c r="AR90" s="15"/>
      <c r="AS90" s="15">
        <f t="shared" si="73"/>
        <v>1</v>
      </c>
      <c r="AT90" s="15" t="s">
        <v>115</v>
      </c>
      <c r="AU90" s="13" t="str">
        <f t="shared" si="66"/>
        <v>0</v>
      </c>
      <c r="AV90" s="15"/>
      <c r="AW90" s="15"/>
      <c r="AX90" s="15"/>
      <c r="AY90" s="15"/>
      <c r="AZ90" s="14"/>
      <c r="BA90" s="15"/>
      <c r="BB90" s="15"/>
      <c r="BC90" s="15"/>
      <c r="BD90" s="13" t="str">
        <f t="shared" si="67"/>
        <v>0</v>
      </c>
      <c r="BE90" s="2"/>
      <c r="BF90" s="2"/>
      <c r="BG90" s="2"/>
      <c r="BH90" s="2"/>
      <c r="BI90" s="2"/>
      <c r="BJ90" s="2"/>
      <c r="BK90" s="2" t="s">
        <v>340</v>
      </c>
      <c r="BL90" s="10"/>
      <c r="BM90" t="str" cm="1">
        <f t="array" ref="BM90">_xlfn.IFS(LEFT(G90,1)="L","外注品",LEFT(G90,1)="W","内製品",G90="","購買品")</f>
        <v>購買品</v>
      </c>
    </row>
    <row r="91" spans="1:65">
      <c r="A91" s="2" t="str">
        <f t="shared" si="68"/>
        <v>WG01</v>
      </c>
      <c r="B91" s="2" t="s">
        <v>220</v>
      </c>
      <c r="C91" s="2" t="s">
        <v>294</v>
      </c>
      <c r="D91" s="10" t="str">
        <f t="shared" si="69"/>
        <v>E385503_01</v>
      </c>
      <c r="E91" s="10">
        <f t="shared" si="70"/>
        <v>0</v>
      </c>
      <c r="F91" s="2"/>
      <c r="G91" s="3"/>
      <c r="H91" s="19" t="s">
        <v>350</v>
      </c>
      <c r="I91" s="2"/>
      <c r="J91" s="2"/>
      <c r="K91" s="2" t="str">
        <f t="shared" si="62"/>
        <v/>
      </c>
      <c r="L91" s="7" t="str">
        <f t="shared" si="60"/>
        <v>2001/01/01</v>
      </c>
      <c r="M91" s="7" t="str">
        <f t="shared" si="61"/>
        <v>2199/12/31</v>
      </c>
      <c r="N91" s="2" t="str">
        <f t="shared" si="71"/>
        <v/>
      </c>
      <c r="O91" s="13" t="str">
        <f t="shared" si="72"/>
        <v/>
      </c>
      <c r="P91" s="15"/>
      <c r="Q91" s="13">
        <v>15</v>
      </c>
      <c r="R91" s="18">
        <v>100000000</v>
      </c>
      <c r="S91" s="18" t="str" cm="1">
        <f t="array" ref="S91">_xlfn.IFS(LEFT(G91,1)="L","記載要",LEFT(G91,1)="W","記載要",G91="","")</f>
        <v/>
      </c>
      <c r="T91" s="2"/>
      <c r="U91" s="2"/>
      <c r="V91" s="2"/>
      <c r="W91" s="2"/>
      <c r="X91" s="2"/>
      <c r="Y91" s="2"/>
      <c r="Z91" s="2"/>
      <c r="AA91" s="13">
        <v>1</v>
      </c>
      <c r="AB91" s="13">
        <f t="shared" si="63"/>
        <v>0</v>
      </c>
      <c r="AC91" s="13">
        <f t="shared" si="64"/>
        <v>0</v>
      </c>
      <c r="AD91" s="15"/>
      <c r="AE91" s="15"/>
      <c r="AF91" s="13" t="str">
        <f t="shared" si="65"/>
        <v>1</v>
      </c>
      <c r="AG91" s="17"/>
      <c r="AH91" s="17"/>
      <c r="AI91" s="15"/>
      <c r="AJ91" s="14"/>
      <c r="AK91" s="15" cm="1">
        <f t="array" ref="AK91">_xlfn.IFS(B91="","",LEFT(G91,1)="L",1,LEFT(G91,1)="W",1,AND(LEFT(B91,1)="H",G91=""),0)</f>
        <v>0</v>
      </c>
      <c r="AL91" s="15"/>
      <c r="AM91" s="15"/>
      <c r="AN91" s="15"/>
      <c r="AO91" s="15"/>
      <c r="AP91" s="15"/>
      <c r="AQ91" s="15"/>
      <c r="AR91" s="15"/>
      <c r="AS91" s="15">
        <f t="shared" si="73"/>
        <v>1</v>
      </c>
      <c r="AT91" s="15" t="s">
        <v>115</v>
      </c>
      <c r="AU91" s="13" t="str">
        <f t="shared" si="66"/>
        <v>0</v>
      </c>
      <c r="AV91" s="15"/>
      <c r="AW91" s="15"/>
      <c r="AX91" s="15"/>
      <c r="AY91" s="15"/>
      <c r="AZ91" s="14"/>
      <c r="BA91" s="15"/>
      <c r="BB91" s="15"/>
      <c r="BC91" s="15"/>
      <c r="BD91" s="13" t="str">
        <f t="shared" si="67"/>
        <v>0</v>
      </c>
      <c r="BE91" s="2"/>
      <c r="BF91" s="2"/>
      <c r="BG91" s="2"/>
      <c r="BH91" s="2"/>
      <c r="BI91" s="2"/>
      <c r="BJ91" s="2"/>
      <c r="BK91" s="2" t="s">
        <v>340</v>
      </c>
      <c r="BL91" s="10"/>
      <c r="BM91" t="str" cm="1">
        <f t="array" ref="BM91">_xlfn.IFS(LEFT(G91,1)="L","外注品",LEFT(G91,1)="W","内製品",G91="","購買品")</f>
        <v>購買品</v>
      </c>
    </row>
    <row r="92" spans="1:65">
      <c r="A92" s="2" t="str">
        <f t="shared" si="68"/>
        <v>WG01</v>
      </c>
      <c r="B92" s="2" t="s">
        <v>221</v>
      </c>
      <c r="C92" s="2" t="s">
        <v>295</v>
      </c>
      <c r="D92" s="10" t="str">
        <f t="shared" si="69"/>
        <v>E385503_01</v>
      </c>
      <c r="E92" s="10">
        <f t="shared" si="70"/>
        <v>0</v>
      </c>
      <c r="F92" s="2"/>
      <c r="G92" s="3"/>
      <c r="H92" s="19" t="s">
        <v>350</v>
      </c>
      <c r="I92" s="2"/>
      <c r="J92" s="2"/>
      <c r="K92" s="2" t="str">
        <f t="shared" si="62"/>
        <v/>
      </c>
      <c r="L92" s="7" t="str">
        <f t="shared" si="60"/>
        <v>2001/01/01</v>
      </c>
      <c r="M92" s="7" t="str">
        <f t="shared" si="61"/>
        <v>2199/12/31</v>
      </c>
      <c r="N92" s="2" t="str">
        <f t="shared" si="71"/>
        <v/>
      </c>
      <c r="O92" s="13" t="str">
        <f t="shared" si="72"/>
        <v/>
      </c>
      <c r="P92" s="15"/>
      <c r="Q92" s="13">
        <v>15</v>
      </c>
      <c r="R92" s="18">
        <v>100000000</v>
      </c>
      <c r="S92" s="18" t="str" cm="1">
        <f t="array" ref="S92">_xlfn.IFS(LEFT(G92,1)="L","記載要",LEFT(G92,1)="W","記載要",G92="","")</f>
        <v/>
      </c>
      <c r="T92" s="2"/>
      <c r="U92" s="2"/>
      <c r="V92" s="2"/>
      <c r="W92" s="2"/>
      <c r="X92" s="2"/>
      <c r="Y92" s="2"/>
      <c r="Z92" s="2"/>
      <c r="AA92" s="13">
        <v>1</v>
      </c>
      <c r="AB92" s="13">
        <f t="shared" si="63"/>
        <v>0</v>
      </c>
      <c r="AC92" s="13">
        <f t="shared" si="64"/>
        <v>0</v>
      </c>
      <c r="AD92" s="15"/>
      <c r="AE92" s="15"/>
      <c r="AF92" s="13" t="str">
        <f t="shared" si="65"/>
        <v>1</v>
      </c>
      <c r="AG92" s="17"/>
      <c r="AH92" s="17"/>
      <c r="AI92" s="15"/>
      <c r="AJ92" s="14"/>
      <c r="AK92" s="15" cm="1">
        <f t="array" ref="AK92">_xlfn.IFS(B92="","",LEFT(G92,1)="L",1,LEFT(G92,1)="W",1,AND(LEFT(B92,1)="H",G92=""),0)</f>
        <v>0</v>
      </c>
      <c r="AL92" s="15"/>
      <c r="AM92" s="15"/>
      <c r="AN92" s="15"/>
      <c r="AO92" s="15"/>
      <c r="AP92" s="15"/>
      <c r="AQ92" s="15"/>
      <c r="AR92" s="15"/>
      <c r="AS92" s="15">
        <f t="shared" si="73"/>
        <v>1</v>
      </c>
      <c r="AT92" s="15" t="s">
        <v>115</v>
      </c>
      <c r="AU92" s="13" t="str">
        <f t="shared" si="66"/>
        <v>0</v>
      </c>
      <c r="AV92" s="15"/>
      <c r="AW92" s="15"/>
      <c r="AX92" s="15"/>
      <c r="AY92" s="15"/>
      <c r="AZ92" s="14"/>
      <c r="BA92" s="15"/>
      <c r="BB92" s="15"/>
      <c r="BC92" s="15"/>
      <c r="BD92" s="13" t="str">
        <f t="shared" si="67"/>
        <v>0</v>
      </c>
      <c r="BE92" s="2"/>
      <c r="BF92" s="2"/>
      <c r="BG92" s="2"/>
      <c r="BH92" s="2"/>
      <c r="BI92" s="2"/>
      <c r="BJ92" s="2"/>
      <c r="BK92" s="2" t="s">
        <v>340</v>
      </c>
      <c r="BL92" s="10"/>
      <c r="BM92" t="str" cm="1">
        <f t="array" ref="BM92">_xlfn.IFS(LEFT(G92,1)="L","外注品",LEFT(G92,1)="W","内製品",G92="","購買品")</f>
        <v>購買品</v>
      </c>
    </row>
    <row r="93" spans="1:65">
      <c r="A93" s="2" t="str">
        <f t="shared" si="68"/>
        <v>WG01</v>
      </c>
      <c r="B93" s="2" t="s">
        <v>222</v>
      </c>
      <c r="C93" s="2" t="s">
        <v>296</v>
      </c>
      <c r="D93" s="10" t="str">
        <f t="shared" si="69"/>
        <v>E385503_01</v>
      </c>
      <c r="E93" s="10">
        <f t="shared" si="70"/>
        <v>0</v>
      </c>
      <c r="F93" s="2"/>
      <c r="G93" s="3"/>
      <c r="H93" s="19" t="s">
        <v>350</v>
      </c>
      <c r="I93" s="2"/>
      <c r="J93" s="2"/>
      <c r="K93" s="2" t="str">
        <f t="shared" si="62"/>
        <v/>
      </c>
      <c r="L93" s="7" t="str">
        <f t="shared" si="60"/>
        <v>2001/01/01</v>
      </c>
      <c r="M93" s="7" t="str">
        <f t="shared" si="61"/>
        <v>2199/12/31</v>
      </c>
      <c r="N93" s="2" t="str">
        <f t="shared" si="71"/>
        <v/>
      </c>
      <c r="O93" s="13" t="str">
        <f t="shared" si="72"/>
        <v/>
      </c>
      <c r="P93" s="15"/>
      <c r="Q93" s="13">
        <v>15</v>
      </c>
      <c r="R93" s="18">
        <v>100000000</v>
      </c>
      <c r="S93" s="18" t="str" cm="1">
        <f t="array" ref="S93">_xlfn.IFS(LEFT(G93,1)="L","記載要",LEFT(G93,1)="W","記載要",G93="","")</f>
        <v/>
      </c>
      <c r="T93" s="2"/>
      <c r="U93" s="2"/>
      <c r="V93" s="2"/>
      <c r="W93" s="2"/>
      <c r="X93" s="2"/>
      <c r="Y93" s="2"/>
      <c r="Z93" s="2"/>
      <c r="AA93" s="13">
        <v>1</v>
      </c>
      <c r="AB93" s="13">
        <f t="shared" si="63"/>
        <v>0</v>
      </c>
      <c r="AC93" s="13">
        <f t="shared" si="64"/>
        <v>0</v>
      </c>
      <c r="AD93" s="15"/>
      <c r="AE93" s="15"/>
      <c r="AF93" s="13" t="str">
        <f t="shared" si="65"/>
        <v>1</v>
      </c>
      <c r="AG93" s="17"/>
      <c r="AH93" s="17"/>
      <c r="AI93" s="15"/>
      <c r="AJ93" s="14"/>
      <c r="AK93" s="15" cm="1">
        <f t="array" ref="AK93">_xlfn.IFS(B93="","",LEFT(G93,1)="L",1,LEFT(G93,1)="W",1,AND(LEFT(B93,1)="H",G93=""),0)</f>
        <v>0</v>
      </c>
      <c r="AL93" s="15"/>
      <c r="AM93" s="15"/>
      <c r="AN93" s="15"/>
      <c r="AO93" s="15"/>
      <c r="AP93" s="15"/>
      <c r="AQ93" s="15"/>
      <c r="AR93" s="15"/>
      <c r="AS93" s="15">
        <f t="shared" si="73"/>
        <v>1</v>
      </c>
      <c r="AT93" s="15" t="s">
        <v>115</v>
      </c>
      <c r="AU93" s="13" t="str">
        <f t="shared" si="66"/>
        <v>0</v>
      </c>
      <c r="AV93" s="15"/>
      <c r="AW93" s="15"/>
      <c r="AX93" s="15"/>
      <c r="AY93" s="15"/>
      <c r="AZ93" s="14"/>
      <c r="BA93" s="15"/>
      <c r="BB93" s="15"/>
      <c r="BC93" s="15"/>
      <c r="BD93" s="13" t="str">
        <f t="shared" si="67"/>
        <v>0</v>
      </c>
      <c r="BE93" s="2"/>
      <c r="BF93" s="2"/>
      <c r="BG93" s="2"/>
      <c r="BH93" s="2"/>
      <c r="BI93" s="2"/>
      <c r="BJ93" s="2"/>
      <c r="BK93" s="2" t="s">
        <v>340</v>
      </c>
      <c r="BL93" s="10"/>
      <c r="BM93" t="str" cm="1">
        <f t="array" ref="BM93">_xlfn.IFS(LEFT(G93,1)="L","外注品",LEFT(G93,1)="W","内製品",G93="","購買品")</f>
        <v>購買品</v>
      </c>
    </row>
    <row r="94" spans="1:65">
      <c r="A94" s="2" t="str">
        <f t="shared" si="68"/>
        <v>WG01</v>
      </c>
      <c r="B94" s="2" t="s">
        <v>223</v>
      </c>
      <c r="C94" s="2" t="s">
        <v>297</v>
      </c>
      <c r="D94" s="10" t="str">
        <f t="shared" si="69"/>
        <v>E385503_01</v>
      </c>
      <c r="E94" s="10">
        <f t="shared" si="70"/>
        <v>0</v>
      </c>
      <c r="F94" s="2"/>
      <c r="G94" s="3"/>
      <c r="H94" s="19" t="s">
        <v>350</v>
      </c>
      <c r="I94" s="2"/>
      <c r="J94" s="2"/>
      <c r="K94" s="2" t="str">
        <f t="shared" si="62"/>
        <v/>
      </c>
      <c r="L94" s="7" t="str">
        <f t="shared" si="60"/>
        <v>2001/01/01</v>
      </c>
      <c r="M94" s="7" t="str">
        <f t="shared" si="61"/>
        <v>2199/12/31</v>
      </c>
      <c r="N94" s="2" t="str">
        <f t="shared" si="71"/>
        <v/>
      </c>
      <c r="O94" s="13" t="str">
        <f t="shared" si="72"/>
        <v/>
      </c>
      <c r="P94" s="15"/>
      <c r="Q94" s="13">
        <v>15</v>
      </c>
      <c r="R94" s="18">
        <v>100000000</v>
      </c>
      <c r="S94" s="18" t="str" cm="1">
        <f t="array" ref="S94">_xlfn.IFS(LEFT(G94,1)="L","記載要",LEFT(G94,1)="W","記載要",G94="","")</f>
        <v/>
      </c>
      <c r="T94" s="2"/>
      <c r="U94" s="2"/>
      <c r="V94" s="2"/>
      <c r="W94" s="2"/>
      <c r="X94" s="2"/>
      <c r="Y94" s="2"/>
      <c r="Z94" s="2"/>
      <c r="AA94" s="13">
        <v>1</v>
      </c>
      <c r="AB94" s="13">
        <f t="shared" si="63"/>
        <v>0</v>
      </c>
      <c r="AC94" s="13">
        <f t="shared" si="64"/>
        <v>0</v>
      </c>
      <c r="AD94" s="15"/>
      <c r="AE94" s="15"/>
      <c r="AF94" s="13" t="str">
        <f t="shared" si="65"/>
        <v>1</v>
      </c>
      <c r="AG94" s="17"/>
      <c r="AH94" s="17"/>
      <c r="AI94" s="15"/>
      <c r="AJ94" s="14"/>
      <c r="AK94" s="15" cm="1">
        <f t="array" ref="AK94">_xlfn.IFS(B94="","",LEFT(G94,1)="L",1,LEFT(G94,1)="W",1,AND(LEFT(B94,1)="H",G94=""),0)</f>
        <v>0</v>
      </c>
      <c r="AL94" s="15"/>
      <c r="AM94" s="15"/>
      <c r="AN94" s="15"/>
      <c r="AO94" s="15"/>
      <c r="AP94" s="15"/>
      <c r="AQ94" s="15"/>
      <c r="AR94" s="15"/>
      <c r="AS94" s="15">
        <f t="shared" si="73"/>
        <v>1</v>
      </c>
      <c r="AT94" s="15" t="s">
        <v>115</v>
      </c>
      <c r="AU94" s="13" t="str">
        <f t="shared" si="66"/>
        <v>0</v>
      </c>
      <c r="AV94" s="15"/>
      <c r="AW94" s="15"/>
      <c r="AX94" s="15"/>
      <c r="AY94" s="15"/>
      <c r="AZ94" s="14"/>
      <c r="BA94" s="15"/>
      <c r="BB94" s="15"/>
      <c r="BC94" s="15"/>
      <c r="BD94" s="13" t="str">
        <f t="shared" si="67"/>
        <v>0</v>
      </c>
      <c r="BE94" s="2"/>
      <c r="BF94" s="2"/>
      <c r="BG94" s="2"/>
      <c r="BH94" s="2"/>
      <c r="BI94" s="2"/>
      <c r="BJ94" s="2"/>
      <c r="BK94" s="2" t="s">
        <v>340</v>
      </c>
      <c r="BL94" s="10"/>
      <c r="BM94" t="str" cm="1">
        <f t="array" ref="BM94">_xlfn.IFS(LEFT(G94,1)="L","外注品",LEFT(G94,1)="W","内製品",G94="","購買品")</f>
        <v>購買品</v>
      </c>
    </row>
    <row r="95" spans="1:65">
      <c r="A95" s="2" t="str">
        <f t="shared" si="68"/>
        <v>WG01</v>
      </c>
      <c r="B95" s="2" t="s">
        <v>224</v>
      </c>
      <c r="C95" s="2" t="s">
        <v>298</v>
      </c>
      <c r="D95" s="10" t="str">
        <f t="shared" si="69"/>
        <v>E385503_01</v>
      </c>
      <c r="E95" s="10">
        <f t="shared" si="70"/>
        <v>0</v>
      </c>
      <c r="F95" s="2"/>
      <c r="G95" s="3"/>
      <c r="H95" s="19" t="s">
        <v>350</v>
      </c>
      <c r="I95" s="2"/>
      <c r="J95" s="2"/>
      <c r="K95" s="2" t="str">
        <f t="shared" si="62"/>
        <v/>
      </c>
      <c r="L95" s="7" t="str">
        <f t="shared" si="60"/>
        <v>2001/01/01</v>
      </c>
      <c r="M95" s="7" t="str">
        <f t="shared" si="61"/>
        <v>2199/12/31</v>
      </c>
      <c r="N95" s="2" t="str">
        <f t="shared" si="71"/>
        <v/>
      </c>
      <c r="O95" s="13" t="str">
        <f t="shared" si="72"/>
        <v/>
      </c>
      <c r="P95" s="15"/>
      <c r="Q95" s="13">
        <v>15</v>
      </c>
      <c r="R95" s="18">
        <v>100000000</v>
      </c>
      <c r="S95" s="18" t="str" cm="1">
        <f t="array" ref="S95">_xlfn.IFS(LEFT(G95,1)="L","記載要",LEFT(G95,1)="W","記載要",G95="","")</f>
        <v/>
      </c>
      <c r="T95" s="2"/>
      <c r="U95" s="2"/>
      <c r="V95" s="2"/>
      <c r="W95" s="2"/>
      <c r="X95" s="2"/>
      <c r="Y95" s="2"/>
      <c r="Z95" s="2"/>
      <c r="AA95" s="13">
        <v>1</v>
      </c>
      <c r="AB95" s="13">
        <f t="shared" si="63"/>
        <v>0</v>
      </c>
      <c r="AC95" s="13">
        <f t="shared" si="64"/>
        <v>0</v>
      </c>
      <c r="AD95" s="15"/>
      <c r="AE95" s="15"/>
      <c r="AF95" s="13" t="str">
        <f t="shared" si="65"/>
        <v>1</v>
      </c>
      <c r="AG95" s="17"/>
      <c r="AH95" s="17"/>
      <c r="AI95" s="15"/>
      <c r="AJ95" s="14"/>
      <c r="AK95" s="15" cm="1">
        <f t="array" ref="AK95">_xlfn.IFS(B95="","",LEFT(G95,1)="L",1,LEFT(G95,1)="W",1,AND(LEFT(B95,1)="H",G95=""),0)</f>
        <v>0</v>
      </c>
      <c r="AL95" s="15"/>
      <c r="AM95" s="15"/>
      <c r="AN95" s="15"/>
      <c r="AO95" s="15"/>
      <c r="AP95" s="15"/>
      <c r="AQ95" s="15"/>
      <c r="AR95" s="15"/>
      <c r="AS95" s="15">
        <f t="shared" si="73"/>
        <v>1</v>
      </c>
      <c r="AT95" s="15" t="s">
        <v>115</v>
      </c>
      <c r="AU95" s="13" t="str">
        <f t="shared" si="66"/>
        <v>0</v>
      </c>
      <c r="AV95" s="15"/>
      <c r="AW95" s="15"/>
      <c r="AX95" s="15"/>
      <c r="AY95" s="15"/>
      <c r="AZ95" s="14"/>
      <c r="BA95" s="15"/>
      <c r="BB95" s="15"/>
      <c r="BC95" s="15"/>
      <c r="BD95" s="13" t="str">
        <f t="shared" si="67"/>
        <v>0</v>
      </c>
      <c r="BE95" s="2"/>
      <c r="BF95" s="2"/>
      <c r="BG95" s="2"/>
      <c r="BH95" s="2"/>
      <c r="BI95" s="2"/>
      <c r="BJ95" s="2"/>
      <c r="BK95" s="2" t="s">
        <v>340</v>
      </c>
      <c r="BL95" s="10"/>
      <c r="BM95" t="str" cm="1">
        <f t="array" ref="BM95">_xlfn.IFS(LEFT(G95,1)="L","外注品",LEFT(G95,1)="W","内製品",G95="","購買品")</f>
        <v>購買品</v>
      </c>
    </row>
    <row r="96" spans="1:65">
      <c r="A96" s="2" t="str">
        <f t="shared" si="68"/>
        <v>WG01</v>
      </c>
      <c r="B96" s="2" t="s">
        <v>225</v>
      </c>
      <c r="C96" s="2" t="s">
        <v>299</v>
      </c>
      <c r="D96" s="10" t="str">
        <f t="shared" si="69"/>
        <v>E385503_01</v>
      </c>
      <c r="E96" s="10">
        <f t="shared" si="70"/>
        <v>0</v>
      </c>
      <c r="F96" s="2"/>
      <c r="G96" s="3"/>
      <c r="H96" s="19" t="s">
        <v>350</v>
      </c>
      <c r="I96" s="2"/>
      <c r="J96" s="2"/>
      <c r="K96" s="2" t="str">
        <f t="shared" si="62"/>
        <v/>
      </c>
      <c r="L96" s="7" t="str">
        <f t="shared" si="60"/>
        <v>2001/01/01</v>
      </c>
      <c r="M96" s="7" t="str">
        <f t="shared" si="61"/>
        <v>2199/12/31</v>
      </c>
      <c r="N96" s="2" t="str">
        <f t="shared" si="71"/>
        <v/>
      </c>
      <c r="O96" s="13" t="str">
        <f t="shared" si="72"/>
        <v/>
      </c>
      <c r="P96" s="15"/>
      <c r="Q96" s="13">
        <v>15</v>
      </c>
      <c r="R96" s="18">
        <v>100000000</v>
      </c>
      <c r="S96" s="18" t="str" cm="1">
        <f t="array" ref="S96">_xlfn.IFS(LEFT(G96,1)="L","記載要",LEFT(G96,1)="W","記載要",G96="","")</f>
        <v/>
      </c>
      <c r="T96" s="2"/>
      <c r="U96" s="2"/>
      <c r="V96" s="2"/>
      <c r="W96" s="2"/>
      <c r="X96" s="2"/>
      <c r="Y96" s="2"/>
      <c r="Z96" s="2"/>
      <c r="AA96" s="13">
        <v>1</v>
      </c>
      <c r="AB96" s="13">
        <f t="shared" si="63"/>
        <v>0</v>
      </c>
      <c r="AC96" s="13">
        <f t="shared" si="64"/>
        <v>0</v>
      </c>
      <c r="AD96" s="15"/>
      <c r="AE96" s="15"/>
      <c r="AF96" s="13" t="str">
        <f t="shared" si="65"/>
        <v>1</v>
      </c>
      <c r="AG96" s="17"/>
      <c r="AH96" s="17"/>
      <c r="AI96" s="15"/>
      <c r="AJ96" s="14"/>
      <c r="AK96" s="15" cm="1">
        <f t="array" ref="AK96">_xlfn.IFS(B96="","",LEFT(G96,1)="L",1,LEFT(G96,1)="W",1,AND(LEFT(B96,1)="H",G96=""),0)</f>
        <v>0</v>
      </c>
      <c r="AL96" s="15"/>
      <c r="AM96" s="15"/>
      <c r="AN96" s="15"/>
      <c r="AO96" s="15"/>
      <c r="AP96" s="15"/>
      <c r="AQ96" s="15"/>
      <c r="AR96" s="15"/>
      <c r="AS96" s="15">
        <f t="shared" si="73"/>
        <v>1</v>
      </c>
      <c r="AT96" s="15" t="s">
        <v>115</v>
      </c>
      <c r="AU96" s="13" t="str">
        <f t="shared" si="66"/>
        <v>0</v>
      </c>
      <c r="AV96" s="15"/>
      <c r="AW96" s="15"/>
      <c r="AX96" s="15"/>
      <c r="AY96" s="15"/>
      <c r="AZ96" s="14"/>
      <c r="BA96" s="15"/>
      <c r="BB96" s="15"/>
      <c r="BC96" s="15"/>
      <c r="BD96" s="13" t="str">
        <f t="shared" si="67"/>
        <v>0</v>
      </c>
      <c r="BE96" s="2"/>
      <c r="BF96" s="2"/>
      <c r="BG96" s="2"/>
      <c r="BH96" s="2"/>
      <c r="BI96" s="2"/>
      <c r="BJ96" s="2"/>
      <c r="BK96" s="2" t="s">
        <v>340</v>
      </c>
      <c r="BL96" s="10"/>
      <c r="BM96" t="str" cm="1">
        <f t="array" ref="BM96">_xlfn.IFS(LEFT(G96,1)="L","外注品",LEFT(G96,1)="W","内製品",G96="","購買品")</f>
        <v>購買品</v>
      </c>
    </row>
    <row r="97" spans="1:65">
      <c r="A97" s="2" t="str">
        <f t="shared" si="68"/>
        <v>WG01</v>
      </c>
      <c r="B97" s="2" t="s">
        <v>226</v>
      </c>
      <c r="C97" s="2" t="s">
        <v>300</v>
      </c>
      <c r="D97" s="10" t="str">
        <f t="shared" si="69"/>
        <v>E385503_01</v>
      </c>
      <c r="E97" s="10">
        <f t="shared" si="70"/>
        <v>0</v>
      </c>
      <c r="F97" s="2"/>
      <c r="G97" s="3"/>
      <c r="H97" s="19" t="s">
        <v>350</v>
      </c>
      <c r="I97" s="2"/>
      <c r="J97" s="2"/>
      <c r="K97" s="2" t="str">
        <f t="shared" si="62"/>
        <v/>
      </c>
      <c r="L97" s="7" t="str">
        <f t="shared" si="60"/>
        <v>2001/01/01</v>
      </c>
      <c r="M97" s="7" t="str">
        <f t="shared" si="61"/>
        <v>2199/12/31</v>
      </c>
      <c r="N97" s="2" t="str">
        <f t="shared" si="71"/>
        <v/>
      </c>
      <c r="O97" s="13" t="str">
        <f t="shared" si="72"/>
        <v/>
      </c>
      <c r="P97" s="15"/>
      <c r="Q97" s="13">
        <v>15</v>
      </c>
      <c r="R97" s="18">
        <v>100000000</v>
      </c>
      <c r="S97" s="18" t="str" cm="1">
        <f t="array" ref="S97">_xlfn.IFS(LEFT(G97,1)="L","記載要",LEFT(G97,1)="W","記載要",G97="","")</f>
        <v/>
      </c>
      <c r="T97" s="2"/>
      <c r="U97" s="2"/>
      <c r="V97" s="2"/>
      <c r="W97" s="2"/>
      <c r="X97" s="2"/>
      <c r="Y97" s="2"/>
      <c r="Z97" s="2"/>
      <c r="AA97" s="13">
        <v>1</v>
      </c>
      <c r="AB97" s="13">
        <f t="shared" si="63"/>
        <v>0</v>
      </c>
      <c r="AC97" s="13">
        <f t="shared" si="64"/>
        <v>0</v>
      </c>
      <c r="AD97" s="15"/>
      <c r="AE97" s="15"/>
      <c r="AF97" s="13" t="str">
        <f t="shared" si="65"/>
        <v>1</v>
      </c>
      <c r="AG97" s="17"/>
      <c r="AH97" s="17"/>
      <c r="AI97" s="15"/>
      <c r="AJ97" s="14"/>
      <c r="AK97" s="15" cm="1">
        <f t="array" ref="AK97">_xlfn.IFS(B97="","",LEFT(G97,1)="L",1,LEFT(G97,1)="W",1,AND(LEFT(B97,1)="H",G97=""),0)</f>
        <v>0</v>
      </c>
      <c r="AL97" s="15"/>
      <c r="AM97" s="15"/>
      <c r="AN97" s="15"/>
      <c r="AO97" s="15"/>
      <c r="AP97" s="15"/>
      <c r="AQ97" s="15"/>
      <c r="AR97" s="15"/>
      <c r="AS97" s="15">
        <f t="shared" si="73"/>
        <v>1</v>
      </c>
      <c r="AT97" s="15" t="s">
        <v>115</v>
      </c>
      <c r="AU97" s="13" t="str">
        <f t="shared" si="66"/>
        <v>0</v>
      </c>
      <c r="AV97" s="15"/>
      <c r="AW97" s="15"/>
      <c r="AX97" s="15"/>
      <c r="AY97" s="15"/>
      <c r="AZ97" s="14"/>
      <c r="BA97" s="15"/>
      <c r="BB97" s="15"/>
      <c r="BC97" s="15"/>
      <c r="BD97" s="13" t="str">
        <f t="shared" si="67"/>
        <v>0</v>
      </c>
      <c r="BE97" s="2"/>
      <c r="BF97" s="2"/>
      <c r="BG97" s="2"/>
      <c r="BH97" s="2"/>
      <c r="BI97" s="2"/>
      <c r="BJ97" s="2"/>
      <c r="BK97" s="2" t="s">
        <v>340</v>
      </c>
      <c r="BL97" s="10"/>
      <c r="BM97" t="str" cm="1">
        <f t="array" ref="BM97">_xlfn.IFS(LEFT(G97,1)="L","外注品",LEFT(G97,1)="W","内製品",G97="","購買品")</f>
        <v>購買品</v>
      </c>
    </row>
    <row r="98" spans="1:65">
      <c r="A98" s="2" t="str">
        <f t="shared" si="68"/>
        <v>WG01</v>
      </c>
      <c r="B98" s="2" t="s">
        <v>227</v>
      </c>
      <c r="C98" s="2" t="s">
        <v>301</v>
      </c>
      <c r="D98" s="10" t="str">
        <f t="shared" si="69"/>
        <v>E385503_01</v>
      </c>
      <c r="E98" s="10">
        <f t="shared" si="70"/>
        <v>0</v>
      </c>
      <c r="F98" s="2"/>
      <c r="G98" s="3"/>
      <c r="H98" s="19" t="s">
        <v>350</v>
      </c>
      <c r="I98" s="2"/>
      <c r="J98" s="2"/>
      <c r="K98" s="2" t="str">
        <f t="shared" si="62"/>
        <v/>
      </c>
      <c r="L98" s="7" t="str">
        <f t="shared" si="60"/>
        <v>2001/01/01</v>
      </c>
      <c r="M98" s="7" t="str">
        <f t="shared" si="61"/>
        <v>2199/12/31</v>
      </c>
      <c r="N98" s="2" t="str">
        <f t="shared" si="71"/>
        <v/>
      </c>
      <c r="O98" s="13" t="str">
        <f t="shared" si="72"/>
        <v/>
      </c>
      <c r="P98" s="15"/>
      <c r="Q98" s="13">
        <v>15</v>
      </c>
      <c r="R98" s="18">
        <v>100000000</v>
      </c>
      <c r="S98" s="18" t="str" cm="1">
        <f t="array" ref="S98">_xlfn.IFS(LEFT(G98,1)="L","記載要",LEFT(G98,1)="W","記載要",G98="","")</f>
        <v/>
      </c>
      <c r="T98" s="2"/>
      <c r="U98" s="2"/>
      <c r="V98" s="2"/>
      <c r="W98" s="2"/>
      <c r="X98" s="2"/>
      <c r="Y98" s="2"/>
      <c r="Z98" s="2"/>
      <c r="AA98" s="13">
        <v>1</v>
      </c>
      <c r="AB98" s="13">
        <f t="shared" si="63"/>
        <v>0</v>
      </c>
      <c r="AC98" s="13">
        <f t="shared" si="64"/>
        <v>0</v>
      </c>
      <c r="AD98" s="15"/>
      <c r="AE98" s="15"/>
      <c r="AF98" s="13" t="str">
        <f t="shared" si="65"/>
        <v>1</v>
      </c>
      <c r="AG98" s="17"/>
      <c r="AH98" s="17"/>
      <c r="AI98" s="15"/>
      <c r="AJ98" s="14"/>
      <c r="AK98" s="15" cm="1">
        <f t="array" ref="AK98">_xlfn.IFS(B98="","",LEFT(G98,1)="L",1,LEFT(G98,1)="W",1,AND(LEFT(B98,1)="H",G98=""),0)</f>
        <v>0</v>
      </c>
      <c r="AL98" s="15"/>
      <c r="AM98" s="15"/>
      <c r="AN98" s="15"/>
      <c r="AO98" s="15"/>
      <c r="AP98" s="15"/>
      <c r="AQ98" s="15"/>
      <c r="AR98" s="15"/>
      <c r="AS98" s="15">
        <f t="shared" si="73"/>
        <v>1</v>
      </c>
      <c r="AT98" s="15" t="s">
        <v>115</v>
      </c>
      <c r="AU98" s="13" t="str">
        <f t="shared" si="66"/>
        <v>0</v>
      </c>
      <c r="AV98" s="15"/>
      <c r="AW98" s="15"/>
      <c r="AX98" s="15"/>
      <c r="AY98" s="15"/>
      <c r="AZ98" s="14"/>
      <c r="BA98" s="15"/>
      <c r="BB98" s="15"/>
      <c r="BC98" s="15"/>
      <c r="BD98" s="13" t="str">
        <f t="shared" si="67"/>
        <v>0</v>
      </c>
      <c r="BE98" s="2"/>
      <c r="BF98" s="2"/>
      <c r="BG98" s="2"/>
      <c r="BH98" s="2"/>
      <c r="BI98" s="2"/>
      <c r="BJ98" s="2"/>
      <c r="BK98" s="2" t="s">
        <v>340</v>
      </c>
      <c r="BL98" s="10"/>
      <c r="BM98" t="str" cm="1">
        <f t="array" ref="BM98">_xlfn.IFS(LEFT(G98,1)="L","外注品",LEFT(G98,1)="W","内製品",G98="","購買品")</f>
        <v>購買品</v>
      </c>
    </row>
    <row r="99" spans="1:65">
      <c r="A99" s="2" t="str">
        <f t="shared" si="68"/>
        <v>WG01</v>
      </c>
      <c r="B99" s="2" t="s">
        <v>228</v>
      </c>
      <c r="C99" s="2" t="s">
        <v>302</v>
      </c>
      <c r="D99" s="10" t="str">
        <f t="shared" si="69"/>
        <v>E385503_01</v>
      </c>
      <c r="E99" s="10">
        <f t="shared" si="70"/>
        <v>0</v>
      </c>
      <c r="F99" s="2"/>
      <c r="G99" s="3"/>
      <c r="H99" s="19" t="s">
        <v>350</v>
      </c>
      <c r="I99" s="2"/>
      <c r="J99" s="2"/>
      <c r="K99" s="2" t="str">
        <f t="shared" si="62"/>
        <v/>
      </c>
      <c r="L99" s="7" t="str">
        <f t="shared" si="60"/>
        <v>2001/01/01</v>
      </c>
      <c r="M99" s="7" t="str">
        <f t="shared" si="61"/>
        <v>2199/12/31</v>
      </c>
      <c r="N99" s="2" t="str">
        <f t="shared" si="71"/>
        <v/>
      </c>
      <c r="O99" s="13" t="str">
        <f t="shared" si="72"/>
        <v/>
      </c>
      <c r="P99" s="15"/>
      <c r="Q99" s="13">
        <v>15</v>
      </c>
      <c r="R99" s="18">
        <v>100000000</v>
      </c>
      <c r="S99" s="18" t="str" cm="1">
        <f t="array" ref="S99">_xlfn.IFS(LEFT(G99,1)="L","記載要",LEFT(G99,1)="W","記載要",G99="","")</f>
        <v/>
      </c>
      <c r="T99" s="2"/>
      <c r="U99" s="2"/>
      <c r="V99" s="2"/>
      <c r="W99" s="2"/>
      <c r="X99" s="2"/>
      <c r="Y99" s="2"/>
      <c r="Z99" s="2"/>
      <c r="AA99" s="13">
        <v>1</v>
      </c>
      <c r="AB99" s="13">
        <f t="shared" si="63"/>
        <v>0</v>
      </c>
      <c r="AC99" s="13">
        <f t="shared" si="64"/>
        <v>0</v>
      </c>
      <c r="AD99" s="15"/>
      <c r="AE99" s="15"/>
      <c r="AF99" s="13" t="str">
        <f t="shared" si="65"/>
        <v>1</v>
      </c>
      <c r="AG99" s="17"/>
      <c r="AH99" s="17"/>
      <c r="AI99" s="15"/>
      <c r="AJ99" s="14"/>
      <c r="AK99" s="15" cm="1">
        <f t="array" ref="AK99">_xlfn.IFS(B99="","",LEFT(G99,1)="L",1,LEFT(G99,1)="W",1,AND(LEFT(B99,1)="H",G99=""),0)</f>
        <v>0</v>
      </c>
      <c r="AL99" s="15"/>
      <c r="AM99" s="15"/>
      <c r="AN99" s="15"/>
      <c r="AO99" s="15"/>
      <c r="AP99" s="15"/>
      <c r="AQ99" s="15"/>
      <c r="AR99" s="15"/>
      <c r="AS99" s="15">
        <f t="shared" si="73"/>
        <v>1</v>
      </c>
      <c r="AT99" s="15" t="s">
        <v>115</v>
      </c>
      <c r="AU99" s="13" t="str">
        <f t="shared" si="66"/>
        <v>0</v>
      </c>
      <c r="AV99" s="15"/>
      <c r="AW99" s="15"/>
      <c r="AX99" s="15"/>
      <c r="AY99" s="15"/>
      <c r="AZ99" s="14"/>
      <c r="BA99" s="15"/>
      <c r="BB99" s="15"/>
      <c r="BC99" s="15"/>
      <c r="BD99" s="13" t="str">
        <f t="shared" si="67"/>
        <v>0</v>
      </c>
      <c r="BE99" s="2"/>
      <c r="BF99" s="2"/>
      <c r="BG99" s="2"/>
      <c r="BH99" s="2"/>
      <c r="BI99" s="2"/>
      <c r="BJ99" s="2"/>
      <c r="BK99" s="2" t="s">
        <v>340</v>
      </c>
      <c r="BL99" s="10"/>
      <c r="BM99" t="str" cm="1">
        <f t="array" ref="BM99">_xlfn.IFS(LEFT(G99,1)="L","外注品",LEFT(G99,1)="W","内製品",G99="","購買品")</f>
        <v>購買品</v>
      </c>
    </row>
    <row r="100" spans="1:65">
      <c r="A100" s="2" t="str">
        <f t="shared" si="68"/>
        <v>WG01</v>
      </c>
      <c r="B100" s="2" t="s">
        <v>229</v>
      </c>
      <c r="C100" s="2" t="s">
        <v>303</v>
      </c>
      <c r="D100" s="10" t="str">
        <f t="shared" si="69"/>
        <v>E385503_01</v>
      </c>
      <c r="E100" s="10">
        <f t="shared" si="70"/>
        <v>0</v>
      </c>
      <c r="F100" s="2"/>
      <c r="G100" s="3"/>
      <c r="H100" s="19" t="s">
        <v>350</v>
      </c>
      <c r="I100" s="2"/>
      <c r="J100" s="2"/>
      <c r="K100" s="2" t="str">
        <f t="shared" si="62"/>
        <v/>
      </c>
      <c r="L100" s="7" t="str">
        <f t="shared" si="60"/>
        <v>2001/01/01</v>
      </c>
      <c r="M100" s="7" t="str">
        <f t="shared" si="61"/>
        <v>2199/12/31</v>
      </c>
      <c r="N100" s="2" t="str">
        <f t="shared" si="71"/>
        <v/>
      </c>
      <c r="O100" s="13" t="str">
        <f t="shared" si="72"/>
        <v/>
      </c>
      <c r="P100" s="15"/>
      <c r="Q100" s="13">
        <v>15</v>
      </c>
      <c r="R100" s="18">
        <v>100000000</v>
      </c>
      <c r="S100" s="18" t="str" cm="1">
        <f t="array" ref="S100">_xlfn.IFS(LEFT(G100,1)="L","記載要",LEFT(G100,1)="W","記載要",G100="","")</f>
        <v/>
      </c>
      <c r="T100" s="2"/>
      <c r="U100" s="2"/>
      <c r="V100" s="2"/>
      <c r="W100" s="2"/>
      <c r="X100" s="2"/>
      <c r="Y100" s="2"/>
      <c r="Z100" s="2"/>
      <c r="AA100" s="13">
        <v>1</v>
      </c>
      <c r="AB100" s="13">
        <f t="shared" si="63"/>
        <v>0</v>
      </c>
      <c r="AC100" s="13">
        <f t="shared" si="64"/>
        <v>0</v>
      </c>
      <c r="AD100" s="15"/>
      <c r="AE100" s="15"/>
      <c r="AF100" s="13" t="str">
        <f t="shared" si="65"/>
        <v>1</v>
      </c>
      <c r="AG100" s="17"/>
      <c r="AH100" s="17"/>
      <c r="AI100" s="15"/>
      <c r="AJ100" s="14"/>
      <c r="AK100" s="15" cm="1">
        <f t="array" ref="AK100">_xlfn.IFS(B100="","",LEFT(G100,1)="L",1,LEFT(G100,1)="W",1,AND(LEFT(B100,1)="H",G100=""),0)</f>
        <v>0</v>
      </c>
      <c r="AL100" s="15"/>
      <c r="AM100" s="15"/>
      <c r="AN100" s="15"/>
      <c r="AO100" s="15"/>
      <c r="AP100" s="15"/>
      <c r="AQ100" s="15"/>
      <c r="AR100" s="15"/>
      <c r="AS100" s="15">
        <f t="shared" si="73"/>
        <v>1</v>
      </c>
      <c r="AT100" s="15" t="s">
        <v>115</v>
      </c>
      <c r="AU100" s="13" t="str">
        <f t="shared" si="66"/>
        <v>0</v>
      </c>
      <c r="AV100" s="15"/>
      <c r="AW100" s="15"/>
      <c r="AX100" s="15"/>
      <c r="AY100" s="15"/>
      <c r="AZ100" s="14"/>
      <c r="BA100" s="15"/>
      <c r="BB100" s="15"/>
      <c r="BC100" s="15"/>
      <c r="BD100" s="13" t="str">
        <f t="shared" si="67"/>
        <v>0</v>
      </c>
      <c r="BE100" s="2"/>
      <c r="BF100" s="2"/>
      <c r="BG100" s="2"/>
      <c r="BH100" s="2"/>
      <c r="BI100" s="2"/>
      <c r="BJ100" s="2"/>
      <c r="BK100" s="2" t="s">
        <v>340</v>
      </c>
      <c r="BL100" s="10"/>
      <c r="BM100" t="str" cm="1">
        <f t="array" ref="BM100">_xlfn.IFS(LEFT(G100,1)="L","外注品",LEFT(G100,1)="W","内製品",G100="","購買品")</f>
        <v>購買品</v>
      </c>
    </row>
    <row r="101" spans="1:65">
      <c r="A101" s="2" t="str">
        <f t="shared" si="68"/>
        <v>WG01</v>
      </c>
      <c r="B101" s="2" t="s">
        <v>230</v>
      </c>
      <c r="C101" s="2" t="s">
        <v>304</v>
      </c>
      <c r="D101" s="10" t="str">
        <f t="shared" si="69"/>
        <v>E385503_01</v>
      </c>
      <c r="E101" s="10">
        <f t="shared" si="70"/>
        <v>0</v>
      </c>
      <c r="F101" s="2"/>
      <c r="G101" s="3"/>
      <c r="H101" s="19" t="s">
        <v>350</v>
      </c>
      <c r="I101" s="2"/>
      <c r="J101" s="2"/>
      <c r="K101" s="2" t="str">
        <f t="shared" si="62"/>
        <v/>
      </c>
      <c r="L101" s="7" t="str">
        <f t="shared" si="60"/>
        <v>2001/01/01</v>
      </c>
      <c r="M101" s="7" t="str">
        <f t="shared" si="61"/>
        <v>2199/12/31</v>
      </c>
      <c r="N101" s="2" t="str">
        <f t="shared" si="71"/>
        <v/>
      </c>
      <c r="O101" s="13" t="str">
        <f t="shared" si="72"/>
        <v/>
      </c>
      <c r="P101" s="15"/>
      <c r="Q101" s="13">
        <v>15</v>
      </c>
      <c r="R101" s="18">
        <v>100000000</v>
      </c>
      <c r="S101" s="18" t="str" cm="1">
        <f t="array" ref="S101">_xlfn.IFS(LEFT(G101,1)="L","記載要",LEFT(G101,1)="W","記載要",G101="","")</f>
        <v/>
      </c>
      <c r="T101" s="2"/>
      <c r="U101" s="2"/>
      <c r="V101" s="2"/>
      <c r="W101" s="2"/>
      <c r="X101" s="2"/>
      <c r="Y101" s="2"/>
      <c r="Z101" s="2"/>
      <c r="AA101" s="13">
        <v>1</v>
      </c>
      <c r="AB101" s="13">
        <f t="shared" si="63"/>
        <v>0</v>
      </c>
      <c r="AC101" s="13">
        <f t="shared" si="64"/>
        <v>0</v>
      </c>
      <c r="AD101" s="15"/>
      <c r="AE101" s="15"/>
      <c r="AF101" s="13" t="str">
        <f t="shared" si="65"/>
        <v>1</v>
      </c>
      <c r="AG101" s="17"/>
      <c r="AH101" s="17"/>
      <c r="AI101" s="15"/>
      <c r="AJ101" s="14"/>
      <c r="AK101" s="15" cm="1">
        <f t="array" ref="AK101">_xlfn.IFS(B101="","",LEFT(G101,1)="L",1,LEFT(G101,1)="W",1,AND(LEFT(B101,1)="H",G101=""),0)</f>
        <v>0</v>
      </c>
      <c r="AL101" s="15"/>
      <c r="AM101" s="15"/>
      <c r="AN101" s="15"/>
      <c r="AO101" s="15"/>
      <c r="AP101" s="15"/>
      <c r="AQ101" s="15"/>
      <c r="AR101" s="15"/>
      <c r="AS101" s="15">
        <f t="shared" si="73"/>
        <v>1</v>
      </c>
      <c r="AT101" s="15" t="s">
        <v>115</v>
      </c>
      <c r="AU101" s="13" t="str">
        <f t="shared" si="66"/>
        <v>0</v>
      </c>
      <c r="AV101" s="15"/>
      <c r="AW101" s="15"/>
      <c r="AX101" s="15"/>
      <c r="AY101" s="15"/>
      <c r="AZ101" s="14"/>
      <c r="BA101" s="15"/>
      <c r="BB101" s="15"/>
      <c r="BC101" s="15"/>
      <c r="BD101" s="13" t="str">
        <f t="shared" si="67"/>
        <v>0</v>
      </c>
      <c r="BE101" s="2"/>
      <c r="BF101" s="2"/>
      <c r="BG101" s="2"/>
      <c r="BH101" s="2"/>
      <c r="BI101" s="2"/>
      <c r="BJ101" s="2"/>
      <c r="BK101" s="2" t="s">
        <v>340</v>
      </c>
      <c r="BL101" s="10"/>
      <c r="BM101" t="str" cm="1">
        <f t="array" ref="BM101">_xlfn.IFS(LEFT(G101,1)="L","外注品",LEFT(G101,1)="W","内製品",G101="","購買品")</f>
        <v>購買品</v>
      </c>
    </row>
    <row r="102" spans="1:65">
      <c r="A102" s="2" t="str">
        <f t="shared" si="68"/>
        <v>WG01</v>
      </c>
      <c r="B102" s="2" t="s">
        <v>231</v>
      </c>
      <c r="C102" s="2" t="s">
        <v>305</v>
      </c>
      <c r="D102" s="10" t="str">
        <f t="shared" si="69"/>
        <v>E385503_01</v>
      </c>
      <c r="E102" s="10">
        <f t="shared" si="70"/>
        <v>0</v>
      </c>
      <c r="F102" s="2"/>
      <c r="G102" s="3"/>
      <c r="H102" s="19" t="s">
        <v>350</v>
      </c>
      <c r="I102" s="2"/>
      <c r="J102" s="2"/>
      <c r="K102" s="2" t="str">
        <f t="shared" si="62"/>
        <v/>
      </c>
      <c r="L102" s="7" t="str">
        <f t="shared" si="60"/>
        <v>2001/01/01</v>
      </c>
      <c r="M102" s="7" t="str">
        <f t="shared" si="61"/>
        <v>2199/12/31</v>
      </c>
      <c r="N102" s="2" t="str">
        <f t="shared" si="71"/>
        <v/>
      </c>
      <c r="O102" s="13" t="str">
        <f t="shared" si="72"/>
        <v/>
      </c>
      <c r="P102" s="15"/>
      <c r="Q102" s="13">
        <v>15</v>
      </c>
      <c r="R102" s="18">
        <v>100000000</v>
      </c>
      <c r="S102" s="18" t="str" cm="1">
        <f t="array" ref="S102">_xlfn.IFS(LEFT(G102,1)="L","記載要",LEFT(G102,1)="W","記載要",G102="","")</f>
        <v/>
      </c>
      <c r="T102" s="2"/>
      <c r="U102" s="2"/>
      <c r="V102" s="2"/>
      <c r="W102" s="2"/>
      <c r="X102" s="2"/>
      <c r="Y102" s="2"/>
      <c r="Z102" s="2"/>
      <c r="AA102" s="13">
        <v>1</v>
      </c>
      <c r="AB102" s="13">
        <f t="shared" si="63"/>
        <v>0</v>
      </c>
      <c r="AC102" s="13">
        <f t="shared" si="64"/>
        <v>0</v>
      </c>
      <c r="AD102" s="15"/>
      <c r="AE102" s="15"/>
      <c r="AF102" s="13" t="str">
        <f t="shared" si="65"/>
        <v>1</v>
      </c>
      <c r="AG102" s="17"/>
      <c r="AH102" s="17"/>
      <c r="AI102" s="15"/>
      <c r="AJ102" s="14"/>
      <c r="AK102" s="15" cm="1">
        <f t="array" ref="AK102">_xlfn.IFS(B102="","",LEFT(G102,1)="L",1,LEFT(G102,1)="W",1,AND(LEFT(B102,1)="H",G102=""),0)</f>
        <v>0</v>
      </c>
      <c r="AL102" s="15"/>
      <c r="AM102" s="15"/>
      <c r="AN102" s="15"/>
      <c r="AO102" s="15"/>
      <c r="AP102" s="15"/>
      <c r="AQ102" s="15"/>
      <c r="AR102" s="15"/>
      <c r="AS102" s="15">
        <f t="shared" si="73"/>
        <v>1</v>
      </c>
      <c r="AT102" s="15" t="s">
        <v>115</v>
      </c>
      <c r="AU102" s="13" t="str">
        <f t="shared" si="66"/>
        <v>0</v>
      </c>
      <c r="AV102" s="15"/>
      <c r="AW102" s="15"/>
      <c r="AX102" s="15"/>
      <c r="AY102" s="15"/>
      <c r="AZ102" s="14"/>
      <c r="BA102" s="15"/>
      <c r="BB102" s="15"/>
      <c r="BC102" s="15"/>
      <c r="BD102" s="13" t="str">
        <f t="shared" si="67"/>
        <v>0</v>
      </c>
      <c r="BE102" s="2"/>
      <c r="BF102" s="2"/>
      <c r="BG102" s="2"/>
      <c r="BH102" s="2"/>
      <c r="BI102" s="2"/>
      <c r="BJ102" s="2"/>
      <c r="BK102" s="2" t="s">
        <v>340</v>
      </c>
      <c r="BL102" s="10"/>
      <c r="BM102" t="str" cm="1">
        <f t="array" ref="BM102">_xlfn.IFS(LEFT(G102,1)="L","外注品",LEFT(G102,1)="W","内製品",G102="","購買品")</f>
        <v>購買品</v>
      </c>
    </row>
    <row r="103" spans="1:65">
      <c r="A103" s="2" t="str">
        <f t="shared" si="68"/>
        <v>WG01</v>
      </c>
      <c r="B103" s="2" t="s">
        <v>232</v>
      </c>
      <c r="C103" s="2" t="s">
        <v>306</v>
      </c>
      <c r="D103" s="10" t="str">
        <f t="shared" si="69"/>
        <v>E385503_01</v>
      </c>
      <c r="E103" s="10">
        <f t="shared" si="70"/>
        <v>0</v>
      </c>
      <c r="F103" s="2"/>
      <c r="G103" s="3"/>
      <c r="H103" s="19" t="s">
        <v>350</v>
      </c>
      <c r="I103" s="2"/>
      <c r="J103" s="2"/>
      <c r="K103" s="2" t="str">
        <f t="shared" si="62"/>
        <v/>
      </c>
      <c r="L103" s="7" t="str">
        <f t="shared" si="60"/>
        <v>2001/01/01</v>
      </c>
      <c r="M103" s="7" t="str">
        <f t="shared" si="61"/>
        <v>2199/12/31</v>
      </c>
      <c r="N103" s="2" t="str">
        <f t="shared" si="71"/>
        <v/>
      </c>
      <c r="O103" s="13" t="str">
        <f t="shared" si="72"/>
        <v/>
      </c>
      <c r="P103" s="15"/>
      <c r="Q103" s="13">
        <v>15</v>
      </c>
      <c r="R103" s="18">
        <v>100000000</v>
      </c>
      <c r="S103" s="18" t="str" cm="1">
        <f t="array" ref="S103">_xlfn.IFS(LEFT(G103,1)="L","記載要",LEFT(G103,1)="W","記載要",G103="","")</f>
        <v/>
      </c>
      <c r="T103" s="2"/>
      <c r="U103" s="2"/>
      <c r="V103" s="2"/>
      <c r="W103" s="2"/>
      <c r="X103" s="2"/>
      <c r="Y103" s="2"/>
      <c r="Z103" s="2"/>
      <c r="AA103" s="13">
        <v>1</v>
      </c>
      <c r="AB103" s="13">
        <f t="shared" si="63"/>
        <v>0</v>
      </c>
      <c r="AC103" s="13">
        <f t="shared" si="64"/>
        <v>0</v>
      </c>
      <c r="AD103" s="15"/>
      <c r="AE103" s="15"/>
      <c r="AF103" s="13" t="str">
        <f t="shared" si="65"/>
        <v>1</v>
      </c>
      <c r="AG103" s="17"/>
      <c r="AH103" s="17"/>
      <c r="AI103" s="15"/>
      <c r="AJ103" s="14"/>
      <c r="AK103" s="15" cm="1">
        <f t="array" ref="AK103">_xlfn.IFS(B103="","",LEFT(G103,1)="L",1,LEFT(G103,1)="W",1,AND(LEFT(B103,1)="H",G103=""),0)</f>
        <v>0</v>
      </c>
      <c r="AL103" s="15"/>
      <c r="AM103" s="15"/>
      <c r="AN103" s="15"/>
      <c r="AO103" s="15"/>
      <c r="AP103" s="15"/>
      <c r="AQ103" s="15"/>
      <c r="AR103" s="15"/>
      <c r="AS103" s="15">
        <f t="shared" si="73"/>
        <v>1</v>
      </c>
      <c r="AT103" s="15" t="s">
        <v>115</v>
      </c>
      <c r="AU103" s="13" t="str">
        <f t="shared" si="66"/>
        <v>0</v>
      </c>
      <c r="AV103" s="15"/>
      <c r="AW103" s="15"/>
      <c r="AX103" s="15"/>
      <c r="AY103" s="15"/>
      <c r="AZ103" s="14"/>
      <c r="BA103" s="15"/>
      <c r="BB103" s="15"/>
      <c r="BC103" s="15"/>
      <c r="BD103" s="13" t="str">
        <f t="shared" si="67"/>
        <v>0</v>
      </c>
      <c r="BE103" s="2"/>
      <c r="BF103" s="2"/>
      <c r="BG103" s="2"/>
      <c r="BH103" s="2"/>
      <c r="BI103" s="2"/>
      <c r="BJ103" s="2"/>
      <c r="BK103" s="2" t="s">
        <v>340</v>
      </c>
      <c r="BL103" s="10"/>
      <c r="BM103" t="str" cm="1">
        <f t="array" ref="BM103">_xlfn.IFS(LEFT(G103,1)="L","外注品",LEFT(G103,1)="W","内製品",G103="","購買品")</f>
        <v>購買品</v>
      </c>
    </row>
    <row r="104" spans="1:65">
      <c r="A104" s="2" t="str">
        <f t="shared" si="68"/>
        <v>WG01</v>
      </c>
      <c r="B104" s="2" t="s">
        <v>233</v>
      </c>
      <c r="C104" s="2" t="s">
        <v>307</v>
      </c>
      <c r="D104" s="10" t="str">
        <f t="shared" si="69"/>
        <v>E385503_01</v>
      </c>
      <c r="E104" s="10">
        <f t="shared" si="70"/>
        <v>0</v>
      </c>
      <c r="F104" s="2"/>
      <c r="G104" s="3"/>
      <c r="H104" s="19" t="s">
        <v>350</v>
      </c>
      <c r="I104" s="2"/>
      <c r="J104" s="2"/>
      <c r="K104" s="2" t="str">
        <f t="shared" si="62"/>
        <v/>
      </c>
      <c r="L104" s="7" t="str">
        <f t="shared" si="60"/>
        <v>2001/01/01</v>
      </c>
      <c r="M104" s="7" t="str">
        <f t="shared" si="61"/>
        <v>2199/12/31</v>
      </c>
      <c r="N104" s="2" t="str">
        <f t="shared" si="71"/>
        <v/>
      </c>
      <c r="O104" s="13" t="str">
        <f t="shared" si="72"/>
        <v/>
      </c>
      <c r="P104" s="15"/>
      <c r="Q104" s="13">
        <v>15</v>
      </c>
      <c r="R104" s="18">
        <v>100000000</v>
      </c>
      <c r="S104" s="18" t="str" cm="1">
        <f t="array" ref="S104">_xlfn.IFS(LEFT(G104,1)="L","記載要",LEFT(G104,1)="W","記載要",G104="","")</f>
        <v/>
      </c>
      <c r="T104" s="2"/>
      <c r="U104" s="2"/>
      <c r="V104" s="2"/>
      <c r="W104" s="2"/>
      <c r="X104" s="2"/>
      <c r="Y104" s="2"/>
      <c r="Z104" s="2"/>
      <c r="AA104" s="13">
        <v>1</v>
      </c>
      <c r="AB104" s="13">
        <f t="shared" si="63"/>
        <v>0</v>
      </c>
      <c r="AC104" s="13">
        <f t="shared" si="64"/>
        <v>0</v>
      </c>
      <c r="AD104" s="15"/>
      <c r="AE104" s="15"/>
      <c r="AF104" s="13" t="str">
        <f t="shared" si="65"/>
        <v>1</v>
      </c>
      <c r="AG104" s="17"/>
      <c r="AH104" s="17"/>
      <c r="AI104" s="15"/>
      <c r="AJ104" s="14"/>
      <c r="AK104" s="15" cm="1">
        <f t="array" ref="AK104">_xlfn.IFS(B104="","",LEFT(G104,1)="L",1,LEFT(G104,1)="W",1,AND(LEFT(B104,1)="H",G104=""),0)</f>
        <v>0</v>
      </c>
      <c r="AL104" s="15"/>
      <c r="AM104" s="15"/>
      <c r="AN104" s="15"/>
      <c r="AO104" s="15"/>
      <c r="AP104" s="15"/>
      <c r="AQ104" s="15"/>
      <c r="AR104" s="15"/>
      <c r="AS104" s="15">
        <f t="shared" si="73"/>
        <v>1</v>
      </c>
      <c r="AT104" s="15" t="s">
        <v>115</v>
      </c>
      <c r="AU104" s="13" t="str">
        <f t="shared" si="66"/>
        <v>0</v>
      </c>
      <c r="AV104" s="15"/>
      <c r="AW104" s="15"/>
      <c r="AX104" s="15"/>
      <c r="AY104" s="15"/>
      <c r="AZ104" s="14"/>
      <c r="BA104" s="15"/>
      <c r="BB104" s="15"/>
      <c r="BC104" s="15"/>
      <c r="BD104" s="13" t="str">
        <f t="shared" si="67"/>
        <v>0</v>
      </c>
      <c r="BE104" s="2"/>
      <c r="BF104" s="2"/>
      <c r="BG104" s="2"/>
      <c r="BH104" s="2"/>
      <c r="BI104" s="2"/>
      <c r="BJ104" s="2"/>
      <c r="BK104" s="2" t="s">
        <v>340</v>
      </c>
      <c r="BL104" s="10"/>
      <c r="BM104" t="str" cm="1">
        <f t="array" ref="BM104">_xlfn.IFS(LEFT(G104,1)="L","外注品",LEFT(G104,1)="W","内製品",G104="","購買品")</f>
        <v>購買品</v>
      </c>
    </row>
    <row r="105" spans="1:65">
      <c r="A105" s="2" t="str">
        <f t="shared" si="68"/>
        <v>WG01</v>
      </c>
      <c r="B105" s="2" t="s">
        <v>234</v>
      </c>
      <c r="C105" s="2" t="s">
        <v>308</v>
      </c>
      <c r="D105" s="10" t="str">
        <f t="shared" si="69"/>
        <v>E385503_01</v>
      </c>
      <c r="E105" s="10">
        <f t="shared" si="70"/>
        <v>0</v>
      </c>
      <c r="F105" s="2"/>
      <c r="G105" s="3"/>
      <c r="H105" s="19" t="s">
        <v>350</v>
      </c>
      <c r="I105" s="2"/>
      <c r="J105" s="2"/>
      <c r="K105" s="2" t="str">
        <f t="shared" si="62"/>
        <v/>
      </c>
      <c r="L105" s="7" t="str">
        <f t="shared" si="60"/>
        <v>2001/01/01</v>
      </c>
      <c r="M105" s="7" t="str">
        <f t="shared" si="61"/>
        <v>2199/12/31</v>
      </c>
      <c r="N105" s="2" t="str">
        <f t="shared" si="71"/>
        <v/>
      </c>
      <c r="O105" s="13" t="str">
        <f t="shared" si="72"/>
        <v/>
      </c>
      <c r="P105" s="15"/>
      <c r="Q105" s="13">
        <v>15</v>
      </c>
      <c r="R105" s="18">
        <v>100000000</v>
      </c>
      <c r="S105" s="18" t="str" cm="1">
        <f t="array" ref="S105">_xlfn.IFS(LEFT(G105,1)="L","記載要",LEFT(G105,1)="W","記載要",G105="","")</f>
        <v/>
      </c>
      <c r="T105" s="2"/>
      <c r="U105" s="2"/>
      <c r="V105" s="2"/>
      <c r="W105" s="2"/>
      <c r="X105" s="2"/>
      <c r="Y105" s="2"/>
      <c r="Z105" s="2"/>
      <c r="AA105" s="13">
        <v>1</v>
      </c>
      <c r="AB105" s="13">
        <f t="shared" si="63"/>
        <v>0</v>
      </c>
      <c r="AC105" s="13">
        <f t="shared" si="64"/>
        <v>0</v>
      </c>
      <c r="AD105" s="15"/>
      <c r="AE105" s="15"/>
      <c r="AF105" s="13" t="str">
        <f t="shared" si="65"/>
        <v>1</v>
      </c>
      <c r="AG105" s="17"/>
      <c r="AH105" s="17"/>
      <c r="AI105" s="15"/>
      <c r="AJ105" s="14"/>
      <c r="AK105" s="15" cm="1">
        <f t="array" ref="AK105">_xlfn.IFS(B105="","",LEFT(G105,1)="L",1,LEFT(G105,1)="W",1,AND(LEFT(B105,1)="H",G105=""),0)</f>
        <v>0</v>
      </c>
      <c r="AL105" s="15"/>
      <c r="AM105" s="15"/>
      <c r="AN105" s="15"/>
      <c r="AO105" s="15"/>
      <c r="AP105" s="15"/>
      <c r="AQ105" s="15"/>
      <c r="AR105" s="15"/>
      <c r="AS105" s="15">
        <f t="shared" si="73"/>
        <v>1</v>
      </c>
      <c r="AT105" s="15" t="s">
        <v>115</v>
      </c>
      <c r="AU105" s="13" t="str">
        <f t="shared" si="66"/>
        <v>0</v>
      </c>
      <c r="AV105" s="15"/>
      <c r="AW105" s="15"/>
      <c r="AX105" s="15"/>
      <c r="AY105" s="15"/>
      <c r="AZ105" s="14"/>
      <c r="BA105" s="15"/>
      <c r="BB105" s="15"/>
      <c r="BC105" s="15"/>
      <c r="BD105" s="13" t="str">
        <f t="shared" si="67"/>
        <v>0</v>
      </c>
      <c r="BE105" s="2"/>
      <c r="BF105" s="2"/>
      <c r="BG105" s="2"/>
      <c r="BH105" s="2"/>
      <c r="BI105" s="2"/>
      <c r="BJ105" s="2"/>
      <c r="BK105" s="2" t="s">
        <v>340</v>
      </c>
      <c r="BL105" s="10"/>
      <c r="BM105" t="str" cm="1">
        <f t="array" ref="BM105">_xlfn.IFS(LEFT(G105,1)="L","外注品",LEFT(G105,1)="W","内製品",G105="","購買品")</f>
        <v>購買品</v>
      </c>
    </row>
    <row r="106" spans="1:65">
      <c r="A106" s="2" t="str">
        <f t="shared" si="68"/>
        <v>WG01</v>
      </c>
      <c r="B106" s="2" t="s">
        <v>235</v>
      </c>
      <c r="C106" s="2" t="s">
        <v>309</v>
      </c>
      <c r="D106" s="10" t="str">
        <f t="shared" si="69"/>
        <v>E385503_01</v>
      </c>
      <c r="E106" s="10">
        <f t="shared" si="70"/>
        <v>0</v>
      </c>
      <c r="F106" s="2"/>
      <c r="G106" s="3"/>
      <c r="H106" s="19" t="s">
        <v>350</v>
      </c>
      <c r="I106" s="2"/>
      <c r="J106" s="2"/>
      <c r="K106" s="2" t="str">
        <f t="shared" si="62"/>
        <v/>
      </c>
      <c r="L106" s="7" t="str">
        <f t="shared" si="60"/>
        <v>2001/01/01</v>
      </c>
      <c r="M106" s="7" t="str">
        <f t="shared" si="61"/>
        <v>2199/12/31</v>
      </c>
      <c r="N106" s="2" t="str">
        <f t="shared" si="71"/>
        <v/>
      </c>
      <c r="O106" s="13" t="str">
        <f t="shared" si="72"/>
        <v/>
      </c>
      <c r="P106" s="15"/>
      <c r="Q106" s="13">
        <v>15</v>
      </c>
      <c r="R106" s="18">
        <v>100000000</v>
      </c>
      <c r="S106" s="18" t="str" cm="1">
        <f t="array" ref="S106">_xlfn.IFS(LEFT(G106,1)="L","記載要",LEFT(G106,1)="W","記載要",G106="","")</f>
        <v/>
      </c>
      <c r="T106" s="2"/>
      <c r="U106" s="2"/>
      <c r="V106" s="2"/>
      <c r="W106" s="2"/>
      <c r="X106" s="2"/>
      <c r="Y106" s="2"/>
      <c r="Z106" s="2"/>
      <c r="AA106" s="13">
        <v>1</v>
      </c>
      <c r="AB106" s="13">
        <f t="shared" si="63"/>
        <v>0</v>
      </c>
      <c r="AC106" s="13">
        <f t="shared" si="64"/>
        <v>0</v>
      </c>
      <c r="AD106" s="15"/>
      <c r="AE106" s="15"/>
      <c r="AF106" s="13" t="str">
        <f t="shared" si="65"/>
        <v>1</v>
      </c>
      <c r="AG106" s="17"/>
      <c r="AH106" s="17"/>
      <c r="AI106" s="15"/>
      <c r="AJ106" s="14"/>
      <c r="AK106" s="15" cm="1">
        <f t="array" ref="AK106">_xlfn.IFS(B106="","",LEFT(G106,1)="L",1,LEFT(G106,1)="W",1,AND(LEFT(B106,1)="H",G106=""),0)</f>
        <v>0</v>
      </c>
      <c r="AL106" s="15"/>
      <c r="AM106" s="15"/>
      <c r="AN106" s="15"/>
      <c r="AO106" s="15"/>
      <c r="AP106" s="15"/>
      <c r="AQ106" s="15"/>
      <c r="AR106" s="15"/>
      <c r="AS106" s="15">
        <f t="shared" si="73"/>
        <v>1</v>
      </c>
      <c r="AT106" s="15" t="s">
        <v>115</v>
      </c>
      <c r="AU106" s="13" t="str">
        <f t="shared" si="66"/>
        <v>0</v>
      </c>
      <c r="AV106" s="15"/>
      <c r="AW106" s="15"/>
      <c r="AX106" s="15"/>
      <c r="AY106" s="15"/>
      <c r="AZ106" s="14"/>
      <c r="BA106" s="15"/>
      <c r="BB106" s="15"/>
      <c r="BC106" s="15"/>
      <c r="BD106" s="13" t="str">
        <f t="shared" si="67"/>
        <v>0</v>
      </c>
      <c r="BE106" s="2"/>
      <c r="BF106" s="2"/>
      <c r="BG106" s="2"/>
      <c r="BH106" s="2"/>
      <c r="BI106" s="2"/>
      <c r="BJ106" s="2"/>
      <c r="BK106" s="2" t="s">
        <v>340</v>
      </c>
      <c r="BL106" s="10"/>
      <c r="BM106" t="str" cm="1">
        <f t="array" ref="BM106">_xlfn.IFS(LEFT(G106,1)="L","外注品",LEFT(G106,1)="W","内製品",G106="","購買品")</f>
        <v>購買品</v>
      </c>
    </row>
    <row r="107" spans="1:65">
      <c r="A107" s="2" t="str">
        <f t="shared" si="68"/>
        <v>WG01</v>
      </c>
      <c r="B107" s="2" t="s">
        <v>236</v>
      </c>
      <c r="C107" s="2" t="s">
        <v>310</v>
      </c>
      <c r="D107" s="10" t="str">
        <f t="shared" si="69"/>
        <v>E385503_01</v>
      </c>
      <c r="E107" s="10">
        <f t="shared" si="70"/>
        <v>0</v>
      </c>
      <c r="F107" s="2"/>
      <c r="G107" s="3"/>
      <c r="H107" s="19" t="s">
        <v>350</v>
      </c>
      <c r="I107" s="2"/>
      <c r="J107" s="2"/>
      <c r="K107" s="2" t="str">
        <f t="shared" si="62"/>
        <v/>
      </c>
      <c r="L107" s="7" t="str">
        <f t="shared" si="60"/>
        <v>2001/01/01</v>
      </c>
      <c r="M107" s="7" t="str">
        <f t="shared" si="61"/>
        <v>2199/12/31</v>
      </c>
      <c r="N107" s="2" t="str">
        <f t="shared" si="71"/>
        <v/>
      </c>
      <c r="O107" s="13" t="str">
        <f t="shared" si="72"/>
        <v/>
      </c>
      <c r="P107" s="15"/>
      <c r="Q107" s="13">
        <v>15</v>
      </c>
      <c r="R107" s="18">
        <v>100000000</v>
      </c>
      <c r="S107" s="18" t="str" cm="1">
        <f t="array" ref="S107">_xlfn.IFS(LEFT(G107,1)="L","記載要",LEFT(G107,1)="W","記載要",G107="","")</f>
        <v/>
      </c>
      <c r="T107" s="2"/>
      <c r="U107" s="2"/>
      <c r="V107" s="2"/>
      <c r="W107" s="2"/>
      <c r="X107" s="2"/>
      <c r="Y107" s="2"/>
      <c r="Z107" s="2"/>
      <c r="AA107" s="13">
        <v>1</v>
      </c>
      <c r="AB107" s="13">
        <f t="shared" si="63"/>
        <v>0</v>
      </c>
      <c r="AC107" s="13">
        <f t="shared" si="64"/>
        <v>0</v>
      </c>
      <c r="AD107" s="15"/>
      <c r="AE107" s="15"/>
      <c r="AF107" s="13" t="str">
        <f t="shared" si="65"/>
        <v>1</v>
      </c>
      <c r="AG107" s="17"/>
      <c r="AH107" s="17"/>
      <c r="AI107" s="15"/>
      <c r="AJ107" s="14"/>
      <c r="AK107" s="15" cm="1">
        <f t="array" ref="AK107">_xlfn.IFS(B107="","",LEFT(G107,1)="L",1,LEFT(G107,1)="W",1,AND(LEFT(B107,1)="H",G107=""),0)</f>
        <v>0</v>
      </c>
      <c r="AL107" s="15"/>
      <c r="AM107" s="15"/>
      <c r="AN107" s="15"/>
      <c r="AO107" s="15"/>
      <c r="AP107" s="15"/>
      <c r="AQ107" s="15"/>
      <c r="AR107" s="15"/>
      <c r="AS107" s="15">
        <f t="shared" si="73"/>
        <v>1</v>
      </c>
      <c r="AT107" s="15" t="s">
        <v>115</v>
      </c>
      <c r="AU107" s="13" t="str">
        <f t="shared" si="66"/>
        <v>0</v>
      </c>
      <c r="AV107" s="15"/>
      <c r="AW107" s="15"/>
      <c r="AX107" s="15"/>
      <c r="AY107" s="15"/>
      <c r="AZ107" s="14"/>
      <c r="BA107" s="15"/>
      <c r="BB107" s="15"/>
      <c r="BC107" s="15"/>
      <c r="BD107" s="13" t="str">
        <f t="shared" si="67"/>
        <v>0</v>
      </c>
      <c r="BE107" s="2"/>
      <c r="BF107" s="2"/>
      <c r="BG107" s="2"/>
      <c r="BH107" s="2"/>
      <c r="BI107" s="2"/>
      <c r="BJ107" s="2"/>
      <c r="BK107" s="2" t="s">
        <v>340</v>
      </c>
      <c r="BL107" s="10"/>
      <c r="BM107" t="str" cm="1">
        <f t="array" ref="BM107">_xlfn.IFS(LEFT(G107,1)="L","外注品",LEFT(G107,1)="W","内製品",G107="","購買品")</f>
        <v>購買品</v>
      </c>
    </row>
    <row r="108" spans="1:65">
      <c r="A108" s="2" t="str">
        <f t="shared" si="68"/>
        <v>WG01</v>
      </c>
      <c r="B108" s="2" t="s">
        <v>237</v>
      </c>
      <c r="C108" s="2" t="s">
        <v>311</v>
      </c>
      <c r="D108" s="10" t="str">
        <f t="shared" si="69"/>
        <v>E385503_01</v>
      </c>
      <c r="E108" s="10">
        <f t="shared" si="70"/>
        <v>0</v>
      </c>
      <c r="F108" s="2"/>
      <c r="G108" s="3"/>
      <c r="H108" s="19" t="s">
        <v>350</v>
      </c>
      <c r="I108" s="2"/>
      <c r="J108" s="2"/>
      <c r="K108" s="2" t="str">
        <f t="shared" si="62"/>
        <v/>
      </c>
      <c r="L108" s="7" t="str">
        <f t="shared" si="60"/>
        <v>2001/01/01</v>
      </c>
      <c r="M108" s="7" t="str">
        <f t="shared" si="61"/>
        <v>2199/12/31</v>
      </c>
      <c r="N108" s="2" t="str">
        <f t="shared" si="71"/>
        <v/>
      </c>
      <c r="O108" s="13" t="str">
        <f t="shared" si="72"/>
        <v/>
      </c>
      <c r="P108" s="15"/>
      <c r="Q108" s="13">
        <v>15</v>
      </c>
      <c r="R108" s="18">
        <v>100000000</v>
      </c>
      <c r="S108" s="18" t="str" cm="1">
        <f t="array" ref="S108">_xlfn.IFS(LEFT(G108,1)="L","記載要",LEFT(G108,1)="W","記載要",G108="","")</f>
        <v/>
      </c>
      <c r="T108" s="2"/>
      <c r="U108" s="2"/>
      <c r="V108" s="2"/>
      <c r="W108" s="2"/>
      <c r="X108" s="2"/>
      <c r="Y108" s="2"/>
      <c r="Z108" s="2"/>
      <c r="AA108" s="13">
        <v>1</v>
      </c>
      <c r="AB108" s="13">
        <f t="shared" si="63"/>
        <v>0</v>
      </c>
      <c r="AC108" s="13">
        <f t="shared" si="64"/>
        <v>0</v>
      </c>
      <c r="AD108" s="15"/>
      <c r="AE108" s="15"/>
      <c r="AF108" s="13" t="str">
        <f t="shared" si="65"/>
        <v>1</v>
      </c>
      <c r="AG108" s="17"/>
      <c r="AH108" s="17"/>
      <c r="AI108" s="15"/>
      <c r="AJ108" s="14"/>
      <c r="AK108" s="15" cm="1">
        <f t="array" ref="AK108">_xlfn.IFS(B108="","",LEFT(G108,1)="L",1,LEFT(G108,1)="W",1,AND(LEFT(B108,1)="H",G108=""),0)</f>
        <v>0</v>
      </c>
      <c r="AL108" s="15"/>
      <c r="AM108" s="15"/>
      <c r="AN108" s="15"/>
      <c r="AO108" s="15"/>
      <c r="AP108" s="15"/>
      <c r="AQ108" s="15"/>
      <c r="AR108" s="15"/>
      <c r="AS108" s="15">
        <f t="shared" si="73"/>
        <v>1</v>
      </c>
      <c r="AT108" s="15" t="s">
        <v>115</v>
      </c>
      <c r="AU108" s="13" t="str">
        <f t="shared" si="66"/>
        <v>0</v>
      </c>
      <c r="AV108" s="15"/>
      <c r="AW108" s="15"/>
      <c r="AX108" s="15"/>
      <c r="AY108" s="15"/>
      <c r="AZ108" s="14"/>
      <c r="BA108" s="15"/>
      <c r="BB108" s="15"/>
      <c r="BC108" s="15"/>
      <c r="BD108" s="13" t="str">
        <f t="shared" si="67"/>
        <v>0</v>
      </c>
      <c r="BE108" s="2"/>
      <c r="BF108" s="2"/>
      <c r="BG108" s="2"/>
      <c r="BH108" s="2"/>
      <c r="BI108" s="2"/>
      <c r="BJ108" s="2"/>
      <c r="BK108" s="2" t="s">
        <v>340</v>
      </c>
      <c r="BL108" s="10"/>
      <c r="BM108" t="str" cm="1">
        <f t="array" ref="BM108">_xlfn.IFS(LEFT(G108,1)="L","外注品",LEFT(G108,1)="W","内製品",G108="","購買品")</f>
        <v>購買品</v>
      </c>
    </row>
    <row r="109" spans="1:65">
      <c r="A109" s="2" t="str">
        <f t="shared" si="68"/>
        <v>WG01</v>
      </c>
      <c r="B109" s="2" t="s">
        <v>238</v>
      </c>
      <c r="C109" s="2" t="s">
        <v>312</v>
      </c>
      <c r="D109" s="10" t="str">
        <f t="shared" si="69"/>
        <v>E385503_01</v>
      </c>
      <c r="E109" s="10">
        <f t="shared" si="70"/>
        <v>0</v>
      </c>
      <c r="F109" s="2"/>
      <c r="G109" s="3"/>
      <c r="H109" s="19" t="s">
        <v>350</v>
      </c>
      <c r="I109" s="2"/>
      <c r="J109" s="2"/>
      <c r="K109" s="2" t="str">
        <f t="shared" si="62"/>
        <v/>
      </c>
      <c r="L109" s="7" t="str">
        <f t="shared" si="60"/>
        <v>2001/01/01</v>
      </c>
      <c r="M109" s="7" t="str">
        <f t="shared" si="61"/>
        <v>2199/12/31</v>
      </c>
      <c r="N109" s="2" t="str">
        <f t="shared" si="71"/>
        <v/>
      </c>
      <c r="O109" s="13" t="str">
        <f t="shared" si="72"/>
        <v/>
      </c>
      <c r="P109" s="15"/>
      <c r="Q109" s="13">
        <v>15</v>
      </c>
      <c r="R109" s="18">
        <v>100000000</v>
      </c>
      <c r="S109" s="18" t="str" cm="1">
        <f t="array" ref="S109">_xlfn.IFS(LEFT(G109,1)="L","記載要",LEFT(G109,1)="W","記載要",G109="","")</f>
        <v/>
      </c>
      <c r="T109" s="2"/>
      <c r="U109" s="2"/>
      <c r="V109" s="2"/>
      <c r="W109" s="2"/>
      <c r="X109" s="2"/>
      <c r="Y109" s="2"/>
      <c r="Z109" s="2"/>
      <c r="AA109" s="13">
        <v>1</v>
      </c>
      <c r="AB109" s="13">
        <f t="shared" si="63"/>
        <v>0</v>
      </c>
      <c r="AC109" s="13">
        <f t="shared" si="64"/>
        <v>0</v>
      </c>
      <c r="AD109" s="15"/>
      <c r="AE109" s="15"/>
      <c r="AF109" s="13" t="str">
        <f t="shared" si="65"/>
        <v>1</v>
      </c>
      <c r="AG109" s="17"/>
      <c r="AH109" s="17"/>
      <c r="AI109" s="15"/>
      <c r="AJ109" s="14"/>
      <c r="AK109" s="15" cm="1">
        <f t="array" ref="AK109">_xlfn.IFS(B109="","",LEFT(G109,1)="L",1,LEFT(G109,1)="W",1,AND(LEFT(B109,1)="H",G109=""),0)</f>
        <v>0</v>
      </c>
      <c r="AL109" s="15"/>
      <c r="AM109" s="15"/>
      <c r="AN109" s="15"/>
      <c r="AO109" s="15"/>
      <c r="AP109" s="15"/>
      <c r="AQ109" s="15"/>
      <c r="AR109" s="15"/>
      <c r="AS109" s="15">
        <f t="shared" si="73"/>
        <v>1</v>
      </c>
      <c r="AT109" s="15" t="s">
        <v>115</v>
      </c>
      <c r="AU109" s="13" t="str">
        <f t="shared" si="66"/>
        <v>0</v>
      </c>
      <c r="AV109" s="15"/>
      <c r="AW109" s="15"/>
      <c r="AX109" s="15"/>
      <c r="AY109" s="15"/>
      <c r="AZ109" s="14"/>
      <c r="BA109" s="15"/>
      <c r="BB109" s="15"/>
      <c r="BC109" s="15"/>
      <c r="BD109" s="13" t="str">
        <f t="shared" si="67"/>
        <v>0</v>
      </c>
      <c r="BE109" s="2"/>
      <c r="BF109" s="2"/>
      <c r="BG109" s="2"/>
      <c r="BH109" s="2"/>
      <c r="BI109" s="2"/>
      <c r="BJ109" s="2"/>
      <c r="BK109" s="2" t="s">
        <v>340</v>
      </c>
      <c r="BL109" s="10"/>
      <c r="BM109" t="str" cm="1">
        <f t="array" ref="BM109">_xlfn.IFS(LEFT(G109,1)="L","外注品",LEFT(G109,1)="W","内製品",G109="","購買品")</f>
        <v>購買品</v>
      </c>
    </row>
    <row r="110" spans="1:65">
      <c r="A110" s="2" t="str">
        <f t="shared" si="68"/>
        <v>WG01</v>
      </c>
      <c r="B110" s="2" t="s">
        <v>239</v>
      </c>
      <c r="C110" s="2" t="s">
        <v>313</v>
      </c>
      <c r="D110" s="10" t="str">
        <f t="shared" si="69"/>
        <v>E385503_01</v>
      </c>
      <c r="E110" s="10">
        <f t="shared" si="70"/>
        <v>0</v>
      </c>
      <c r="F110" s="2"/>
      <c r="G110" s="3"/>
      <c r="H110" s="19" t="s">
        <v>350</v>
      </c>
      <c r="I110" s="2"/>
      <c r="J110" s="2"/>
      <c r="K110" s="2" t="str">
        <f t="shared" si="62"/>
        <v/>
      </c>
      <c r="L110" s="7" t="str">
        <f t="shared" si="60"/>
        <v>2001/01/01</v>
      </c>
      <c r="M110" s="7" t="str">
        <f t="shared" si="61"/>
        <v>2199/12/31</v>
      </c>
      <c r="N110" s="2" t="str">
        <f t="shared" si="71"/>
        <v/>
      </c>
      <c r="O110" s="13" t="str">
        <f t="shared" si="72"/>
        <v/>
      </c>
      <c r="P110" s="15"/>
      <c r="Q110" s="13">
        <v>15</v>
      </c>
      <c r="R110" s="18">
        <v>100000000</v>
      </c>
      <c r="S110" s="18" t="str" cm="1">
        <f t="array" ref="S110">_xlfn.IFS(LEFT(G110,1)="L","記載要",LEFT(G110,1)="W","記載要",G110="","")</f>
        <v/>
      </c>
      <c r="T110" s="2"/>
      <c r="U110" s="2"/>
      <c r="V110" s="2"/>
      <c r="W110" s="2"/>
      <c r="X110" s="2"/>
      <c r="Y110" s="2"/>
      <c r="Z110" s="2"/>
      <c r="AA110" s="13">
        <v>1</v>
      </c>
      <c r="AB110" s="13">
        <f t="shared" si="63"/>
        <v>0</v>
      </c>
      <c r="AC110" s="13">
        <f t="shared" si="64"/>
        <v>0</v>
      </c>
      <c r="AD110" s="15"/>
      <c r="AE110" s="15"/>
      <c r="AF110" s="13" t="str">
        <f t="shared" si="65"/>
        <v>1</v>
      </c>
      <c r="AG110" s="17"/>
      <c r="AH110" s="17"/>
      <c r="AI110" s="15"/>
      <c r="AJ110" s="14"/>
      <c r="AK110" s="15" cm="1">
        <f t="array" ref="AK110">_xlfn.IFS(B110="","",LEFT(G110,1)="L",1,LEFT(G110,1)="W",1,AND(LEFT(B110,1)="H",G110=""),0)</f>
        <v>0</v>
      </c>
      <c r="AL110" s="15"/>
      <c r="AM110" s="15"/>
      <c r="AN110" s="15"/>
      <c r="AO110" s="15"/>
      <c r="AP110" s="15"/>
      <c r="AQ110" s="15"/>
      <c r="AR110" s="15"/>
      <c r="AS110" s="15">
        <f t="shared" si="73"/>
        <v>1</v>
      </c>
      <c r="AT110" s="15" t="s">
        <v>115</v>
      </c>
      <c r="AU110" s="13" t="str">
        <f t="shared" si="66"/>
        <v>0</v>
      </c>
      <c r="AV110" s="15"/>
      <c r="AW110" s="15"/>
      <c r="AX110" s="15"/>
      <c r="AY110" s="15"/>
      <c r="AZ110" s="14"/>
      <c r="BA110" s="15"/>
      <c r="BB110" s="15"/>
      <c r="BC110" s="15"/>
      <c r="BD110" s="13" t="str">
        <f t="shared" si="67"/>
        <v>0</v>
      </c>
      <c r="BE110" s="2"/>
      <c r="BF110" s="2"/>
      <c r="BG110" s="2"/>
      <c r="BH110" s="2"/>
      <c r="BI110" s="2"/>
      <c r="BJ110" s="2"/>
      <c r="BK110" s="2" t="s">
        <v>340</v>
      </c>
      <c r="BL110" s="10"/>
      <c r="BM110" t="str" cm="1">
        <f t="array" ref="BM110">_xlfn.IFS(LEFT(G110,1)="L","外注品",LEFT(G110,1)="W","内製品",G110="","購買品")</f>
        <v>購買品</v>
      </c>
    </row>
    <row r="111" spans="1:65">
      <c r="A111" s="2" t="str">
        <f t="shared" si="68"/>
        <v>WG01</v>
      </c>
      <c r="B111" s="2" t="s">
        <v>240</v>
      </c>
      <c r="C111" s="2" t="s">
        <v>314</v>
      </c>
      <c r="D111" s="10" t="str">
        <f t="shared" si="69"/>
        <v>E385503_01</v>
      </c>
      <c r="E111" s="10">
        <f t="shared" si="70"/>
        <v>0</v>
      </c>
      <c r="F111" s="2"/>
      <c r="G111" s="3"/>
      <c r="H111" s="19" t="s">
        <v>350</v>
      </c>
      <c r="I111" s="2"/>
      <c r="J111" s="2"/>
      <c r="K111" s="2" t="str">
        <f t="shared" si="62"/>
        <v/>
      </c>
      <c r="L111" s="7" t="str">
        <f t="shared" si="60"/>
        <v>2001/01/01</v>
      </c>
      <c r="M111" s="7" t="str">
        <f t="shared" si="61"/>
        <v>2199/12/31</v>
      </c>
      <c r="N111" s="2" t="str">
        <f t="shared" si="71"/>
        <v/>
      </c>
      <c r="O111" s="13" t="str">
        <f t="shared" si="72"/>
        <v/>
      </c>
      <c r="P111" s="15"/>
      <c r="Q111" s="13">
        <v>15</v>
      </c>
      <c r="R111" s="18">
        <v>100000000</v>
      </c>
      <c r="S111" s="18" t="str" cm="1">
        <f t="array" ref="S111">_xlfn.IFS(LEFT(G111,1)="L","記載要",LEFT(G111,1)="W","記載要",G111="","")</f>
        <v/>
      </c>
      <c r="T111" s="2"/>
      <c r="U111" s="2"/>
      <c r="V111" s="2"/>
      <c r="W111" s="2"/>
      <c r="X111" s="2"/>
      <c r="Y111" s="2"/>
      <c r="Z111" s="2"/>
      <c r="AA111" s="13">
        <v>1</v>
      </c>
      <c r="AB111" s="13">
        <f t="shared" si="63"/>
        <v>0</v>
      </c>
      <c r="AC111" s="13">
        <f t="shared" si="64"/>
        <v>0</v>
      </c>
      <c r="AD111" s="15"/>
      <c r="AE111" s="15"/>
      <c r="AF111" s="13" t="str">
        <f t="shared" si="65"/>
        <v>1</v>
      </c>
      <c r="AG111" s="17"/>
      <c r="AH111" s="17"/>
      <c r="AI111" s="15"/>
      <c r="AJ111" s="14"/>
      <c r="AK111" s="15" cm="1">
        <f t="array" ref="AK111">_xlfn.IFS(B111="","",LEFT(G111,1)="L",1,LEFT(G111,1)="W",1,AND(LEFT(B111,1)="H",G111=""),0)</f>
        <v>0</v>
      </c>
      <c r="AL111" s="15"/>
      <c r="AM111" s="15"/>
      <c r="AN111" s="15"/>
      <c r="AO111" s="15"/>
      <c r="AP111" s="15"/>
      <c r="AQ111" s="15"/>
      <c r="AR111" s="15"/>
      <c r="AS111" s="15">
        <f t="shared" si="73"/>
        <v>1</v>
      </c>
      <c r="AT111" s="15" t="s">
        <v>115</v>
      </c>
      <c r="AU111" s="13" t="str">
        <f t="shared" si="66"/>
        <v>0</v>
      </c>
      <c r="AV111" s="15"/>
      <c r="AW111" s="15"/>
      <c r="AX111" s="15"/>
      <c r="AY111" s="15"/>
      <c r="AZ111" s="14"/>
      <c r="BA111" s="15"/>
      <c r="BB111" s="15"/>
      <c r="BC111" s="15"/>
      <c r="BD111" s="13" t="str">
        <f t="shared" si="67"/>
        <v>0</v>
      </c>
      <c r="BE111" s="2"/>
      <c r="BF111" s="2"/>
      <c r="BG111" s="2"/>
      <c r="BH111" s="2"/>
      <c r="BI111" s="2"/>
      <c r="BJ111" s="2"/>
      <c r="BK111" s="2" t="s">
        <v>340</v>
      </c>
      <c r="BL111" s="10"/>
      <c r="BM111" t="str" cm="1">
        <f t="array" ref="BM111">_xlfn.IFS(LEFT(G111,1)="L","外注品",LEFT(G111,1)="W","内製品",G111="","購買品")</f>
        <v>購買品</v>
      </c>
    </row>
    <row r="112" spans="1:65">
      <c r="A112" s="2" t="str">
        <f t="shared" si="68"/>
        <v>WG01</v>
      </c>
      <c r="B112" s="2" t="s">
        <v>241</v>
      </c>
      <c r="C112" s="2" t="s">
        <v>315</v>
      </c>
      <c r="D112" s="10" t="str">
        <f t="shared" si="69"/>
        <v>E385503_01</v>
      </c>
      <c r="E112" s="10">
        <f t="shared" si="70"/>
        <v>0</v>
      </c>
      <c r="F112" s="2"/>
      <c r="G112" s="3"/>
      <c r="H112" s="19" t="s">
        <v>350</v>
      </c>
      <c r="I112" s="2"/>
      <c r="J112" s="2"/>
      <c r="K112" s="2" t="str">
        <f t="shared" si="62"/>
        <v/>
      </c>
      <c r="L112" s="7" t="str">
        <f t="shared" si="60"/>
        <v>2001/01/01</v>
      </c>
      <c r="M112" s="7" t="str">
        <f t="shared" si="61"/>
        <v>2199/12/31</v>
      </c>
      <c r="N112" s="2" t="str">
        <f t="shared" si="71"/>
        <v/>
      </c>
      <c r="O112" s="13" t="str">
        <f t="shared" si="72"/>
        <v/>
      </c>
      <c r="P112" s="15"/>
      <c r="Q112" s="13">
        <v>15</v>
      </c>
      <c r="R112" s="18">
        <v>100000000</v>
      </c>
      <c r="S112" s="18" t="str" cm="1">
        <f t="array" ref="S112">_xlfn.IFS(LEFT(G112,1)="L","記載要",LEFT(G112,1)="W","記載要",G112="","")</f>
        <v/>
      </c>
      <c r="T112" s="2"/>
      <c r="U112" s="2"/>
      <c r="V112" s="2"/>
      <c r="W112" s="2"/>
      <c r="X112" s="2"/>
      <c r="Y112" s="2"/>
      <c r="Z112" s="2"/>
      <c r="AA112" s="13">
        <v>1</v>
      </c>
      <c r="AB112" s="13">
        <f t="shared" si="63"/>
        <v>0</v>
      </c>
      <c r="AC112" s="13">
        <f t="shared" si="64"/>
        <v>0</v>
      </c>
      <c r="AD112" s="15"/>
      <c r="AE112" s="15"/>
      <c r="AF112" s="13" t="str">
        <f t="shared" si="65"/>
        <v>1</v>
      </c>
      <c r="AG112" s="17"/>
      <c r="AH112" s="17"/>
      <c r="AI112" s="15"/>
      <c r="AJ112" s="14"/>
      <c r="AK112" s="15" cm="1">
        <f t="array" ref="AK112">_xlfn.IFS(B112="","",LEFT(G112,1)="L",1,LEFT(G112,1)="W",1,AND(LEFT(B112,1)="H",G112=""),0)</f>
        <v>0</v>
      </c>
      <c r="AL112" s="15"/>
      <c r="AM112" s="15"/>
      <c r="AN112" s="15"/>
      <c r="AO112" s="15"/>
      <c r="AP112" s="15"/>
      <c r="AQ112" s="15"/>
      <c r="AR112" s="15"/>
      <c r="AS112" s="15">
        <f t="shared" si="73"/>
        <v>1</v>
      </c>
      <c r="AT112" s="15" t="s">
        <v>115</v>
      </c>
      <c r="AU112" s="13" t="str">
        <f t="shared" si="66"/>
        <v>0</v>
      </c>
      <c r="AV112" s="15"/>
      <c r="AW112" s="15"/>
      <c r="AX112" s="15"/>
      <c r="AY112" s="15"/>
      <c r="AZ112" s="14"/>
      <c r="BA112" s="15"/>
      <c r="BB112" s="15"/>
      <c r="BC112" s="15"/>
      <c r="BD112" s="13" t="str">
        <f t="shared" si="67"/>
        <v>0</v>
      </c>
      <c r="BE112" s="2"/>
      <c r="BF112" s="2"/>
      <c r="BG112" s="2"/>
      <c r="BH112" s="2"/>
      <c r="BI112" s="2"/>
      <c r="BJ112" s="2"/>
      <c r="BK112" s="2" t="s">
        <v>340</v>
      </c>
      <c r="BL112" s="10"/>
      <c r="BM112" t="str" cm="1">
        <f t="array" ref="BM112">_xlfn.IFS(LEFT(G112,1)="L","外注品",LEFT(G112,1)="W","内製品",G112="","購買品")</f>
        <v>購買品</v>
      </c>
    </row>
    <row r="113" spans="1:65">
      <c r="A113" s="2" t="str">
        <f t="shared" si="68"/>
        <v>WG01</v>
      </c>
      <c r="B113" s="2" t="s">
        <v>242</v>
      </c>
      <c r="C113" s="2" t="s">
        <v>316</v>
      </c>
      <c r="D113" s="10" t="str">
        <f t="shared" si="69"/>
        <v>E385503_01</v>
      </c>
      <c r="E113" s="10">
        <f t="shared" si="70"/>
        <v>0</v>
      </c>
      <c r="F113" s="2"/>
      <c r="G113" s="3"/>
      <c r="H113" s="19" t="s">
        <v>350</v>
      </c>
      <c r="I113" s="2"/>
      <c r="J113" s="2"/>
      <c r="K113" s="2" t="str">
        <f t="shared" si="62"/>
        <v/>
      </c>
      <c r="L113" s="7" t="str">
        <f t="shared" si="60"/>
        <v>2001/01/01</v>
      </c>
      <c r="M113" s="7" t="str">
        <f t="shared" si="61"/>
        <v>2199/12/31</v>
      </c>
      <c r="N113" s="2" t="str">
        <f t="shared" si="71"/>
        <v/>
      </c>
      <c r="O113" s="13" t="str">
        <f t="shared" si="72"/>
        <v/>
      </c>
      <c r="P113" s="15"/>
      <c r="Q113" s="13">
        <v>15</v>
      </c>
      <c r="R113" s="18">
        <v>100000000</v>
      </c>
      <c r="S113" s="18" t="str" cm="1">
        <f t="array" ref="S113">_xlfn.IFS(LEFT(G113,1)="L","記載要",LEFT(G113,1)="W","記載要",G113="","")</f>
        <v/>
      </c>
      <c r="T113" s="2"/>
      <c r="U113" s="2"/>
      <c r="V113" s="2"/>
      <c r="W113" s="2"/>
      <c r="X113" s="2"/>
      <c r="Y113" s="2"/>
      <c r="Z113" s="2"/>
      <c r="AA113" s="13">
        <v>1</v>
      </c>
      <c r="AB113" s="13">
        <f t="shared" si="63"/>
        <v>0</v>
      </c>
      <c r="AC113" s="13">
        <f t="shared" si="64"/>
        <v>0</v>
      </c>
      <c r="AD113" s="15"/>
      <c r="AE113" s="15"/>
      <c r="AF113" s="13" t="str">
        <f t="shared" si="65"/>
        <v>1</v>
      </c>
      <c r="AG113" s="17"/>
      <c r="AH113" s="17"/>
      <c r="AI113" s="15"/>
      <c r="AJ113" s="14"/>
      <c r="AK113" s="15" cm="1">
        <f t="array" ref="AK113">_xlfn.IFS(B113="","",LEFT(G113,1)="L",1,LEFT(G113,1)="W",1,AND(LEFT(B113,1)="H",G113=""),0)</f>
        <v>0</v>
      </c>
      <c r="AL113" s="15"/>
      <c r="AM113" s="15"/>
      <c r="AN113" s="15"/>
      <c r="AO113" s="15"/>
      <c r="AP113" s="15"/>
      <c r="AQ113" s="15"/>
      <c r="AR113" s="15"/>
      <c r="AS113" s="15">
        <f t="shared" si="73"/>
        <v>1</v>
      </c>
      <c r="AT113" s="15" t="s">
        <v>115</v>
      </c>
      <c r="AU113" s="13" t="str">
        <f t="shared" si="66"/>
        <v>0</v>
      </c>
      <c r="AV113" s="15"/>
      <c r="AW113" s="15"/>
      <c r="AX113" s="15"/>
      <c r="AY113" s="15"/>
      <c r="AZ113" s="14"/>
      <c r="BA113" s="15"/>
      <c r="BB113" s="15"/>
      <c r="BC113" s="15"/>
      <c r="BD113" s="13" t="str">
        <f t="shared" si="67"/>
        <v>0</v>
      </c>
      <c r="BE113" s="2"/>
      <c r="BF113" s="2"/>
      <c r="BG113" s="2"/>
      <c r="BH113" s="2"/>
      <c r="BI113" s="2"/>
      <c r="BJ113" s="2"/>
      <c r="BK113" s="2" t="s">
        <v>340</v>
      </c>
      <c r="BL113" s="10"/>
      <c r="BM113" t="str" cm="1">
        <f t="array" ref="BM113">_xlfn.IFS(LEFT(G113,1)="L","外注品",LEFT(G113,1)="W","内製品",G113="","購買品")</f>
        <v>購買品</v>
      </c>
    </row>
    <row r="114" spans="1:65">
      <c r="A114" s="2" t="str">
        <f t="shared" si="68"/>
        <v>WG01</v>
      </c>
      <c r="B114" s="2" t="s">
        <v>243</v>
      </c>
      <c r="C114" s="2" t="s">
        <v>317</v>
      </c>
      <c r="D114" s="10" t="str">
        <f t="shared" si="69"/>
        <v>E385503_01</v>
      </c>
      <c r="E114" s="10">
        <f t="shared" si="70"/>
        <v>0</v>
      </c>
      <c r="F114" s="2"/>
      <c r="G114" s="3"/>
      <c r="H114" s="19" t="s">
        <v>350</v>
      </c>
      <c r="I114" s="2"/>
      <c r="J114" s="2"/>
      <c r="K114" s="2" t="str">
        <f t="shared" si="62"/>
        <v/>
      </c>
      <c r="L114" s="7" t="str">
        <f t="shared" si="60"/>
        <v>2001/01/01</v>
      </c>
      <c r="M114" s="7" t="str">
        <f t="shared" si="61"/>
        <v>2199/12/31</v>
      </c>
      <c r="N114" s="2" t="str">
        <f t="shared" si="71"/>
        <v/>
      </c>
      <c r="O114" s="13" t="str">
        <f t="shared" si="72"/>
        <v/>
      </c>
      <c r="P114" s="15"/>
      <c r="Q114" s="13">
        <v>15</v>
      </c>
      <c r="R114" s="18">
        <v>100000000</v>
      </c>
      <c r="S114" s="18" t="str" cm="1">
        <f t="array" ref="S114">_xlfn.IFS(LEFT(G114,1)="L","記載要",LEFT(G114,1)="W","記載要",G114="","")</f>
        <v/>
      </c>
      <c r="T114" s="2"/>
      <c r="U114" s="2"/>
      <c r="V114" s="2"/>
      <c r="W114" s="2"/>
      <c r="X114" s="2"/>
      <c r="Y114" s="2"/>
      <c r="Z114" s="2"/>
      <c r="AA114" s="13">
        <v>1</v>
      </c>
      <c r="AB114" s="13">
        <f t="shared" si="63"/>
        <v>0</v>
      </c>
      <c r="AC114" s="13">
        <f t="shared" si="64"/>
        <v>0</v>
      </c>
      <c r="AD114" s="15"/>
      <c r="AE114" s="15"/>
      <c r="AF114" s="13" t="str">
        <f t="shared" si="65"/>
        <v>1</v>
      </c>
      <c r="AG114" s="17"/>
      <c r="AH114" s="17"/>
      <c r="AI114" s="15"/>
      <c r="AJ114" s="14"/>
      <c r="AK114" s="15" cm="1">
        <f t="array" ref="AK114">_xlfn.IFS(B114="","",LEFT(G114,1)="L",1,LEFT(G114,1)="W",1,AND(LEFT(B114,1)="H",G114=""),0)</f>
        <v>0</v>
      </c>
      <c r="AL114" s="15"/>
      <c r="AM114" s="15"/>
      <c r="AN114" s="15"/>
      <c r="AO114" s="15"/>
      <c r="AP114" s="15"/>
      <c r="AQ114" s="15"/>
      <c r="AR114" s="15"/>
      <c r="AS114" s="15">
        <f t="shared" si="73"/>
        <v>1</v>
      </c>
      <c r="AT114" s="15" t="s">
        <v>115</v>
      </c>
      <c r="AU114" s="13" t="str">
        <f t="shared" si="66"/>
        <v>0</v>
      </c>
      <c r="AV114" s="15"/>
      <c r="AW114" s="15"/>
      <c r="AX114" s="15"/>
      <c r="AY114" s="15"/>
      <c r="AZ114" s="14"/>
      <c r="BA114" s="15"/>
      <c r="BB114" s="15"/>
      <c r="BC114" s="15"/>
      <c r="BD114" s="13" t="str">
        <f t="shared" si="67"/>
        <v>0</v>
      </c>
      <c r="BE114" s="2"/>
      <c r="BF114" s="2"/>
      <c r="BG114" s="2"/>
      <c r="BH114" s="2"/>
      <c r="BI114" s="2"/>
      <c r="BJ114" s="2"/>
      <c r="BK114" s="2" t="s">
        <v>340</v>
      </c>
      <c r="BL114" s="10"/>
      <c r="BM114" t="str" cm="1">
        <f t="array" ref="BM114">_xlfn.IFS(LEFT(G114,1)="L","外注品",LEFT(G114,1)="W","内製品",G114="","購買品")</f>
        <v>購買品</v>
      </c>
    </row>
    <row r="115" spans="1:65">
      <c r="A115" s="2" t="str">
        <f t="shared" si="68"/>
        <v>WG01</v>
      </c>
      <c r="B115" s="2" t="s">
        <v>244</v>
      </c>
      <c r="C115" s="2" t="s">
        <v>318</v>
      </c>
      <c r="D115" s="10" t="str">
        <f t="shared" si="69"/>
        <v>E385503_01</v>
      </c>
      <c r="E115" s="10">
        <f t="shared" si="70"/>
        <v>0</v>
      </c>
      <c r="F115" s="2"/>
      <c r="G115" s="3"/>
      <c r="H115" s="19" t="s">
        <v>350</v>
      </c>
      <c r="I115" s="2"/>
      <c r="J115" s="2"/>
      <c r="K115" s="2" t="str">
        <f t="shared" si="62"/>
        <v/>
      </c>
      <c r="L115" s="7" t="str">
        <f t="shared" si="60"/>
        <v>2001/01/01</v>
      </c>
      <c r="M115" s="7" t="str">
        <f t="shared" si="61"/>
        <v>2199/12/31</v>
      </c>
      <c r="N115" s="2" t="str">
        <f t="shared" si="71"/>
        <v/>
      </c>
      <c r="O115" s="13" t="str">
        <f t="shared" si="72"/>
        <v/>
      </c>
      <c r="P115" s="15"/>
      <c r="Q115" s="13">
        <v>15</v>
      </c>
      <c r="R115" s="18">
        <v>100000000</v>
      </c>
      <c r="S115" s="18" t="str" cm="1">
        <f t="array" ref="S115">_xlfn.IFS(LEFT(G115,1)="L","記載要",LEFT(G115,1)="W","記載要",G115="","")</f>
        <v/>
      </c>
      <c r="T115" s="2"/>
      <c r="U115" s="2"/>
      <c r="V115" s="2"/>
      <c r="W115" s="2"/>
      <c r="X115" s="2"/>
      <c r="Y115" s="2"/>
      <c r="Z115" s="2"/>
      <c r="AA115" s="13">
        <v>1</v>
      </c>
      <c r="AB115" s="13">
        <f t="shared" si="63"/>
        <v>0</v>
      </c>
      <c r="AC115" s="13">
        <f t="shared" si="64"/>
        <v>0</v>
      </c>
      <c r="AD115" s="15"/>
      <c r="AE115" s="15"/>
      <c r="AF115" s="13" t="str">
        <f t="shared" si="65"/>
        <v>1</v>
      </c>
      <c r="AG115" s="17"/>
      <c r="AH115" s="17"/>
      <c r="AI115" s="15"/>
      <c r="AJ115" s="14"/>
      <c r="AK115" s="15" cm="1">
        <f t="array" ref="AK115">_xlfn.IFS(B115="","",LEFT(G115,1)="L",1,LEFT(G115,1)="W",1,AND(LEFT(B115,1)="H",G115=""),0)</f>
        <v>0</v>
      </c>
      <c r="AL115" s="15"/>
      <c r="AM115" s="15"/>
      <c r="AN115" s="15"/>
      <c r="AO115" s="15"/>
      <c r="AP115" s="15"/>
      <c r="AQ115" s="15"/>
      <c r="AR115" s="15"/>
      <c r="AS115" s="15">
        <f t="shared" si="73"/>
        <v>1</v>
      </c>
      <c r="AT115" s="15" t="s">
        <v>115</v>
      </c>
      <c r="AU115" s="13" t="str">
        <f t="shared" si="66"/>
        <v>0</v>
      </c>
      <c r="AV115" s="15"/>
      <c r="AW115" s="15"/>
      <c r="AX115" s="15"/>
      <c r="AY115" s="15"/>
      <c r="AZ115" s="14"/>
      <c r="BA115" s="15"/>
      <c r="BB115" s="15"/>
      <c r="BC115" s="15"/>
      <c r="BD115" s="13" t="str">
        <f t="shared" si="67"/>
        <v>0</v>
      </c>
      <c r="BE115" s="2"/>
      <c r="BF115" s="2"/>
      <c r="BG115" s="2"/>
      <c r="BH115" s="2"/>
      <c r="BI115" s="2"/>
      <c r="BJ115" s="2"/>
      <c r="BK115" s="2" t="s">
        <v>340</v>
      </c>
      <c r="BL115" s="10"/>
      <c r="BM115" t="str" cm="1">
        <f t="array" ref="BM115">_xlfn.IFS(LEFT(G115,1)="L","外注品",LEFT(G115,1)="W","内製品",G115="","購買品")</f>
        <v>購買品</v>
      </c>
    </row>
    <row r="116" spans="1:65">
      <c r="A116" s="2" t="str">
        <f t="shared" si="68"/>
        <v>WG01</v>
      </c>
      <c r="B116" s="2" t="s">
        <v>245</v>
      </c>
      <c r="C116" s="2" t="s">
        <v>319</v>
      </c>
      <c r="D116" s="10" t="str">
        <f t="shared" si="69"/>
        <v>E385503_01</v>
      </c>
      <c r="E116" s="10">
        <f t="shared" si="70"/>
        <v>0</v>
      </c>
      <c r="F116" s="2"/>
      <c r="G116" s="3"/>
      <c r="H116" s="19" t="s">
        <v>350</v>
      </c>
      <c r="I116" s="2"/>
      <c r="J116" s="2"/>
      <c r="K116" s="2" t="str">
        <f t="shared" si="62"/>
        <v/>
      </c>
      <c r="L116" s="7" t="str">
        <f t="shared" si="60"/>
        <v>2001/01/01</v>
      </c>
      <c r="M116" s="7" t="str">
        <f t="shared" si="61"/>
        <v>2199/12/31</v>
      </c>
      <c r="N116" s="2" t="str">
        <f t="shared" si="71"/>
        <v/>
      </c>
      <c r="O116" s="13" t="str">
        <f t="shared" si="72"/>
        <v/>
      </c>
      <c r="P116" s="15"/>
      <c r="Q116" s="13">
        <v>15</v>
      </c>
      <c r="R116" s="18">
        <v>100000000</v>
      </c>
      <c r="S116" s="18" t="str" cm="1">
        <f t="array" ref="S116">_xlfn.IFS(LEFT(G116,1)="L","記載要",LEFT(G116,1)="W","記載要",G116="","")</f>
        <v/>
      </c>
      <c r="T116" s="2"/>
      <c r="U116" s="2"/>
      <c r="V116" s="2"/>
      <c r="W116" s="2"/>
      <c r="X116" s="2"/>
      <c r="Y116" s="2"/>
      <c r="Z116" s="2"/>
      <c r="AA116" s="13">
        <v>1</v>
      </c>
      <c r="AB116" s="13">
        <f t="shared" si="63"/>
        <v>0</v>
      </c>
      <c r="AC116" s="13">
        <f t="shared" si="64"/>
        <v>0</v>
      </c>
      <c r="AD116" s="15"/>
      <c r="AE116" s="15"/>
      <c r="AF116" s="13" t="str">
        <f t="shared" si="65"/>
        <v>1</v>
      </c>
      <c r="AG116" s="17"/>
      <c r="AH116" s="17"/>
      <c r="AI116" s="15"/>
      <c r="AJ116" s="14"/>
      <c r="AK116" s="15" cm="1">
        <f t="array" ref="AK116">_xlfn.IFS(B116="","",LEFT(G116,1)="L",1,LEFT(G116,1)="W",1,AND(LEFT(B116,1)="H",G116=""),0)</f>
        <v>0</v>
      </c>
      <c r="AL116" s="15"/>
      <c r="AM116" s="15"/>
      <c r="AN116" s="15"/>
      <c r="AO116" s="15"/>
      <c r="AP116" s="15"/>
      <c r="AQ116" s="15"/>
      <c r="AR116" s="15"/>
      <c r="AS116" s="15">
        <f t="shared" si="73"/>
        <v>1</v>
      </c>
      <c r="AT116" s="15" t="s">
        <v>115</v>
      </c>
      <c r="AU116" s="13" t="str">
        <f t="shared" si="66"/>
        <v>0</v>
      </c>
      <c r="AV116" s="15"/>
      <c r="AW116" s="15"/>
      <c r="AX116" s="15"/>
      <c r="AY116" s="15"/>
      <c r="AZ116" s="14"/>
      <c r="BA116" s="15"/>
      <c r="BB116" s="15"/>
      <c r="BC116" s="15"/>
      <c r="BD116" s="13" t="str">
        <f t="shared" si="67"/>
        <v>0</v>
      </c>
      <c r="BE116" s="2"/>
      <c r="BF116" s="2"/>
      <c r="BG116" s="2"/>
      <c r="BH116" s="2"/>
      <c r="BI116" s="2"/>
      <c r="BJ116" s="2"/>
      <c r="BK116" s="2" t="s">
        <v>340</v>
      </c>
      <c r="BL116" s="10"/>
      <c r="BM116" t="str" cm="1">
        <f t="array" ref="BM116">_xlfn.IFS(LEFT(G116,1)="L","外注品",LEFT(G116,1)="W","内製品",G116="","購買品")</f>
        <v>購買品</v>
      </c>
    </row>
    <row r="117" spans="1:65">
      <c r="A117" s="2" t="str">
        <f t="shared" si="68"/>
        <v>WG01</v>
      </c>
      <c r="B117" s="2" t="s">
        <v>246</v>
      </c>
      <c r="C117" s="2" t="s">
        <v>320</v>
      </c>
      <c r="D117" s="10" t="str">
        <f t="shared" si="69"/>
        <v>E385504_01</v>
      </c>
      <c r="E117" s="10">
        <f t="shared" si="70"/>
        <v>0</v>
      </c>
      <c r="F117" s="2"/>
      <c r="G117" s="3"/>
      <c r="H117" s="19" t="s">
        <v>350</v>
      </c>
      <c r="I117" s="2"/>
      <c r="J117" s="2"/>
      <c r="K117" s="2" t="str">
        <f t="shared" si="62"/>
        <v/>
      </c>
      <c r="L117" s="7" t="str">
        <f t="shared" si="60"/>
        <v>2001/01/01</v>
      </c>
      <c r="M117" s="7" t="str">
        <f t="shared" si="61"/>
        <v>2199/12/31</v>
      </c>
      <c r="N117" s="2" t="str">
        <f t="shared" si="71"/>
        <v/>
      </c>
      <c r="O117" s="13" t="str">
        <f t="shared" si="72"/>
        <v/>
      </c>
      <c r="P117" s="15"/>
      <c r="Q117" s="13">
        <v>15</v>
      </c>
      <c r="R117" s="18">
        <v>100000000</v>
      </c>
      <c r="S117" s="18" t="str" cm="1">
        <f t="array" ref="S117">_xlfn.IFS(LEFT(G117,1)="L","記載要",LEFT(G117,1)="W","記載要",G117="","")</f>
        <v/>
      </c>
      <c r="T117" s="2"/>
      <c r="U117" s="2"/>
      <c r="V117" s="2"/>
      <c r="W117" s="2"/>
      <c r="X117" s="2"/>
      <c r="Y117" s="2"/>
      <c r="Z117" s="2"/>
      <c r="AA117" s="13">
        <v>1</v>
      </c>
      <c r="AB117" s="13">
        <f t="shared" si="63"/>
        <v>0</v>
      </c>
      <c r="AC117" s="13">
        <f t="shared" si="64"/>
        <v>0</v>
      </c>
      <c r="AD117" s="15"/>
      <c r="AE117" s="15"/>
      <c r="AF117" s="13" t="str">
        <f t="shared" si="65"/>
        <v>1</v>
      </c>
      <c r="AG117" s="17"/>
      <c r="AH117" s="17"/>
      <c r="AI117" s="15"/>
      <c r="AJ117" s="14"/>
      <c r="AK117" s="15" cm="1">
        <f t="array" ref="AK117">_xlfn.IFS(B117="","",LEFT(G117,1)="L",1,LEFT(G117,1)="W",1,AND(LEFT(B117,1)="H",G117=""),0)</f>
        <v>0</v>
      </c>
      <c r="AL117" s="15"/>
      <c r="AM117" s="15"/>
      <c r="AN117" s="15"/>
      <c r="AO117" s="15"/>
      <c r="AP117" s="15"/>
      <c r="AQ117" s="15"/>
      <c r="AR117" s="15"/>
      <c r="AS117" s="15">
        <f t="shared" si="73"/>
        <v>1</v>
      </c>
      <c r="AT117" s="15" t="s">
        <v>115</v>
      </c>
      <c r="AU117" s="13" t="str">
        <f t="shared" si="66"/>
        <v>0</v>
      </c>
      <c r="AV117" s="15"/>
      <c r="AW117" s="15"/>
      <c r="AX117" s="15"/>
      <c r="AY117" s="15"/>
      <c r="AZ117" s="14"/>
      <c r="BA117" s="15"/>
      <c r="BB117" s="15"/>
      <c r="BC117" s="15"/>
      <c r="BD117" s="13" t="str">
        <f t="shared" si="67"/>
        <v>0</v>
      </c>
      <c r="BE117" s="2"/>
      <c r="BF117" s="2"/>
      <c r="BG117" s="2"/>
      <c r="BH117" s="2"/>
      <c r="BI117" s="2"/>
      <c r="BJ117" s="2"/>
      <c r="BK117" s="2" t="s">
        <v>341</v>
      </c>
      <c r="BL117" s="10"/>
      <c r="BM117" t="str" cm="1">
        <f t="array" ref="BM117">_xlfn.IFS(LEFT(G117,1)="L","外注品",LEFT(G117,1)="W","内製品",G117="","購買品")</f>
        <v>購買品</v>
      </c>
    </row>
    <row r="118" spans="1:65">
      <c r="A118" s="2" t="str">
        <f t="shared" si="68"/>
        <v>WG01</v>
      </c>
      <c r="B118" s="2" t="s">
        <v>247</v>
      </c>
      <c r="C118" s="2" t="s">
        <v>320</v>
      </c>
      <c r="D118" s="10" t="str">
        <f t="shared" si="69"/>
        <v>E385504_01</v>
      </c>
      <c r="E118" s="10">
        <f t="shared" si="70"/>
        <v>0</v>
      </c>
      <c r="F118" s="2"/>
      <c r="G118" s="3"/>
      <c r="H118" s="19" t="s">
        <v>350</v>
      </c>
      <c r="I118" s="2"/>
      <c r="J118" s="2"/>
      <c r="K118" s="2" t="str">
        <f t="shared" si="62"/>
        <v/>
      </c>
      <c r="L118" s="7" t="str">
        <f t="shared" si="60"/>
        <v>2001/01/01</v>
      </c>
      <c r="M118" s="7" t="str">
        <f t="shared" si="61"/>
        <v>2199/12/31</v>
      </c>
      <c r="N118" s="2" t="str">
        <f t="shared" si="71"/>
        <v/>
      </c>
      <c r="O118" s="13" t="str">
        <f t="shared" si="72"/>
        <v/>
      </c>
      <c r="P118" s="15"/>
      <c r="Q118" s="13">
        <v>15</v>
      </c>
      <c r="R118" s="18">
        <v>100000000</v>
      </c>
      <c r="S118" s="18" t="str" cm="1">
        <f t="array" ref="S118">_xlfn.IFS(LEFT(G118,1)="L","記載要",LEFT(G118,1)="W","記載要",G118="","")</f>
        <v/>
      </c>
      <c r="T118" s="2"/>
      <c r="U118" s="2"/>
      <c r="V118" s="2"/>
      <c r="W118" s="2"/>
      <c r="X118" s="2"/>
      <c r="Y118" s="2"/>
      <c r="Z118" s="2"/>
      <c r="AA118" s="13">
        <v>1</v>
      </c>
      <c r="AB118" s="13">
        <f t="shared" si="63"/>
        <v>0</v>
      </c>
      <c r="AC118" s="13">
        <f t="shared" si="64"/>
        <v>0</v>
      </c>
      <c r="AD118" s="15"/>
      <c r="AE118" s="15"/>
      <c r="AF118" s="13" t="str">
        <f t="shared" si="65"/>
        <v>1</v>
      </c>
      <c r="AG118" s="17"/>
      <c r="AH118" s="17"/>
      <c r="AI118" s="15"/>
      <c r="AJ118" s="14"/>
      <c r="AK118" s="15" cm="1">
        <f t="array" ref="AK118">_xlfn.IFS(B118="","",LEFT(G118,1)="L",1,LEFT(G118,1)="W",1,AND(LEFT(B118,1)="H",G118=""),0)</f>
        <v>0</v>
      </c>
      <c r="AL118" s="15"/>
      <c r="AM118" s="15"/>
      <c r="AN118" s="15"/>
      <c r="AO118" s="15"/>
      <c r="AP118" s="15"/>
      <c r="AQ118" s="15"/>
      <c r="AR118" s="15"/>
      <c r="AS118" s="15">
        <f t="shared" si="73"/>
        <v>1</v>
      </c>
      <c r="AT118" s="15" t="s">
        <v>115</v>
      </c>
      <c r="AU118" s="13" t="str">
        <f t="shared" si="66"/>
        <v>0</v>
      </c>
      <c r="AV118" s="15"/>
      <c r="AW118" s="15"/>
      <c r="AX118" s="15"/>
      <c r="AY118" s="15"/>
      <c r="AZ118" s="14"/>
      <c r="BA118" s="15"/>
      <c r="BB118" s="15"/>
      <c r="BC118" s="15"/>
      <c r="BD118" s="13" t="str">
        <f t="shared" si="67"/>
        <v>0</v>
      </c>
      <c r="BE118" s="2"/>
      <c r="BF118" s="2"/>
      <c r="BG118" s="2"/>
      <c r="BH118" s="2"/>
      <c r="BI118" s="2"/>
      <c r="BJ118" s="2"/>
      <c r="BK118" s="2" t="s">
        <v>341</v>
      </c>
      <c r="BL118" s="10"/>
      <c r="BM118" t="str" cm="1">
        <f t="array" ref="BM118">_xlfn.IFS(LEFT(G118,1)="L","外注品",LEFT(G118,1)="W","内製品",G118="","購買品")</f>
        <v>購買品</v>
      </c>
    </row>
    <row r="119" spans="1:65">
      <c r="A119" s="2" t="str">
        <f t="shared" si="68"/>
        <v>WG01</v>
      </c>
      <c r="B119" s="2" t="s">
        <v>248</v>
      </c>
      <c r="C119" s="2" t="s">
        <v>321</v>
      </c>
      <c r="D119" s="10" t="str">
        <f t="shared" si="69"/>
        <v>E385504_02</v>
      </c>
      <c r="E119" s="10">
        <f t="shared" si="70"/>
        <v>0</v>
      </c>
      <c r="F119" s="2"/>
      <c r="G119" s="3"/>
      <c r="H119" s="19" t="s">
        <v>350</v>
      </c>
      <c r="I119" s="2"/>
      <c r="J119" s="2"/>
      <c r="K119" s="2" t="str">
        <f t="shared" si="62"/>
        <v/>
      </c>
      <c r="L119" s="7" t="str">
        <f t="shared" si="60"/>
        <v>2001/01/01</v>
      </c>
      <c r="M119" s="7" t="str">
        <f t="shared" si="61"/>
        <v>2199/12/31</v>
      </c>
      <c r="N119" s="2" t="str">
        <f t="shared" si="71"/>
        <v/>
      </c>
      <c r="O119" s="13" t="str">
        <f t="shared" si="72"/>
        <v/>
      </c>
      <c r="P119" s="15"/>
      <c r="Q119" s="13">
        <v>15</v>
      </c>
      <c r="R119" s="18">
        <v>100000000</v>
      </c>
      <c r="S119" s="18" t="str" cm="1">
        <f t="array" ref="S119">_xlfn.IFS(LEFT(G119,1)="L","記載要",LEFT(G119,1)="W","記載要",G119="","")</f>
        <v/>
      </c>
      <c r="T119" s="2"/>
      <c r="U119" s="2"/>
      <c r="V119" s="2"/>
      <c r="W119" s="2"/>
      <c r="X119" s="2"/>
      <c r="Y119" s="2"/>
      <c r="Z119" s="2"/>
      <c r="AA119" s="13">
        <v>1</v>
      </c>
      <c r="AB119" s="13">
        <f t="shared" si="63"/>
        <v>0</v>
      </c>
      <c r="AC119" s="13">
        <f t="shared" si="64"/>
        <v>0</v>
      </c>
      <c r="AD119" s="15"/>
      <c r="AE119" s="15"/>
      <c r="AF119" s="13" t="str">
        <f t="shared" si="65"/>
        <v>1</v>
      </c>
      <c r="AG119" s="17"/>
      <c r="AH119" s="17"/>
      <c r="AI119" s="15"/>
      <c r="AJ119" s="14"/>
      <c r="AK119" s="15" cm="1">
        <f t="array" ref="AK119">_xlfn.IFS(B119="","",LEFT(G119,1)="L",1,LEFT(G119,1)="W",1,AND(LEFT(B119,1)="H",G119=""),0)</f>
        <v>0</v>
      </c>
      <c r="AL119" s="15"/>
      <c r="AM119" s="15"/>
      <c r="AN119" s="15"/>
      <c r="AO119" s="15"/>
      <c r="AP119" s="15"/>
      <c r="AQ119" s="15"/>
      <c r="AR119" s="15"/>
      <c r="AS119" s="15">
        <f t="shared" si="73"/>
        <v>1</v>
      </c>
      <c r="AT119" s="15" t="s">
        <v>115</v>
      </c>
      <c r="AU119" s="13" t="str">
        <f t="shared" si="66"/>
        <v>0</v>
      </c>
      <c r="AV119" s="15"/>
      <c r="AW119" s="15"/>
      <c r="AX119" s="15"/>
      <c r="AY119" s="15"/>
      <c r="AZ119" s="14"/>
      <c r="BA119" s="15"/>
      <c r="BB119" s="15"/>
      <c r="BC119" s="15"/>
      <c r="BD119" s="13" t="str">
        <f t="shared" si="67"/>
        <v>0</v>
      </c>
      <c r="BE119" s="2"/>
      <c r="BF119" s="2"/>
      <c r="BG119" s="2"/>
      <c r="BH119" s="2"/>
      <c r="BI119" s="2"/>
      <c r="BJ119" s="2"/>
      <c r="BK119" s="2" t="s">
        <v>342</v>
      </c>
      <c r="BL119" s="10"/>
      <c r="BM119" t="str" cm="1">
        <f t="array" ref="BM119">_xlfn.IFS(LEFT(G119,1)="L","外注品",LEFT(G119,1)="W","内製品",G119="","購買品")</f>
        <v>購買品</v>
      </c>
    </row>
    <row r="120" spans="1:65">
      <c r="A120" s="2" t="str">
        <f t="shared" si="68"/>
        <v>WG01</v>
      </c>
      <c r="B120" s="2" t="s">
        <v>249</v>
      </c>
      <c r="C120" s="2" t="s">
        <v>322</v>
      </c>
      <c r="D120" s="10" t="str">
        <f t="shared" si="69"/>
        <v>E385505_01</v>
      </c>
      <c r="E120" s="10">
        <f t="shared" si="70"/>
        <v>0</v>
      </c>
      <c r="F120" s="2"/>
      <c r="G120" s="3"/>
      <c r="H120" s="19" t="s">
        <v>350</v>
      </c>
      <c r="I120" s="2"/>
      <c r="J120" s="2"/>
      <c r="K120" s="2" t="str">
        <f t="shared" si="62"/>
        <v/>
      </c>
      <c r="L120" s="7" t="str">
        <f t="shared" si="60"/>
        <v>2001/01/01</v>
      </c>
      <c r="M120" s="7" t="str">
        <f t="shared" si="61"/>
        <v>2199/12/31</v>
      </c>
      <c r="N120" s="2" t="str">
        <f t="shared" si="71"/>
        <v/>
      </c>
      <c r="O120" s="13" t="str">
        <f t="shared" si="72"/>
        <v/>
      </c>
      <c r="P120" s="15"/>
      <c r="Q120" s="13">
        <v>15</v>
      </c>
      <c r="R120" s="18">
        <v>100000000</v>
      </c>
      <c r="S120" s="18" t="str" cm="1">
        <f t="array" ref="S120">_xlfn.IFS(LEFT(G120,1)="L","記載要",LEFT(G120,1)="W","記載要",G120="","")</f>
        <v/>
      </c>
      <c r="T120" s="2"/>
      <c r="U120" s="2"/>
      <c r="V120" s="2"/>
      <c r="W120" s="2"/>
      <c r="X120" s="2"/>
      <c r="Y120" s="2"/>
      <c r="Z120" s="2"/>
      <c r="AA120" s="13">
        <v>1</v>
      </c>
      <c r="AB120" s="13">
        <f t="shared" si="63"/>
        <v>0</v>
      </c>
      <c r="AC120" s="13">
        <f t="shared" si="64"/>
        <v>0</v>
      </c>
      <c r="AD120" s="15"/>
      <c r="AE120" s="15"/>
      <c r="AF120" s="13" t="str">
        <f t="shared" si="65"/>
        <v>1</v>
      </c>
      <c r="AG120" s="17"/>
      <c r="AH120" s="17"/>
      <c r="AI120" s="15"/>
      <c r="AJ120" s="14"/>
      <c r="AK120" s="15" cm="1">
        <f t="array" ref="AK120">_xlfn.IFS(B120="","",LEFT(G120,1)="L",1,LEFT(G120,1)="W",1,AND(LEFT(B120,1)="H",G120=""),0)</f>
        <v>0</v>
      </c>
      <c r="AL120" s="15"/>
      <c r="AM120" s="15"/>
      <c r="AN120" s="15"/>
      <c r="AO120" s="15"/>
      <c r="AP120" s="15"/>
      <c r="AQ120" s="15"/>
      <c r="AR120" s="15"/>
      <c r="AS120" s="15">
        <f t="shared" si="73"/>
        <v>1</v>
      </c>
      <c r="AT120" s="15" t="s">
        <v>115</v>
      </c>
      <c r="AU120" s="13" t="str">
        <f t="shared" si="66"/>
        <v>0</v>
      </c>
      <c r="AV120" s="15"/>
      <c r="AW120" s="15"/>
      <c r="AX120" s="15"/>
      <c r="AY120" s="15"/>
      <c r="AZ120" s="14"/>
      <c r="BA120" s="15"/>
      <c r="BB120" s="15"/>
      <c r="BC120" s="15"/>
      <c r="BD120" s="13" t="str">
        <f t="shared" si="67"/>
        <v>0</v>
      </c>
      <c r="BE120" s="2"/>
      <c r="BF120" s="2"/>
      <c r="BG120" s="2"/>
      <c r="BH120" s="2"/>
      <c r="BI120" s="2"/>
      <c r="BJ120" s="2"/>
      <c r="BK120" s="2" t="s">
        <v>343</v>
      </c>
      <c r="BL120" s="10"/>
      <c r="BM120" t="str" cm="1">
        <f t="array" ref="BM120">_xlfn.IFS(LEFT(G120,1)="L","外注品",LEFT(G120,1)="W","内製品",G120="","購買品")</f>
        <v>購買品</v>
      </c>
    </row>
    <row r="121" spans="1:65">
      <c r="A121" s="2" t="str">
        <f t="shared" si="68"/>
        <v>WG01</v>
      </c>
      <c r="B121" s="2" t="s">
        <v>250</v>
      </c>
      <c r="C121" s="2" t="s">
        <v>323</v>
      </c>
      <c r="D121" s="10" t="str">
        <f t="shared" si="69"/>
        <v>E385505_01</v>
      </c>
      <c r="E121" s="10">
        <f t="shared" si="70"/>
        <v>0</v>
      </c>
      <c r="F121" s="2"/>
      <c r="G121" s="3"/>
      <c r="H121" s="19" t="s">
        <v>350</v>
      </c>
      <c r="I121" s="2"/>
      <c r="J121" s="2"/>
      <c r="K121" s="2" t="str">
        <f t="shared" si="62"/>
        <v/>
      </c>
      <c r="L121" s="7" t="str">
        <f t="shared" si="60"/>
        <v>2001/01/01</v>
      </c>
      <c r="M121" s="7" t="str">
        <f t="shared" si="61"/>
        <v>2199/12/31</v>
      </c>
      <c r="N121" s="2" t="str">
        <f t="shared" si="71"/>
        <v/>
      </c>
      <c r="O121" s="13" t="str">
        <f t="shared" si="72"/>
        <v/>
      </c>
      <c r="P121" s="15"/>
      <c r="Q121" s="13">
        <v>15</v>
      </c>
      <c r="R121" s="18">
        <v>100000000</v>
      </c>
      <c r="S121" s="18" t="str" cm="1">
        <f t="array" ref="S121">_xlfn.IFS(LEFT(G121,1)="L","記載要",LEFT(G121,1)="W","記載要",G121="","")</f>
        <v/>
      </c>
      <c r="T121" s="2"/>
      <c r="U121" s="2"/>
      <c r="V121" s="2"/>
      <c r="W121" s="2"/>
      <c r="X121" s="2"/>
      <c r="Y121" s="2"/>
      <c r="Z121" s="2"/>
      <c r="AA121" s="13">
        <v>1</v>
      </c>
      <c r="AB121" s="13">
        <f t="shared" si="63"/>
        <v>0</v>
      </c>
      <c r="AC121" s="13">
        <f t="shared" si="64"/>
        <v>0</v>
      </c>
      <c r="AD121" s="15"/>
      <c r="AE121" s="15"/>
      <c r="AF121" s="13" t="str">
        <f t="shared" si="65"/>
        <v>1</v>
      </c>
      <c r="AG121" s="17"/>
      <c r="AH121" s="17"/>
      <c r="AI121" s="15"/>
      <c r="AJ121" s="14"/>
      <c r="AK121" s="15" cm="1">
        <f t="array" ref="AK121">_xlfn.IFS(B121="","",LEFT(G121,1)="L",1,LEFT(G121,1)="W",1,AND(LEFT(B121,1)="H",G121=""),0)</f>
        <v>0</v>
      </c>
      <c r="AL121" s="15"/>
      <c r="AM121" s="15"/>
      <c r="AN121" s="15"/>
      <c r="AO121" s="15"/>
      <c r="AP121" s="15"/>
      <c r="AQ121" s="15"/>
      <c r="AR121" s="15"/>
      <c r="AS121" s="15">
        <f t="shared" si="73"/>
        <v>1</v>
      </c>
      <c r="AT121" s="15" t="s">
        <v>115</v>
      </c>
      <c r="AU121" s="13" t="str">
        <f t="shared" si="66"/>
        <v>0</v>
      </c>
      <c r="AV121" s="15"/>
      <c r="AW121" s="15"/>
      <c r="AX121" s="15"/>
      <c r="AY121" s="15"/>
      <c r="AZ121" s="14"/>
      <c r="BA121" s="15"/>
      <c r="BB121" s="15"/>
      <c r="BC121" s="15"/>
      <c r="BD121" s="13" t="str">
        <f t="shared" si="67"/>
        <v>0</v>
      </c>
      <c r="BE121" s="2"/>
      <c r="BF121" s="2"/>
      <c r="BG121" s="2"/>
      <c r="BH121" s="2"/>
      <c r="BI121" s="2"/>
      <c r="BJ121" s="2"/>
      <c r="BK121" s="2" t="s">
        <v>343</v>
      </c>
      <c r="BL121" s="10"/>
      <c r="BM121" t="str" cm="1">
        <f t="array" ref="BM121">_xlfn.IFS(LEFT(G121,1)="L","外注品",LEFT(G121,1)="W","内製品",G121="","購買品")</f>
        <v>購買品</v>
      </c>
    </row>
    <row r="122" spans="1:65">
      <c r="A122" s="2" t="str">
        <f t="shared" si="68"/>
        <v>WG01</v>
      </c>
      <c r="B122" s="2" t="s">
        <v>251</v>
      </c>
      <c r="C122" s="2" t="s">
        <v>324</v>
      </c>
      <c r="D122" s="10" t="str">
        <f t="shared" si="69"/>
        <v>E385505_01</v>
      </c>
      <c r="E122" s="10">
        <f t="shared" si="70"/>
        <v>0</v>
      </c>
      <c r="F122" s="2"/>
      <c r="G122" s="3"/>
      <c r="H122" s="19" t="s">
        <v>350</v>
      </c>
      <c r="I122" s="2"/>
      <c r="J122" s="2"/>
      <c r="K122" s="2" t="str">
        <f t="shared" si="62"/>
        <v/>
      </c>
      <c r="L122" s="7" t="str">
        <f t="shared" ref="L122:L149" si="74">IF(B122="","","2001/01/01")</f>
        <v>2001/01/01</v>
      </c>
      <c r="M122" s="7" t="str">
        <f t="shared" ref="M122:M149" si="75">IF(C122="","","2199/12/31")</f>
        <v>2199/12/31</v>
      </c>
      <c r="N122" s="2" t="str">
        <f t="shared" si="71"/>
        <v/>
      </c>
      <c r="O122" s="13" t="str">
        <f t="shared" si="72"/>
        <v/>
      </c>
      <c r="P122" s="15"/>
      <c r="Q122" s="13">
        <v>15</v>
      </c>
      <c r="R122" s="18">
        <v>100000000</v>
      </c>
      <c r="S122" s="18" t="str" cm="1">
        <f t="array" ref="S122">_xlfn.IFS(LEFT(G122,1)="L","記載要",LEFT(G122,1)="W","記載要",G122="","")</f>
        <v/>
      </c>
      <c r="T122" s="2"/>
      <c r="U122" s="2"/>
      <c r="V122" s="2"/>
      <c r="W122" s="2"/>
      <c r="X122" s="2"/>
      <c r="Y122" s="2"/>
      <c r="Z122" s="2"/>
      <c r="AA122" s="13">
        <v>1</v>
      </c>
      <c r="AB122" s="13">
        <f t="shared" si="63"/>
        <v>0</v>
      </c>
      <c r="AC122" s="13">
        <f t="shared" si="64"/>
        <v>0</v>
      </c>
      <c r="AD122" s="15"/>
      <c r="AE122" s="15"/>
      <c r="AF122" s="13" t="str">
        <f t="shared" si="65"/>
        <v>1</v>
      </c>
      <c r="AG122" s="17"/>
      <c r="AH122" s="17"/>
      <c r="AI122" s="15"/>
      <c r="AJ122" s="14"/>
      <c r="AK122" s="15" cm="1">
        <f t="array" ref="AK122">_xlfn.IFS(B122="","",LEFT(G122,1)="L",1,LEFT(G122,1)="W",1,AND(LEFT(B122,1)="H",G122=""),0)</f>
        <v>0</v>
      </c>
      <c r="AL122" s="15"/>
      <c r="AM122" s="15"/>
      <c r="AN122" s="15"/>
      <c r="AO122" s="15"/>
      <c r="AP122" s="15"/>
      <c r="AQ122" s="15"/>
      <c r="AR122" s="15"/>
      <c r="AS122" s="15">
        <f t="shared" si="73"/>
        <v>1</v>
      </c>
      <c r="AT122" s="15" t="s">
        <v>115</v>
      </c>
      <c r="AU122" s="13" t="str">
        <f t="shared" si="66"/>
        <v>0</v>
      </c>
      <c r="AV122" s="15"/>
      <c r="AW122" s="15"/>
      <c r="AX122" s="15"/>
      <c r="AY122" s="15"/>
      <c r="AZ122" s="14"/>
      <c r="BA122" s="15"/>
      <c r="BB122" s="15"/>
      <c r="BC122" s="15"/>
      <c r="BD122" s="13" t="str">
        <f t="shared" si="67"/>
        <v>0</v>
      </c>
      <c r="BE122" s="2"/>
      <c r="BF122" s="2"/>
      <c r="BG122" s="2"/>
      <c r="BH122" s="2"/>
      <c r="BI122" s="2"/>
      <c r="BJ122" s="2"/>
      <c r="BK122" s="2" t="s">
        <v>343</v>
      </c>
      <c r="BL122" s="10"/>
      <c r="BM122" t="str" cm="1">
        <f t="array" ref="BM122">_xlfn.IFS(LEFT(G122,1)="L","外注品",LEFT(G122,1)="W","内製品",G122="","購買品")</f>
        <v>購買品</v>
      </c>
    </row>
    <row r="123" spans="1:65">
      <c r="A123" s="2" t="str">
        <f t="shared" si="68"/>
        <v>WG01</v>
      </c>
      <c r="B123" s="2" t="s">
        <v>252</v>
      </c>
      <c r="C123" s="2" t="s">
        <v>325</v>
      </c>
      <c r="D123" s="10" t="str">
        <f t="shared" si="69"/>
        <v>E385505_01</v>
      </c>
      <c r="E123" s="10">
        <f t="shared" si="70"/>
        <v>0</v>
      </c>
      <c r="F123" s="2"/>
      <c r="G123" s="3"/>
      <c r="H123" s="19" t="s">
        <v>350</v>
      </c>
      <c r="I123" s="2"/>
      <c r="J123" s="2"/>
      <c r="K123" s="2" t="str">
        <f t="shared" si="62"/>
        <v/>
      </c>
      <c r="L123" s="7" t="str">
        <f t="shared" si="74"/>
        <v>2001/01/01</v>
      </c>
      <c r="M123" s="7" t="str">
        <f t="shared" si="75"/>
        <v>2199/12/31</v>
      </c>
      <c r="N123" s="2" t="str">
        <f t="shared" si="71"/>
        <v/>
      </c>
      <c r="O123" s="13" t="str">
        <f t="shared" si="72"/>
        <v/>
      </c>
      <c r="P123" s="15"/>
      <c r="Q123" s="13">
        <v>15</v>
      </c>
      <c r="R123" s="18">
        <v>100000000</v>
      </c>
      <c r="S123" s="18" t="str" cm="1">
        <f t="array" ref="S123">_xlfn.IFS(LEFT(G123,1)="L","記載要",LEFT(G123,1)="W","記載要",G123="","")</f>
        <v/>
      </c>
      <c r="T123" s="2"/>
      <c r="U123" s="2"/>
      <c r="V123" s="2"/>
      <c r="W123" s="2"/>
      <c r="X123" s="2"/>
      <c r="Y123" s="2"/>
      <c r="Z123" s="2"/>
      <c r="AA123" s="13">
        <v>1</v>
      </c>
      <c r="AB123" s="13">
        <f t="shared" si="63"/>
        <v>0</v>
      </c>
      <c r="AC123" s="13">
        <f t="shared" si="64"/>
        <v>0</v>
      </c>
      <c r="AD123" s="15"/>
      <c r="AE123" s="15"/>
      <c r="AF123" s="13" t="str">
        <f t="shared" si="65"/>
        <v>1</v>
      </c>
      <c r="AG123" s="17"/>
      <c r="AH123" s="17"/>
      <c r="AI123" s="15"/>
      <c r="AJ123" s="14"/>
      <c r="AK123" s="15" cm="1">
        <f t="array" ref="AK123">_xlfn.IFS(B123="","",LEFT(G123,1)="L",1,LEFT(G123,1)="W",1,AND(LEFT(B123,1)="H",G123=""),0)</f>
        <v>0</v>
      </c>
      <c r="AL123" s="15"/>
      <c r="AM123" s="15"/>
      <c r="AN123" s="15"/>
      <c r="AO123" s="15"/>
      <c r="AP123" s="15"/>
      <c r="AQ123" s="15"/>
      <c r="AR123" s="15"/>
      <c r="AS123" s="15">
        <f t="shared" si="73"/>
        <v>1</v>
      </c>
      <c r="AT123" s="15" t="s">
        <v>115</v>
      </c>
      <c r="AU123" s="13" t="str">
        <f t="shared" si="66"/>
        <v>0</v>
      </c>
      <c r="AV123" s="15"/>
      <c r="AW123" s="15"/>
      <c r="AX123" s="15"/>
      <c r="AY123" s="15"/>
      <c r="AZ123" s="14"/>
      <c r="BA123" s="15"/>
      <c r="BB123" s="15"/>
      <c r="BC123" s="15"/>
      <c r="BD123" s="13" t="str">
        <f t="shared" si="67"/>
        <v>0</v>
      </c>
      <c r="BE123" s="2"/>
      <c r="BF123" s="2"/>
      <c r="BG123" s="2"/>
      <c r="BH123" s="2"/>
      <c r="BI123" s="2"/>
      <c r="BJ123" s="2"/>
      <c r="BK123" s="2" t="s">
        <v>343</v>
      </c>
      <c r="BL123" s="10"/>
      <c r="BM123" t="str" cm="1">
        <f t="array" ref="BM123">_xlfn.IFS(LEFT(G123,1)="L","外注品",LEFT(G123,1)="W","内製品",G123="","購買品")</f>
        <v>購買品</v>
      </c>
    </row>
    <row r="124" spans="1:65">
      <c r="A124" s="2" t="str">
        <f t="shared" si="68"/>
        <v>WG01</v>
      </c>
      <c r="B124" s="2" t="s">
        <v>253</v>
      </c>
      <c r="C124" s="2" t="s">
        <v>320</v>
      </c>
      <c r="D124" s="10" t="str">
        <f t="shared" si="69"/>
        <v>E385505_01</v>
      </c>
      <c r="E124" s="10">
        <f t="shared" si="70"/>
        <v>0</v>
      </c>
      <c r="F124" s="2"/>
      <c r="G124" s="3"/>
      <c r="H124" s="19" t="s">
        <v>350</v>
      </c>
      <c r="I124" s="2"/>
      <c r="J124" s="2"/>
      <c r="K124" s="2" t="str">
        <f t="shared" si="62"/>
        <v/>
      </c>
      <c r="L124" s="7" t="str">
        <f t="shared" si="74"/>
        <v>2001/01/01</v>
      </c>
      <c r="M124" s="7" t="str">
        <f t="shared" si="75"/>
        <v>2199/12/31</v>
      </c>
      <c r="N124" s="2" t="str">
        <f t="shared" si="71"/>
        <v/>
      </c>
      <c r="O124" s="13" t="str">
        <f t="shared" si="72"/>
        <v/>
      </c>
      <c r="P124" s="15"/>
      <c r="Q124" s="13">
        <v>15</v>
      </c>
      <c r="R124" s="18">
        <v>100000000</v>
      </c>
      <c r="S124" s="18" t="str" cm="1">
        <f t="array" ref="S124">_xlfn.IFS(LEFT(G124,1)="L","記載要",LEFT(G124,1)="W","記載要",G124="","")</f>
        <v/>
      </c>
      <c r="T124" s="2"/>
      <c r="U124" s="2"/>
      <c r="V124" s="2"/>
      <c r="W124" s="2"/>
      <c r="X124" s="2"/>
      <c r="Y124" s="2"/>
      <c r="Z124" s="2"/>
      <c r="AA124" s="13">
        <v>1</v>
      </c>
      <c r="AB124" s="13">
        <f t="shared" si="63"/>
        <v>0</v>
      </c>
      <c r="AC124" s="13">
        <f t="shared" si="64"/>
        <v>0</v>
      </c>
      <c r="AD124" s="15"/>
      <c r="AE124" s="15"/>
      <c r="AF124" s="13" t="str">
        <f t="shared" si="65"/>
        <v>1</v>
      </c>
      <c r="AG124" s="17"/>
      <c r="AH124" s="17"/>
      <c r="AI124" s="15"/>
      <c r="AJ124" s="14"/>
      <c r="AK124" s="15" cm="1">
        <f t="array" ref="AK124">_xlfn.IFS(B124="","",LEFT(G124,1)="L",1,LEFT(G124,1)="W",1,AND(LEFT(B124,1)="H",G124=""),0)</f>
        <v>0</v>
      </c>
      <c r="AL124" s="15"/>
      <c r="AM124" s="15"/>
      <c r="AN124" s="15"/>
      <c r="AO124" s="15"/>
      <c r="AP124" s="15"/>
      <c r="AQ124" s="15"/>
      <c r="AR124" s="15"/>
      <c r="AS124" s="15">
        <f t="shared" si="73"/>
        <v>1</v>
      </c>
      <c r="AT124" s="15" t="s">
        <v>115</v>
      </c>
      <c r="AU124" s="13" t="str">
        <f t="shared" si="66"/>
        <v>0</v>
      </c>
      <c r="AV124" s="15"/>
      <c r="AW124" s="15"/>
      <c r="AX124" s="15"/>
      <c r="AY124" s="15"/>
      <c r="AZ124" s="14"/>
      <c r="BA124" s="15"/>
      <c r="BB124" s="15"/>
      <c r="BC124" s="15"/>
      <c r="BD124" s="13" t="str">
        <f t="shared" si="67"/>
        <v>0</v>
      </c>
      <c r="BE124" s="2"/>
      <c r="BF124" s="2"/>
      <c r="BG124" s="2"/>
      <c r="BH124" s="2"/>
      <c r="BI124" s="2"/>
      <c r="BJ124" s="2"/>
      <c r="BK124" s="2" t="s">
        <v>343</v>
      </c>
      <c r="BL124" s="10"/>
      <c r="BM124" t="str" cm="1">
        <f t="array" ref="BM124">_xlfn.IFS(LEFT(G124,1)="L","外注品",LEFT(G124,1)="W","内製品",G124="","購買品")</f>
        <v>購買品</v>
      </c>
    </row>
    <row r="125" spans="1:65">
      <c r="A125" s="2" t="str">
        <f t="shared" si="68"/>
        <v>WG01</v>
      </c>
      <c r="B125" s="2" t="s">
        <v>254</v>
      </c>
      <c r="C125" s="2" t="s">
        <v>326</v>
      </c>
      <c r="D125" s="10" t="str">
        <f t="shared" si="69"/>
        <v>E385505_01</v>
      </c>
      <c r="E125" s="10">
        <f t="shared" si="70"/>
        <v>0</v>
      </c>
      <c r="F125" s="2"/>
      <c r="G125" s="3"/>
      <c r="H125" s="19" t="s">
        <v>350</v>
      </c>
      <c r="I125" s="2"/>
      <c r="J125" s="2"/>
      <c r="K125" s="2" t="str">
        <f t="shared" si="62"/>
        <v/>
      </c>
      <c r="L125" s="7" t="str">
        <f t="shared" si="74"/>
        <v>2001/01/01</v>
      </c>
      <c r="M125" s="7" t="str">
        <f t="shared" si="75"/>
        <v>2199/12/31</v>
      </c>
      <c r="N125" s="2" t="str">
        <f t="shared" si="71"/>
        <v/>
      </c>
      <c r="O125" s="13" t="str">
        <f t="shared" si="72"/>
        <v/>
      </c>
      <c r="P125" s="15"/>
      <c r="Q125" s="13">
        <v>15</v>
      </c>
      <c r="R125" s="18">
        <v>100000000</v>
      </c>
      <c r="S125" s="18" t="str" cm="1">
        <f t="array" ref="S125">_xlfn.IFS(LEFT(G125,1)="L","記載要",LEFT(G125,1)="W","記載要",G125="","")</f>
        <v/>
      </c>
      <c r="T125" s="2"/>
      <c r="U125" s="2"/>
      <c r="V125" s="2"/>
      <c r="W125" s="2"/>
      <c r="X125" s="2"/>
      <c r="Y125" s="2"/>
      <c r="Z125" s="2"/>
      <c r="AA125" s="13">
        <v>1</v>
      </c>
      <c r="AB125" s="13">
        <f t="shared" si="63"/>
        <v>0</v>
      </c>
      <c r="AC125" s="13">
        <f t="shared" si="64"/>
        <v>0</v>
      </c>
      <c r="AD125" s="15"/>
      <c r="AE125" s="15"/>
      <c r="AF125" s="13" t="str">
        <f t="shared" si="65"/>
        <v>1</v>
      </c>
      <c r="AG125" s="17"/>
      <c r="AH125" s="17"/>
      <c r="AI125" s="15"/>
      <c r="AJ125" s="14"/>
      <c r="AK125" s="15" cm="1">
        <f t="array" ref="AK125">_xlfn.IFS(B125="","",LEFT(G125,1)="L",1,LEFT(G125,1)="W",1,AND(LEFT(B125,1)="H",G125=""),0)</f>
        <v>0</v>
      </c>
      <c r="AL125" s="15"/>
      <c r="AM125" s="15"/>
      <c r="AN125" s="15"/>
      <c r="AO125" s="15"/>
      <c r="AP125" s="15"/>
      <c r="AQ125" s="15"/>
      <c r="AR125" s="15"/>
      <c r="AS125" s="15">
        <f t="shared" si="73"/>
        <v>1</v>
      </c>
      <c r="AT125" s="15" t="s">
        <v>115</v>
      </c>
      <c r="AU125" s="13" t="str">
        <f t="shared" si="66"/>
        <v>0</v>
      </c>
      <c r="AV125" s="17"/>
      <c r="AW125" s="17"/>
      <c r="AX125" s="17"/>
      <c r="AY125" s="17"/>
      <c r="AZ125" s="14"/>
      <c r="BA125" s="15"/>
      <c r="BB125" s="15"/>
      <c r="BC125" s="15"/>
      <c r="BD125" s="13" t="str">
        <f t="shared" si="67"/>
        <v>0</v>
      </c>
      <c r="BE125" s="2"/>
      <c r="BF125" s="2"/>
      <c r="BG125" s="2"/>
      <c r="BH125" s="2"/>
      <c r="BI125" s="2"/>
      <c r="BJ125" s="2"/>
      <c r="BK125" s="2" t="s">
        <v>343</v>
      </c>
      <c r="BL125" s="10"/>
      <c r="BM125" t="str" cm="1">
        <f t="array" ref="BM125">_xlfn.IFS(LEFT(G125,1)="L","外注品",LEFT(G125,1)="W","内製品",G125="","購買品")</f>
        <v>購買品</v>
      </c>
    </row>
    <row r="126" spans="1:65">
      <c r="A126" s="2" t="str">
        <f t="shared" si="68"/>
        <v>WG01</v>
      </c>
      <c r="B126" s="2" t="s">
        <v>255</v>
      </c>
      <c r="C126" s="2" t="s">
        <v>327</v>
      </c>
      <c r="D126" s="10" t="str">
        <f t="shared" si="69"/>
        <v>E385505_01</v>
      </c>
      <c r="E126" s="10">
        <f t="shared" si="70"/>
        <v>0</v>
      </c>
      <c r="F126" s="2"/>
      <c r="G126" s="3"/>
      <c r="H126" s="19" t="s">
        <v>350</v>
      </c>
      <c r="I126" s="2"/>
      <c r="J126" s="2"/>
      <c r="K126" s="2" t="str">
        <f t="shared" si="62"/>
        <v/>
      </c>
      <c r="L126" s="7" t="str">
        <f t="shared" si="74"/>
        <v>2001/01/01</v>
      </c>
      <c r="M126" s="7" t="str">
        <f t="shared" si="75"/>
        <v>2199/12/31</v>
      </c>
      <c r="N126" s="2" t="str">
        <f t="shared" si="71"/>
        <v/>
      </c>
      <c r="O126" s="13" t="str">
        <f t="shared" si="72"/>
        <v/>
      </c>
      <c r="P126" s="15"/>
      <c r="Q126" s="13">
        <v>15</v>
      </c>
      <c r="R126" s="18">
        <v>100000000</v>
      </c>
      <c r="S126" s="18" t="str" cm="1">
        <f t="array" ref="S126">_xlfn.IFS(LEFT(G126,1)="L","記載要",LEFT(G126,1)="W","記載要",G126="","")</f>
        <v/>
      </c>
      <c r="T126" s="2"/>
      <c r="U126" s="2"/>
      <c r="V126" s="2"/>
      <c r="W126" s="2"/>
      <c r="X126" s="2"/>
      <c r="Y126" s="2"/>
      <c r="Z126" s="2"/>
      <c r="AA126" s="13">
        <v>1</v>
      </c>
      <c r="AB126" s="13">
        <f t="shared" si="63"/>
        <v>0</v>
      </c>
      <c r="AC126" s="13">
        <f t="shared" si="64"/>
        <v>0</v>
      </c>
      <c r="AD126" s="15"/>
      <c r="AE126" s="15"/>
      <c r="AF126" s="13" t="str">
        <f t="shared" si="65"/>
        <v>1</v>
      </c>
      <c r="AG126" s="17"/>
      <c r="AH126" s="17"/>
      <c r="AI126" s="15"/>
      <c r="AJ126" s="14"/>
      <c r="AK126" s="15" cm="1">
        <f t="array" ref="AK126">_xlfn.IFS(B126="","",LEFT(G126,1)="L",1,LEFT(G126,1)="W",1,AND(LEFT(B126,1)="H",G126=""),0)</f>
        <v>0</v>
      </c>
      <c r="AL126" s="15"/>
      <c r="AM126" s="15"/>
      <c r="AN126" s="15"/>
      <c r="AO126" s="15"/>
      <c r="AP126" s="15"/>
      <c r="AQ126" s="15"/>
      <c r="AR126" s="15"/>
      <c r="AS126" s="15">
        <f t="shared" si="73"/>
        <v>1</v>
      </c>
      <c r="AT126" s="15" t="s">
        <v>115</v>
      </c>
      <c r="AU126" s="13" t="str">
        <f t="shared" si="66"/>
        <v>0</v>
      </c>
      <c r="AV126" s="17"/>
      <c r="AW126" s="17"/>
      <c r="AX126" s="17"/>
      <c r="AY126" s="17"/>
      <c r="AZ126" s="14"/>
      <c r="BA126" s="15"/>
      <c r="BB126" s="15"/>
      <c r="BC126" s="15"/>
      <c r="BD126" s="13" t="str">
        <f t="shared" si="67"/>
        <v>0</v>
      </c>
      <c r="BE126" s="2"/>
      <c r="BF126" s="2"/>
      <c r="BG126" s="2"/>
      <c r="BH126" s="2"/>
      <c r="BI126" s="2"/>
      <c r="BJ126" s="2"/>
      <c r="BK126" s="2" t="s">
        <v>343</v>
      </c>
      <c r="BL126" s="10"/>
      <c r="BM126" t="str" cm="1">
        <f t="array" ref="BM126">_xlfn.IFS(LEFT(G126,1)="L","外注品",LEFT(G126,1)="W","内製品",G126="","購買品")</f>
        <v>購買品</v>
      </c>
    </row>
    <row r="127" spans="1:65">
      <c r="A127" s="2" t="str">
        <f t="shared" si="68"/>
        <v>WG01</v>
      </c>
      <c r="B127" s="2" t="s">
        <v>256</v>
      </c>
      <c r="C127" s="2" t="s">
        <v>322</v>
      </c>
      <c r="D127" s="10" t="str">
        <f t="shared" si="69"/>
        <v>E385505_01</v>
      </c>
      <c r="E127" s="10">
        <f t="shared" si="70"/>
        <v>0</v>
      </c>
      <c r="F127" s="2"/>
      <c r="G127" s="3"/>
      <c r="H127" s="19" t="s">
        <v>350</v>
      </c>
      <c r="I127" s="2"/>
      <c r="J127" s="2"/>
      <c r="K127" s="2" t="str">
        <f t="shared" si="62"/>
        <v/>
      </c>
      <c r="L127" s="7" t="str">
        <f t="shared" si="74"/>
        <v>2001/01/01</v>
      </c>
      <c r="M127" s="7" t="str">
        <f t="shared" si="75"/>
        <v>2199/12/31</v>
      </c>
      <c r="N127" s="2" t="str">
        <f t="shared" si="71"/>
        <v/>
      </c>
      <c r="O127" s="13" t="str">
        <f t="shared" si="72"/>
        <v/>
      </c>
      <c r="P127" s="15"/>
      <c r="Q127" s="13">
        <v>15</v>
      </c>
      <c r="R127" s="18">
        <v>100000000</v>
      </c>
      <c r="S127" s="18" t="str" cm="1">
        <f t="array" ref="S127">_xlfn.IFS(LEFT(G127,1)="L","記載要",LEFT(G127,1)="W","記載要",G127="","")</f>
        <v/>
      </c>
      <c r="T127" s="2"/>
      <c r="U127" s="2"/>
      <c r="V127" s="2"/>
      <c r="W127" s="2"/>
      <c r="X127" s="2"/>
      <c r="Y127" s="2"/>
      <c r="Z127" s="2"/>
      <c r="AA127" s="13">
        <v>1</v>
      </c>
      <c r="AB127" s="13">
        <f t="shared" si="63"/>
        <v>0</v>
      </c>
      <c r="AC127" s="13">
        <f t="shared" si="64"/>
        <v>0</v>
      </c>
      <c r="AD127" s="15"/>
      <c r="AE127" s="15"/>
      <c r="AF127" s="13" t="str">
        <f t="shared" si="65"/>
        <v>1</v>
      </c>
      <c r="AG127" s="17"/>
      <c r="AH127" s="17"/>
      <c r="AI127" s="15"/>
      <c r="AJ127" s="14"/>
      <c r="AK127" s="15" cm="1">
        <f t="array" ref="AK127">_xlfn.IFS(B127="","",LEFT(G127,1)="L",1,LEFT(G127,1)="W",1,AND(LEFT(B127,1)="H",G127=""),0)</f>
        <v>0</v>
      </c>
      <c r="AL127" s="15"/>
      <c r="AM127" s="15"/>
      <c r="AN127" s="15"/>
      <c r="AO127" s="15"/>
      <c r="AP127" s="15"/>
      <c r="AQ127" s="15"/>
      <c r="AR127" s="15"/>
      <c r="AS127" s="15">
        <f t="shared" si="73"/>
        <v>1</v>
      </c>
      <c r="AT127" s="15" t="s">
        <v>115</v>
      </c>
      <c r="AU127" s="13" t="str">
        <f t="shared" si="66"/>
        <v>0</v>
      </c>
      <c r="AV127" s="17"/>
      <c r="AW127" s="17"/>
      <c r="AX127" s="17"/>
      <c r="AY127" s="17"/>
      <c r="AZ127" s="14"/>
      <c r="BA127" s="15"/>
      <c r="BB127" s="15"/>
      <c r="BC127" s="15"/>
      <c r="BD127" s="13" t="str">
        <f t="shared" si="67"/>
        <v>0</v>
      </c>
      <c r="BE127" s="2"/>
      <c r="BF127" s="2"/>
      <c r="BG127" s="2"/>
      <c r="BH127" s="2"/>
      <c r="BI127" s="2"/>
      <c r="BJ127" s="2"/>
      <c r="BK127" s="2" t="s">
        <v>343</v>
      </c>
      <c r="BL127" s="10"/>
      <c r="BM127" t="str" cm="1">
        <f t="array" ref="BM127">_xlfn.IFS(LEFT(G127,1)="L","外注品",LEFT(G127,1)="W","内製品",G127="","購買品")</f>
        <v>購買品</v>
      </c>
    </row>
    <row r="128" spans="1:65">
      <c r="A128" s="2" t="str">
        <f t="shared" si="68"/>
        <v>WG01</v>
      </c>
      <c r="B128" s="2" t="s">
        <v>257</v>
      </c>
      <c r="C128" s="2" t="s">
        <v>323</v>
      </c>
      <c r="D128" s="10" t="str">
        <f t="shared" si="69"/>
        <v>E385505_01</v>
      </c>
      <c r="E128" s="10">
        <f t="shared" si="70"/>
        <v>0</v>
      </c>
      <c r="F128" s="2"/>
      <c r="G128" s="3"/>
      <c r="H128" s="19" t="s">
        <v>350</v>
      </c>
      <c r="I128" s="2"/>
      <c r="J128" s="2"/>
      <c r="K128" s="2" t="str">
        <f t="shared" si="62"/>
        <v/>
      </c>
      <c r="L128" s="7" t="str">
        <f t="shared" si="74"/>
        <v>2001/01/01</v>
      </c>
      <c r="M128" s="7" t="str">
        <f t="shared" si="75"/>
        <v>2199/12/31</v>
      </c>
      <c r="N128" s="2" t="str">
        <f t="shared" si="71"/>
        <v/>
      </c>
      <c r="O128" s="13" t="str">
        <f t="shared" si="72"/>
        <v/>
      </c>
      <c r="P128" s="15"/>
      <c r="Q128" s="13">
        <v>15</v>
      </c>
      <c r="R128" s="18">
        <v>100000000</v>
      </c>
      <c r="S128" s="18" t="str" cm="1">
        <f t="array" ref="S128">_xlfn.IFS(LEFT(G128,1)="L","記載要",LEFT(G128,1)="W","記載要",G128="","")</f>
        <v/>
      </c>
      <c r="T128" s="2"/>
      <c r="U128" s="2"/>
      <c r="V128" s="2"/>
      <c r="W128" s="2"/>
      <c r="X128" s="2"/>
      <c r="Y128" s="2"/>
      <c r="Z128" s="2"/>
      <c r="AA128" s="13">
        <v>1</v>
      </c>
      <c r="AB128" s="13">
        <f t="shared" si="63"/>
        <v>0</v>
      </c>
      <c r="AC128" s="13">
        <f t="shared" si="64"/>
        <v>0</v>
      </c>
      <c r="AD128" s="15"/>
      <c r="AE128" s="15"/>
      <c r="AF128" s="13" t="str">
        <f t="shared" si="65"/>
        <v>1</v>
      </c>
      <c r="AG128" s="17"/>
      <c r="AH128" s="17"/>
      <c r="AI128" s="15"/>
      <c r="AJ128" s="14"/>
      <c r="AK128" s="15" cm="1">
        <f t="array" ref="AK128">_xlfn.IFS(B128="","",LEFT(G128,1)="L",1,LEFT(G128,1)="W",1,AND(LEFT(B128,1)="H",G128=""),0)</f>
        <v>0</v>
      </c>
      <c r="AL128" s="15"/>
      <c r="AM128" s="15"/>
      <c r="AN128" s="15"/>
      <c r="AO128" s="15"/>
      <c r="AP128" s="15"/>
      <c r="AQ128" s="15"/>
      <c r="AR128" s="15"/>
      <c r="AS128" s="15">
        <f t="shared" si="73"/>
        <v>1</v>
      </c>
      <c r="AT128" s="15" t="s">
        <v>115</v>
      </c>
      <c r="AU128" s="13" t="str">
        <f t="shared" si="66"/>
        <v>0</v>
      </c>
      <c r="AV128" s="17"/>
      <c r="AW128" s="17"/>
      <c r="AX128" s="17"/>
      <c r="AY128" s="17"/>
      <c r="AZ128" s="14"/>
      <c r="BA128" s="15"/>
      <c r="BB128" s="15"/>
      <c r="BC128" s="15"/>
      <c r="BD128" s="13" t="str">
        <f t="shared" si="67"/>
        <v>0</v>
      </c>
      <c r="BE128" s="2"/>
      <c r="BF128" s="2"/>
      <c r="BG128" s="2"/>
      <c r="BH128" s="2"/>
      <c r="BI128" s="2"/>
      <c r="BJ128" s="2"/>
      <c r="BK128" s="2" t="s">
        <v>343</v>
      </c>
      <c r="BL128" s="10"/>
      <c r="BM128" t="str" cm="1">
        <f t="array" ref="BM128">_xlfn.IFS(LEFT(G128,1)="L","外注品",LEFT(G128,1)="W","内製品",G128="","購買品")</f>
        <v>購買品</v>
      </c>
    </row>
    <row r="129" spans="1:65">
      <c r="A129" s="2" t="str">
        <f t="shared" si="68"/>
        <v>WG01</v>
      </c>
      <c r="B129" s="2" t="s">
        <v>258</v>
      </c>
      <c r="C129" s="2" t="s">
        <v>324</v>
      </c>
      <c r="D129" s="10" t="str">
        <f t="shared" si="69"/>
        <v>E385505_01</v>
      </c>
      <c r="E129" s="10">
        <f t="shared" si="70"/>
        <v>0</v>
      </c>
      <c r="F129" s="2"/>
      <c r="G129" s="3"/>
      <c r="H129" s="19" t="s">
        <v>350</v>
      </c>
      <c r="I129" s="2"/>
      <c r="J129" s="2"/>
      <c r="K129" s="2" t="str">
        <f t="shared" si="62"/>
        <v/>
      </c>
      <c r="L129" s="7" t="str">
        <f t="shared" si="74"/>
        <v>2001/01/01</v>
      </c>
      <c r="M129" s="7" t="str">
        <f t="shared" si="75"/>
        <v>2199/12/31</v>
      </c>
      <c r="N129" s="2" t="str">
        <f t="shared" si="71"/>
        <v/>
      </c>
      <c r="O129" s="13" t="str">
        <f t="shared" si="72"/>
        <v/>
      </c>
      <c r="P129" s="15"/>
      <c r="Q129" s="13">
        <v>15</v>
      </c>
      <c r="R129" s="18">
        <v>100000000</v>
      </c>
      <c r="S129" s="18" t="str" cm="1">
        <f t="array" ref="S129">_xlfn.IFS(LEFT(G129,1)="L","記載要",LEFT(G129,1)="W","記載要",G129="","")</f>
        <v/>
      </c>
      <c r="T129" s="2"/>
      <c r="U129" s="2"/>
      <c r="V129" s="2"/>
      <c r="W129" s="2"/>
      <c r="X129" s="2"/>
      <c r="Y129" s="2"/>
      <c r="Z129" s="8"/>
      <c r="AA129" s="13">
        <v>1</v>
      </c>
      <c r="AB129" s="13">
        <f t="shared" si="63"/>
        <v>0</v>
      </c>
      <c r="AC129" s="13">
        <f t="shared" si="64"/>
        <v>0</v>
      </c>
      <c r="AD129" s="15"/>
      <c r="AE129" s="15"/>
      <c r="AF129" s="13" t="str">
        <f t="shared" si="65"/>
        <v>1</v>
      </c>
      <c r="AG129" s="17"/>
      <c r="AH129" s="17"/>
      <c r="AI129" s="15"/>
      <c r="AJ129" s="14"/>
      <c r="AK129" s="15" cm="1">
        <f t="array" ref="AK129">_xlfn.IFS(B129="","",LEFT(G129,1)="L",1,LEFT(G129,1)="W",1,AND(LEFT(B129,1)="H",G129=""),0)</f>
        <v>0</v>
      </c>
      <c r="AL129" s="15"/>
      <c r="AM129" s="15"/>
      <c r="AN129" s="15"/>
      <c r="AO129" s="15"/>
      <c r="AP129" s="15"/>
      <c r="AQ129" s="15"/>
      <c r="AR129" s="15"/>
      <c r="AS129" s="15">
        <f t="shared" si="73"/>
        <v>1</v>
      </c>
      <c r="AT129" s="15" t="s">
        <v>115</v>
      </c>
      <c r="AU129" s="13" t="str">
        <f t="shared" si="66"/>
        <v>0</v>
      </c>
      <c r="AV129" s="17"/>
      <c r="AW129" s="17"/>
      <c r="AX129" s="15"/>
      <c r="AY129" s="15"/>
      <c r="AZ129" s="14"/>
      <c r="BA129" s="15"/>
      <c r="BB129" s="15"/>
      <c r="BC129" s="15"/>
      <c r="BD129" s="13" t="str">
        <f t="shared" si="67"/>
        <v>0</v>
      </c>
      <c r="BE129" s="2"/>
      <c r="BF129" s="2"/>
      <c r="BG129" s="2"/>
      <c r="BH129" s="2"/>
      <c r="BI129" s="2"/>
      <c r="BJ129" s="2"/>
      <c r="BK129" s="2" t="s">
        <v>343</v>
      </c>
      <c r="BL129" s="10"/>
      <c r="BM129" t="str" cm="1">
        <f t="array" ref="BM129">_xlfn.IFS(LEFT(G129,1)="L","外注品",LEFT(G129,1)="W","内製品",G129="","購買品")</f>
        <v>購買品</v>
      </c>
    </row>
    <row r="130" spans="1:65">
      <c r="A130" s="2" t="str">
        <f t="shared" si="68"/>
        <v>WG01</v>
      </c>
      <c r="B130" s="2" t="s">
        <v>259</v>
      </c>
      <c r="C130" s="2" t="s">
        <v>325</v>
      </c>
      <c r="D130" s="10" t="str">
        <f t="shared" si="69"/>
        <v>E385505_01</v>
      </c>
      <c r="E130" s="10">
        <f t="shared" si="70"/>
        <v>0</v>
      </c>
      <c r="F130" s="2"/>
      <c r="G130" s="3"/>
      <c r="H130" s="19" t="s">
        <v>350</v>
      </c>
      <c r="I130" s="2"/>
      <c r="J130" s="2"/>
      <c r="K130" s="2" t="str">
        <f t="shared" si="62"/>
        <v/>
      </c>
      <c r="L130" s="7" t="str">
        <f t="shared" si="74"/>
        <v>2001/01/01</v>
      </c>
      <c r="M130" s="7" t="str">
        <f t="shared" si="75"/>
        <v>2199/12/31</v>
      </c>
      <c r="N130" s="2" t="str">
        <f t="shared" si="71"/>
        <v/>
      </c>
      <c r="O130" s="13" t="str">
        <f t="shared" si="72"/>
        <v/>
      </c>
      <c r="P130" s="15"/>
      <c r="Q130" s="13">
        <v>15</v>
      </c>
      <c r="R130" s="18">
        <v>100000000</v>
      </c>
      <c r="S130" s="18" t="str" cm="1">
        <f t="array" ref="S130">_xlfn.IFS(LEFT(G130,1)="L","記載要",LEFT(G130,1)="W","記載要",G130="","")</f>
        <v/>
      </c>
      <c r="T130" s="2"/>
      <c r="U130" s="2"/>
      <c r="V130" s="2"/>
      <c r="W130" s="2"/>
      <c r="X130" s="2"/>
      <c r="Y130" s="2"/>
      <c r="Z130" s="8"/>
      <c r="AA130" s="13">
        <v>1</v>
      </c>
      <c r="AB130" s="13">
        <f t="shared" si="63"/>
        <v>0</v>
      </c>
      <c r="AC130" s="13">
        <f t="shared" si="64"/>
        <v>0</v>
      </c>
      <c r="AD130" s="15"/>
      <c r="AE130" s="15"/>
      <c r="AF130" s="13" t="str">
        <f t="shared" si="65"/>
        <v>1</v>
      </c>
      <c r="AG130" s="17"/>
      <c r="AH130" s="17"/>
      <c r="AI130" s="15"/>
      <c r="AJ130" s="14"/>
      <c r="AK130" s="15" cm="1">
        <f t="array" ref="AK130">_xlfn.IFS(B130="","",LEFT(G130,1)="L",1,LEFT(G130,1)="W",1,AND(LEFT(B130,1)="H",G130=""),0)</f>
        <v>0</v>
      </c>
      <c r="AL130" s="15"/>
      <c r="AM130" s="15"/>
      <c r="AN130" s="15"/>
      <c r="AO130" s="15"/>
      <c r="AP130" s="15"/>
      <c r="AQ130" s="15"/>
      <c r="AR130" s="15"/>
      <c r="AS130" s="15">
        <f t="shared" si="73"/>
        <v>1</v>
      </c>
      <c r="AT130" s="15" t="s">
        <v>115</v>
      </c>
      <c r="AU130" s="13" t="str">
        <f t="shared" si="66"/>
        <v>0</v>
      </c>
      <c r="AV130" s="17"/>
      <c r="AW130" s="17"/>
      <c r="AX130" s="15"/>
      <c r="AY130" s="15"/>
      <c r="AZ130" s="14"/>
      <c r="BA130" s="15"/>
      <c r="BB130" s="15"/>
      <c r="BC130" s="15"/>
      <c r="BD130" s="13" t="str">
        <f t="shared" si="67"/>
        <v>0</v>
      </c>
      <c r="BE130" s="2"/>
      <c r="BF130" s="2"/>
      <c r="BG130" s="2"/>
      <c r="BH130" s="2"/>
      <c r="BI130" s="2"/>
      <c r="BJ130" s="2"/>
      <c r="BK130" s="2" t="s">
        <v>343</v>
      </c>
      <c r="BL130" s="10"/>
      <c r="BM130" t="str" cm="1">
        <f t="array" ref="BM130">_xlfn.IFS(LEFT(G130,1)="L","外注品",LEFT(G130,1)="W","内製品",G130="","購買品")</f>
        <v>購買品</v>
      </c>
    </row>
    <row r="131" spans="1:65">
      <c r="A131" s="2" t="str">
        <f t="shared" si="68"/>
        <v>WG01</v>
      </c>
      <c r="B131" s="2" t="s">
        <v>260</v>
      </c>
      <c r="C131" s="2" t="s">
        <v>320</v>
      </c>
      <c r="D131" s="10" t="str">
        <f t="shared" si="69"/>
        <v>E385505_01</v>
      </c>
      <c r="E131" s="10">
        <f t="shared" si="70"/>
        <v>0</v>
      </c>
      <c r="F131" s="2"/>
      <c r="G131" s="3"/>
      <c r="H131" s="19" t="s">
        <v>350</v>
      </c>
      <c r="I131" s="2"/>
      <c r="J131" s="2"/>
      <c r="K131" s="2" t="str">
        <f t="shared" si="62"/>
        <v/>
      </c>
      <c r="L131" s="7" t="str">
        <f t="shared" si="74"/>
        <v>2001/01/01</v>
      </c>
      <c r="M131" s="7" t="str">
        <f t="shared" si="75"/>
        <v>2199/12/31</v>
      </c>
      <c r="N131" s="2" t="str">
        <f t="shared" si="71"/>
        <v/>
      </c>
      <c r="O131" s="13" t="str">
        <f t="shared" si="72"/>
        <v/>
      </c>
      <c r="P131" s="15"/>
      <c r="Q131" s="13">
        <v>15</v>
      </c>
      <c r="R131" s="18">
        <v>100000000</v>
      </c>
      <c r="S131" s="18" t="str" cm="1">
        <f t="array" ref="S131">_xlfn.IFS(LEFT(G131,1)="L","記載要",LEFT(G131,1)="W","記載要",G131="","")</f>
        <v/>
      </c>
      <c r="T131" s="2"/>
      <c r="U131" s="2"/>
      <c r="V131" s="8"/>
      <c r="W131" s="8"/>
      <c r="X131" s="2"/>
      <c r="Y131" s="2"/>
      <c r="Z131" s="8"/>
      <c r="AA131" s="13">
        <v>1</v>
      </c>
      <c r="AB131" s="13">
        <f t="shared" si="63"/>
        <v>0</v>
      </c>
      <c r="AC131" s="13">
        <f t="shared" si="64"/>
        <v>0</v>
      </c>
      <c r="AD131" s="15"/>
      <c r="AE131" s="15"/>
      <c r="AF131" s="13" t="str">
        <f t="shared" si="65"/>
        <v>1</v>
      </c>
      <c r="AG131" s="17"/>
      <c r="AH131" s="17"/>
      <c r="AI131" s="15"/>
      <c r="AJ131" s="14"/>
      <c r="AK131" s="15" cm="1">
        <f t="array" ref="AK131">_xlfn.IFS(B131="","",LEFT(G131,1)="L",1,LEFT(G131,1)="W",1,AND(LEFT(B131,1)="H",G131=""),0)</f>
        <v>0</v>
      </c>
      <c r="AL131" s="15"/>
      <c r="AM131" s="15"/>
      <c r="AN131" s="15"/>
      <c r="AO131" s="15"/>
      <c r="AP131" s="15"/>
      <c r="AQ131" s="15"/>
      <c r="AR131" s="15"/>
      <c r="AS131" s="15">
        <f t="shared" si="73"/>
        <v>1</v>
      </c>
      <c r="AT131" s="15" t="s">
        <v>115</v>
      </c>
      <c r="AU131" s="13" t="str">
        <f t="shared" si="66"/>
        <v>0</v>
      </c>
      <c r="AV131" s="15"/>
      <c r="AW131" s="15"/>
      <c r="AX131" s="15"/>
      <c r="AY131" s="15"/>
      <c r="AZ131" s="14"/>
      <c r="BA131" s="15"/>
      <c r="BB131" s="15"/>
      <c r="BC131" s="15"/>
      <c r="BD131" s="13" t="str">
        <f t="shared" si="67"/>
        <v>0</v>
      </c>
      <c r="BE131" s="2"/>
      <c r="BF131" s="2"/>
      <c r="BG131" s="2"/>
      <c r="BH131" s="2"/>
      <c r="BI131" s="2"/>
      <c r="BJ131" s="2"/>
      <c r="BK131" s="2" t="s">
        <v>343</v>
      </c>
      <c r="BL131" s="10"/>
      <c r="BM131" t="str" cm="1">
        <f t="array" ref="BM131">_xlfn.IFS(LEFT(G131,1)="L","外注品",LEFT(G131,1)="W","内製品",G131="","購買品")</f>
        <v>購買品</v>
      </c>
    </row>
    <row r="132" spans="1:65">
      <c r="A132" s="2" t="str">
        <f t="shared" si="68"/>
        <v>WG01</v>
      </c>
      <c r="B132" s="2" t="s">
        <v>261</v>
      </c>
      <c r="C132" s="2" t="s">
        <v>326</v>
      </c>
      <c r="D132" s="10" t="str">
        <f t="shared" si="69"/>
        <v>E385505_01</v>
      </c>
      <c r="E132" s="10">
        <f t="shared" si="70"/>
        <v>0</v>
      </c>
      <c r="F132" s="2"/>
      <c r="G132" s="3"/>
      <c r="H132" s="19" t="s">
        <v>350</v>
      </c>
      <c r="I132" s="2"/>
      <c r="J132" s="2"/>
      <c r="K132" s="2" t="str">
        <f t="shared" si="62"/>
        <v/>
      </c>
      <c r="L132" s="7" t="str">
        <f t="shared" si="74"/>
        <v>2001/01/01</v>
      </c>
      <c r="M132" s="7" t="str">
        <f t="shared" si="75"/>
        <v>2199/12/31</v>
      </c>
      <c r="N132" s="2" t="str">
        <f t="shared" si="71"/>
        <v/>
      </c>
      <c r="O132" s="13" t="str">
        <f t="shared" si="72"/>
        <v/>
      </c>
      <c r="P132" s="15"/>
      <c r="Q132" s="13">
        <v>15</v>
      </c>
      <c r="R132" s="18">
        <v>100000000</v>
      </c>
      <c r="S132" s="18" t="str" cm="1">
        <f t="array" ref="S132">_xlfn.IFS(LEFT(G132,1)="L","記載要",LEFT(G132,1)="W","記載要",G132="","")</f>
        <v/>
      </c>
      <c r="T132" s="2"/>
      <c r="U132" s="2"/>
      <c r="V132" s="2"/>
      <c r="W132" s="2"/>
      <c r="X132" s="2"/>
      <c r="Y132" s="2"/>
      <c r="Z132" s="2"/>
      <c r="AA132" s="13">
        <v>1</v>
      </c>
      <c r="AB132" s="13">
        <f t="shared" si="63"/>
        <v>0</v>
      </c>
      <c r="AC132" s="13">
        <f t="shared" si="64"/>
        <v>0</v>
      </c>
      <c r="AD132" s="15"/>
      <c r="AE132" s="15"/>
      <c r="AF132" s="13" t="str">
        <f t="shared" si="65"/>
        <v>1</v>
      </c>
      <c r="AG132" s="17"/>
      <c r="AH132" s="17"/>
      <c r="AI132" s="15"/>
      <c r="AJ132" s="14"/>
      <c r="AK132" s="15" cm="1">
        <f t="array" ref="AK132">_xlfn.IFS(B132="","",LEFT(G132,1)="L",1,LEFT(G132,1)="W",1,AND(LEFT(B132,1)="H",G132=""),0)</f>
        <v>0</v>
      </c>
      <c r="AL132" s="15"/>
      <c r="AM132" s="15"/>
      <c r="AN132" s="15"/>
      <c r="AO132" s="15"/>
      <c r="AP132" s="15"/>
      <c r="AQ132" s="15"/>
      <c r="AR132" s="15"/>
      <c r="AS132" s="15">
        <f t="shared" si="73"/>
        <v>1</v>
      </c>
      <c r="AT132" s="15" t="s">
        <v>115</v>
      </c>
      <c r="AU132" s="13" t="str">
        <f t="shared" si="66"/>
        <v>0</v>
      </c>
      <c r="AV132" s="17"/>
      <c r="AW132" s="17"/>
      <c r="AX132" s="17"/>
      <c r="AY132" s="17"/>
      <c r="AZ132" s="14"/>
      <c r="BA132" s="15"/>
      <c r="BB132" s="15"/>
      <c r="BC132" s="15"/>
      <c r="BD132" s="13" t="str">
        <f t="shared" si="67"/>
        <v>0</v>
      </c>
      <c r="BE132" s="2"/>
      <c r="BF132" s="2"/>
      <c r="BG132" s="2"/>
      <c r="BH132" s="2"/>
      <c r="BI132" s="2"/>
      <c r="BJ132" s="2"/>
      <c r="BK132" s="2" t="s">
        <v>343</v>
      </c>
      <c r="BL132" s="10"/>
      <c r="BM132" t="str" cm="1">
        <f t="array" ref="BM132">_xlfn.IFS(LEFT(G132,1)="L","外注品",LEFT(G132,1)="W","内製品",G132="","購買品")</f>
        <v>購買品</v>
      </c>
    </row>
    <row r="133" spans="1:65">
      <c r="A133" s="2" t="str">
        <f t="shared" si="68"/>
        <v>WG01</v>
      </c>
      <c r="B133" s="2" t="s">
        <v>262</v>
      </c>
      <c r="C133" s="2" t="s">
        <v>327</v>
      </c>
      <c r="D133" s="10" t="str">
        <f t="shared" si="69"/>
        <v>E385505_01</v>
      </c>
      <c r="E133" s="10">
        <f t="shared" si="70"/>
        <v>0</v>
      </c>
      <c r="F133" s="2"/>
      <c r="G133" s="3"/>
      <c r="H133" s="19" t="s">
        <v>350</v>
      </c>
      <c r="I133" s="2"/>
      <c r="J133" s="2"/>
      <c r="K133" s="2" t="str">
        <f t="shared" si="62"/>
        <v/>
      </c>
      <c r="L133" s="7" t="str">
        <f t="shared" si="74"/>
        <v>2001/01/01</v>
      </c>
      <c r="M133" s="7" t="str">
        <f t="shared" si="75"/>
        <v>2199/12/31</v>
      </c>
      <c r="N133" s="2" t="str">
        <f t="shared" si="71"/>
        <v/>
      </c>
      <c r="O133" s="13" t="str">
        <f t="shared" si="72"/>
        <v/>
      </c>
      <c r="P133" s="15"/>
      <c r="Q133" s="13">
        <v>15</v>
      </c>
      <c r="R133" s="18">
        <v>100000000</v>
      </c>
      <c r="S133" s="18" t="str" cm="1">
        <f t="array" ref="S133">_xlfn.IFS(LEFT(G133,1)="L","記載要",LEFT(G133,1)="W","記載要",G133="","")</f>
        <v/>
      </c>
      <c r="T133" s="2"/>
      <c r="U133" s="2"/>
      <c r="V133" s="8"/>
      <c r="W133" s="2"/>
      <c r="X133" s="2"/>
      <c r="Y133" s="2"/>
      <c r="Z133" s="2"/>
      <c r="AA133" s="13">
        <v>1</v>
      </c>
      <c r="AB133" s="13">
        <f t="shared" si="63"/>
        <v>0</v>
      </c>
      <c r="AC133" s="13">
        <f t="shared" si="64"/>
        <v>0</v>
      </c>
      <c r="AD133" s="15"/>
      <c r="AE133" s="15"/>
      <c r="AF133" s="13" t="str">
        <f t="shared" si="65"/>
        <v>1</v>
      </c>
      <c r="AG133" s="17"/>
      <c r="AH133" s="17"/>
      <c r="AI133" s="15"/>
      <c r="AJ133" s="14"/>
      <c r="AK133" s="15" cm="1">
        <f t="array" ref="AK133">_xlfn.IFS(B133="","",LEFT(G133,1)="L",1,LEFT(G133,1)="W",1,AND(LEFT(B133,1)="H",G133=""),0)</f>
        <v>0</v>
      </c>
      <c r="AL133" s="15"/>
      <c r="AM133" s="15"/>
      <c r="AN133" s="15"/>
      <c r="AO133" s="15"/>
      <c r="AP133" s="15"/>
      <c r="AQ133" s="15"/>
      <c r="AR133" s="15"/>
      <c r="AS133" s="15">
        <f t="shared" si="73"/>
        <v>1</v>
      </c>
      <c r="AT133" s="15" t="s">
        <v>115</v>
      </c>
      <c r="AU133" s="13" t="str">
        <f t="shared" si="66"/>
        <v>0</v>
      </c>
      <c r="AV133" s="17"/>
      <c r="AW133" s="17"/>
      <c r="AX133" s="17"/>
      <c r="AY133" s="17"/>
      <c r="AZ133" s="14"/>
      <c r="BA133" s="15"/>
      <c r="BB133" s="15"/>
      <c r="BC133" s="15"/>
      <c r="BD133" s="13" t="str">
        <f t="shared" si="67"/>
        <v>0</v>
      </c>
      <c r="BE133" s="2"/>
      <c r="BF133" s="2"/>
      <c r="BG133" s="2"/>
      <c r="BH133" s="2"/>
      <c r="BI133" s="2"/>
      <c r="BJ133" s="2"/>
      <c r="BK133" s="2" t="s">
        <v>343</v>
      </c>
      <c r="BL133" s="10"/>
      <c r="BM133" t="str" cm="1">
        <f t="array" ref="BM133">_xlfn.IFS(LEFT(G133,1)="L","外注品",LEFT(G133,1)="W","内製品",G133="","購買品")</f>
        <v>購買品</v>
      </c>
    </row>
    <row r="134" spans="1:65">
      <c r="A134" s="2" t="str">
        <f t="shared" si="68"/>
        <v>WG01</v>
      </c>
      <c r="B134" s="2" t="s">
        <v>263</v>
      </c>
      <c r="C134" s="2" t="s">
        <v>328</v>
      </c>
      <c r="D134" s="10" t="str">
        <f t="shared" si="69"/>
        <v>E385505_02</v>
      </c>
      <c r="E134" s="10">
        <f t="shared" si="70"/>
        <v>0</v>
      </c>
      <c r="F134" s="2"/>
      <c r="G134" s="3"/>
      <c r="H134" s="19" t="s">
        <v>350</v>
      </c>
      <c r="I134" s="2"/>
      <c r="J134" s="2"/>
      <c r="K134" s="2" t="str">
        <f t="shared" si="62"/>
        <v/>
      </c>
      <c r="L134" s="7" t="str">
        <f t="shared" si="74"/>
        <v>2001/01/01</v>
      </c>
      <c r="M134" s="7" t="str">
        <f t="shared" si="75"/>
        <v>2199/12/31</v>
      </c>
      <c r="N134" s="2" t="str">
        <f t="shared" si="71"/>
        <v/>
      </c>
      <c r="O134" s="13" t="str">
        <f t="shared" si="72"/>
        <v/>
      </c>
      <c r="P134" s="15"/>
      <c r="Q134" s="13">
        <v>15</v>
      </c>
      <c r="R134" s="18">
        <v>100000000</v>
      </c>
      <c r="S134" s="18" t="str" cm="1">
        <f t="array" ref="S134">_xlfn.IFS(LEFT(G134,1)="L","記載要",LEFT(G134,1)="W","記載要",G134="","")</f>
        <v/>
      </c>
      <c r="T134" s="2"/>
      <c r="U134" s="2"/>
      <c r="V134" s="8"/>
      <c r="W134" s="2"/>
      <c r="X134" s="2"/>
      <c r="Y134" s="2"/>
      <c r="Z134" s="2"/>
      <c r="AA134" s="13">
        <v>1</v>
      </c>
      <c r="AB134" s="13">
        <f t="shared" si="63"/>
        <v>0</v>
      </c>
      <c r="AC134" s="13">
        <f t="shared" si="64"/>
        <v>0</v>
      </c>
      <c r="AD134" s="15"/>
      <c r="AE134" s="15"/>
      <c r="AF134" s="13" t="str">
        <f t="shared" si="65"/>
        <v>1</v>
      </c>
      <c r="AG134" s="17"/>
      <c r="AH134" s="17"/>
      <c r="AI134" s="15"/>
      <c r="AJ134" s="14"/>
      <c r="AK134" s="15" cm="1">
        <f t="array" ref="AK134">_xlfn.IFS(B134="","",LEFT(G134,1)="L",1,LEFT(G134,1)="W",1,AND(LEFT(B134,1)="H",G134=""),0)</f>
        <v>0</v>
      </c>
      <c r="AL134" s="15"/>
      <c r="AM134" s="15"/>
      <c r="AN134" s="15"/>
      <c r="AO134" s="15"/>
      <c r="AP134" s="15"/>
      <c r="AQ134" s="15"/>
      <c r="AR134" s="15"/>
      <c r="AS134" s="15">
        <f t="shared" si="73"/>
        <v>1</v>
      </c>
      <c r="AT134" s="15" t="s">
        <v>115</v>
      </c>
      <c r="AU134" s="13" t="str">
        <f t="shared" si="66"/>
        <v>0</v>
      </c>
      <c r="AV134" s="17"/>
      <c r="AW134" s="17"/>
      <c r="AX134" s="17"/>
      <c r="AY134" s="17"/>
      <c r="AZ134" s="14"/>
      <c r="BA134" s="15"/>
      <c r="BB134" s="15"/>
      <c r="BC134" s="15"/>
      <c r="BD134" s="13" t="str">
        <f t="shared" si="67"/>
        <v>0</v>
      </c>
      <c r="BE134" s="2"/>
      <c r="BF134" s="2"/>
      <c r="BG134" s="2"/>
      <c r="BH134" s="2"/>
      <c r="BI134" s="2"/>
      <c r="BJ134" s="2"/>
      <c r="BK134" s="2" t="s">
        <v>344</v>
      </c>
      <c r="BL134" s="10"/>
      <c r="BM134" t="str" cm="1">
        <f t="array" ref="BM134">_xlfn.IFS(LEFT(G134,1)="L","外注品",LEFT(G134,1)="W","内製品",G134="","購買品")</f>
        <v>購買品</v>
      </c>
    </row>
    <row r="135" spans="1:65">
      <c r="A135" s="2" t="str">
        <f t="shared" si="68"/>
        <v>WG01</v>
      </c>
      <c r="B135" s="2" t="s">
        <v>264</v>
      </c>
      <c r="C135" s="2" t="s">
        <v>329</v>
      </c>
      <c r="D135" s="10" t="str">
        <f t="shared" si="69"/>
        <v>E344964_01</v>
      </c>
      <c r="E135" s="10">
        <f t="shared" si="70"/>
        <v>0</v>
      </c>
      <c r="F135" s="2"/>
      <c r="G135" s="3"/>
      <c r="H135" s="19" t="s">
        <v>350</v>
      </c>
      <c r="I135" s="2"/>
      <c r="J135" s="2"/>
      <c r="K135" s="2" t="str">
        <f t="shared" si="62"/>
        <v/>
      </c>
      <c r="L135" s="7" t="str">
        <f t="shared" si="74"/>
        <v>2001/01/01</v>
      </c>
      <c r="M135" s="7" t="str">
        <f t="shared" si="75"/>
        <v>2199/12/31</v>
      </c>
      <c r="N135" s="2" t="str">
        <f t="shared" si="71"/>
        <v/>
      </c>
      <c r="O135" s="13" t="str">
        <f t="shared" si="72"/>
        <v/>
      </c>
      <c r="P135" s="15"/>
      <c r="Q135" s="13">
        <v>15</v>
      </c>
      <c r="R135" s="18">
        <v>100000000</v>
      </c>
      <c r="S135" s="18" t="str" cm="1">
        <f t="array" ref="S135">_xlfn.IFS(LEFT(G135,1)="L","記載要",LEFT(G135,1)="W","記載要",G135="","")</f>
        <v/>
      </c>
      <c r="T135" s="2"/>
      <c r="U135" s="2"/>
      <c r="V135" s="2"/>
      <c r="W135" s="2"/>
      <c r="X135" s="2"/>
      <c r="Y135" s="2"/>
      <c r="Z135" s="8"/>
      <c r="AA135" s="13">
        <v>1</v>
      </c>
      <c r="AB135" s="13">
        <f t="shared" si="63"/>
        <v>0</v>
      </c>
      <c r="AC135" s="13">
        <f t="shared" si="64"/>
        <v>0</v>
      </c>
      <c r="AD135" s="15"/>
      <c r="AE135" s="15"/>
      <c r="AF135" s="13" t="str">
        <f t="shared" si="65"/>
        <v>1</v>
      </c>
      <c r="AG135" s="17"/>
      <c r="AH135" s="17"/>
      <c r="AI135" s="15"/>
      <c r="AJ135" s="14"/>
      <c r="AK135" s="15" cm="1">
        <f t="array" ref="AK135">_xlfn.IFS(B135="","",LEFT(G135,1)="L",1,LEFT(G135,1)="W",1,AND(LEFT(B135,1)="H",G135=""),0)</f>
        <v>0</v>
      </c>
      <c r="AL135" s="15"/>
      <c r="AM135" s="15"/>
      <c r="AN135" s="15"/>
      <c r="AO135" s="15"/>
      <c r="AP135" s="15"/>
      <c r="AQ135" s="15"/>
      <c r="AR135" s="15"/>
      <c r="AS135" s="15">
        <f t="shared" si="73"/>
        <v>1</v>
      </c>
      <c r="AT135" s="15" t="s">
        <v>115</v>
      </c>
      <c r="AU135" s="13" t="str">
        <f t="shared" si="66"/>
        <v>0</v>
      </c>
      <c r="AV135" s="17"/>
      <c r="AW135" s="17"/>
      <c r="AX135" s="15"/>
      <c r="AY135" s="15"/>
      <c r="AZ135" s="14"/>
      <c r="BA135" s="15"/>
      <c r="BB135" s="15"/>
      <c r="BC135" s="15"/>
      <c r="BD135" s="13" t="str">
        <f t="shared" si="67"/>
        <v>0</v>
      </c>
      <c r="BE135" s="2"/>
      <c r="BF135" s="2"/>
      <c r="BG135" s="2"/>
      <c r="BH135" s="2"/>
      <c r="BI135" s="2"/>
      <c r="BJ135" s="2"/>
      <c r="BK135" s="2" t="s">
        <v>345</v>
      </c>
      <c r="BL135" s="10"/>
      <c r="BM135" t="str" cm="1">
        <f t="array" ref="BM135">_xlfn.IFS(LEFT(G135,1)="L","外注品",LEFT(G135,1)="W","内製品",G135="","購買品")</f>
        <v>購買品</v>
      </c>
    </row>
    <row r="136" spans="1:65">
      <c r="A136" s="2" t="str">
        <f t="shared" si="68"/>
        <v>WG01</v>
      </c>
      <c r="B136" s="2" t="s">
        <v>265</v>
      </c>
      <c r="C136" s="2" t="s">
        <v>330</v>
      </c>
      <c r="D136" s="10" t="str">
        <f t="shared" si="69"/>
        <v>E344964_01</v>
      </c>
      <c r="E136" s="10">
        <f t="shared" si="70"/>
        <v>0</v>
      </c>
      <c r="F136" s="2"/>
      <c r="G136" s="3"/>
      <c r="H136" s="19" t="s">
        <v>350</v>
      </c>
      <c r="I136" s="2"/>
      <c r="J136" s="2"/>
      <c r="K136" s="2" t="str">
        <f t="shared" si="62"/>
        <v/>
      </c>
      <c r="L136" s="7" t="str">
        <f t="shared" si="74"/>
        <v>2001/01/01</v>
      </c>
      <c r="M136" s="7" t="str">
        <f t="shared" si="75"/>
        <v>2199/12/31</v>
      </c>
      <c r="N136" s="2" t="str">
        <f t="shared" si="71"/>
        <v/>
      </c>
      <c r="O136" s="13" t="str">
        <f t="shared" si="72"/>
        <v/>
      </c>
      <c r="P136" s="15"/>
      <c r="Q136" s="13">
        <v>15</v>
      </c>
      <c r="R136" s="18">
        <v>100000000</v>
      </c>
      <c r="S136" s="18" t="str" cm="1">
        <f t="array" ref="S136">_xlfn.IFS(LEFT(G136,1)="L","記載要",LEFT(G136,1)="W","記載要",G136="","")</f>
        <v/>
      </c>
      <c r="T136" s="2"/>
      <c r="U136" s="2"/>
      <c r="V136" s="2"/>
      <c r="W136" s="2"/>
      <c r="X136" s="2"/>
      <c r="Y136" s="2"/>
      <c r="Z136" s="8"/>
      <c r="AA136" s="13">
        <v>1</v>
      </c>
      <c r="AB136" s="13">
        <f t="shared" si="63"/>
        <v>0</v>
      </c>
      <c r="AC136" s="13">
        <f t="shared" si="64"/>
        <v>0</v>
      </c>
      <c r="AD136" s="15"/>
      <c r="AE136" s="15"/>
      <c r="AF136" s="13" t="str">
        <f t="shared" si="65"/>
        <v>1</v>
      </c>
      <c r="AG136" s="17"/>
      <c r="AH136" s="17"/>
      <c r="AI136" s="15"/>
      <c r="AJ136" s="14"/>
      <c r="AK136" s="15" cm="1">
        <f t="array" ref="AK136">_xlfn.IFS(B136="","",LEFT(G136,1)="L",1,LEFT(G136,1)="W",1,AND(LEFT(B136,1)="H",G136=""),0)</f>
        <v>0</v>
      </c>
      <c r="AL136" s="15"/>
      <c r="AM136" s="15"/>
      <c r="AN136" s="15"/>
      <c r="AO136" s="15"/>
      <c r="AP136" s="15"/>
      <c r="AQ136" s="15"/>
      <c r="AR136" s="15"/>
      <c r="AS136" s="15">
        <f t="shared" si="73"/>
        <v>1</v>
      </c>
      <c r="AT136" s="15" t="s">
        <v>115</v>
      </c>
      <c r="AU136" s="13" t="str">
        <f t="shared" si="66"/>
        <v>0</v>
      </c>
      <c r="AV136" s="17"/>
      <c r="AW136" s="17"/>
      <c r="AX136" s="15"/>
      <c r="AY136" s="15"/>
      <c r="AZ136" s="14"/>
      <c r="BA136" s="15"/>
      <c r="BB136" s="15"/>
      <c r="BC136" s="15"/>
      <c r="BD136" s="13" t="str">
        <f t="shared" si="67"/>
        <v>0</v>
      </c>
      <c r="BE136" s="2"/>
      <c r="BF136" s="2"/>
      <c r="BG136" s="2"/>
      <c r="BH136" s="2"/>
      <c r="BI136" s="2"/>
      <c r="BJ136" s="2"/>
      <c r="BK136" s="2" t="s">
        <v>345</v>
      </c>
      <c r="BL136" s="10"/>
      <c r="BM136" t="str" cm="1">
        <f t="array" ref="BM136">_xlfn.IFS(LEFT(G136,1)="L","外注品",LEFT(G136,1)="W","内製品",G136="","購買品")</f>
        <v>購買品</v>
      </c>
    </row>
    <row r="137" spans="1:65">
      <c r="A137" s="2" t="str">
        <f t="shared" si="68"/>
        <v>WG01</v>
      </c>
      <c r="B137" s="2" t="s">
        <v>266</v>
      </c>
      <c r="C137" s="2" t="s">
        <v>331</v>
      </c>
      <c r="D137" s="10" t="str">
        <f t="shared" si="69"/>
        <v>E344964_01</v>
      </c>
      <c r="E137" s="10">
        <f t="shared" si="70"/>
        <v>0</v>
      </c>
      <c r="F137" s="2"/>
      <c r="G137" s="3"/>
      <c r="H137" s="19" t="s">
        <v>350</v>
      </c>
      <c r="I137" s="2"/>
      <c r="J137" s="2"/>
      <c r="K137" s="2" t="str">
        <f t="shared" ref="K137:K149" si="76">IF(G137="","","11"&amp;G137&amp;RIGHT(B137,5))</f>
        <v/>
      </c>
      <c r="L137" s="7" t="str">
        <f t="shared" si="74"/>
        <v>2001/01/01</v>
      </c>
      <c r="M137" s="7" t="str">
        <f t="shared" si="75"/>
        <v>2199/12/31</v>
      </c>
      <c r="N137" s="2" t="str">
        <f t="shared" si="71"/>
        <v/>
      </c>
      <c r="O137" s="13" t="str">
        <f t="shared" si="72"/>
        <v/>
      </c>
      <c r="P137" s="15"/>
      <c r="Q137" s="13">
        <v>15</v>
      </c>
      <c r="R137" s="18">
        <v>100000000</v>
      </c>
      <c r="S137" s="18" t="str" cm="1">
        <f t="array" ref="S137">_xlfn.IFS(LEFT(G137,1)="L","記載要",LEFT(G137,1)="W","記載要",G137="","")</f>
        <v/>
      </c>
      <c r="T137" s="2"/>
      <c r="U137" s="2"/>
      <c r="V137" s="8"/>
      <c r="W137" s="2"/>
      <c r="X137" s="2"/>
      <c r="Y137" s="2"/>
      <c r="Z137" s="2"/>
      <c r="AA137" s="13">
        <v>1</v>
      </c>
      <c r="AB137" s="13">
        <f t="shared" ref="AB137:AB149" si="77">IF(B137="","",0)</f>
        <v>0</v>
      </c>
      <c r="AC137" s="13">
        <f t="shared" ref="AC137:AC149" si="78">IF(B137="","",0)</f>
        <v>0</v>
      </c>
      <c r="AD137" s="15"/>
      <c r="AE137" s="15"/>
      <c r="AF137" s="13" t="str">
        <f t="shared" ref="AF137:AF149" si="79">IF(B137="","","1")</f>
        <v>1</v>
      </c>
      <c r="AG137" s="17"/>
      <c r="AH137" s="17"/>
      <c r="AI137" s="15"/>
      <c r="AJ137" s="14"/>
      <c r="AK137" s="15" cm="1">
        <f t="array" ref="AK137">_xlfn.IFS(B137="","",LEFT(G137,1)="L",1,LEFT(G137,1)="W",1,AND(LEFT(B137,1)="H",G137=""),0)</f>
        <v>0</v>
      </c>
      <c r="AL137" s="15"/>
      <c r="AM137" s="15"/>
      <c r="AN137" s="15"/>
      <c r="AO137" s="15"/>
      <c r="AP137" s="15"/>
      <c r="AQ137" s="15"/>
      <c r="AR137" s="15"/>
      <c r="AS137" s="15">
        <f t="shared" si="73"/>
        <v>1</v>
      </c>
      <c r="AT137" s="15" t="s">
        <v>115</v>
      </c>
      <c r="AU137" s="13" t="str">
        <f t="shared" ref="AU137:AU149" si="80">IF(B137="","","0")</f>
        <v>0</v>
      </c>
      <c r="AV137" s="17"/>
      <c r="AW137" s="17"/>
      <c r="AX137" s="17"/>
      <c r="AY137" s="17"/>
      <c r="AZ137" s="14"/>
      <c r="BA137" s="15"/>
      <c r="BB137" s="15"/>
      <c r="BC137" s="15"/>
      <c r="BD137" s="13" t="str">
        <f t="shared" ref="BD137:BD149" si="81">IF(B137="","","0")</f>
        <v>0</v>
      </c>
      <c r="BE137" s="2"/>
      <c r="BF137" s="2"/>
      <c r="BG137" s="2"/>
      <c r="BH137" s="2"/>
      <c r="BI137" s="2"/>
      <c r="BJ137" s="2"/>
      <c r="BK137" s="2" t="s">
        <v>345</v>
      </c>
      <c r="BL137" s="10"/>
      <c r="BM137" t="str" cm="1">
        <f t="array" ref="BM137">_xlfn.IFS(LEFT(G137,1)="L","外注品",LEFT(G137,1)="W","内製品",G137="","購買品")</f>
        <v>購買品</v>
      </c>
    </row>
    <row r="138" spans="1:65">
      <c r="A138" s="2" t="str">
        <f t="shared" si="68"/>
        <v>WG01</v>
      </c>
      <c r="B138" s="2" t="s">
        <v>267</v>
      </c>
      <c r="C138" s="2" t="s">
        <v>332</v>
      </c>
      <c r="D138" s="10" t="str">
        <f t="shared" si="69"/>
        <v>E344964_01</v>
      </c>
      <c r="E138" s="10">
        <f t="shared" si="70"/>
        <v>0</v>
      </c>
      <c r="F138" s="2"/>
      <c r="G138" s="3"/>
      <c r="H138" s="19" t="s">
        <v>350</v>
      </c>
      <c r="I138" s="2"/>
      <c r="J138" s="2"/>
      <c r="K138" s="2" t="str">
        <f t="shared" si="76"/>
        <v/>
      </c>
      <c r="L138" s="7" t="str">
        <f t="shared" si="74"/>
        <v>2001/01/01</v>
      </c>
      <c r="M138" s="7" t="str">
        <f t="shared" si="75"/>
        <v>2199/12/31</v>
      </c>
      <c r="N138" s="2" t="str">
        <f t="shared" si="71"/>
        <v/>
      </c>
      <c r="O138" s="13" t="str">
        <f t="shared" si="72"/>
        <v/>
      </c>
      <c r="P138" s="15"/>
      <c r="Q138" s="13">
        <v>15</v>
      </c>
      <c r="R138" s="18">
        <v>100000000</v>
      </c>
      <c r="S138" s="18" t="str" cm="1">
        <f t="array" ref="S138">_xlfn.IFS(LEFT(G138,1)="L","記載要",LEFT(G138,1)="W","記載要",G138="","")</f>
        <v/>
      </c>
      <c r="T138" s="2"/>
      <c r="U138" s="2"/>
      <c r="V138" s="2"/>
      <c r="W138" s="2"/>
      <c r="X138" s="2"/>
      <c r="Y138" s="2"/>
      <c r="Z138" s="2"/>
      <c r="AA138" s="13">
        <v>1</v>
      </c>
      <c r="AB138" s="13">
        <f t="shared" si="77"/>
        <v>0</v>
      </c>
      <c r="AC138" s="13">
        <f t="shared" si="78"/>
        <v>0</v>
      </c>
      <c r="AD138" s="15"/>
      <c r="AE138" s="15"/>
      <c r="AF138" s="13" t="str">
        <f t="shared" si="79"/>
        <v>1</v>
      </c>
      <c r="AG138" s="17"/>
      <c r="AH138" s="17"/>
      <c r="AI138" s="15"/>
      <c r="AJ138" s="14"/>
      <c r="AK138" s="15" cm="1">
        <f t="array" ref="AK138">_xlfn.IFS(B138="","",LEFT(G138,1)="L",1,LEFT(G138,1)="W",1,AND(LEFT(B138,1)="H",G138=""),0)</f>
        <v>0</v>
      </c>
      <c r="AL138" s="15"/>
      <c r="AM138" s="15"/>
      <c r="AN138" s="15"/>
      <c r="AO138" s="15"/>
      <c r="AP138" s="15"/>
      <c r="AQ138" s="15"/>
      <c r="AR138" s="15"/>
      <c r="AS138" s="15">
        <f t="shared" si="73"/>
        <v>1</v>
      </c>
      <c r="AT138" s="15" t="s">
        <v>115</v>
      </c>
      <c r="AU138" s="13" t="str">
        <f t="shared" si="80"/>
        <v>0</v>
      </c>
      <c r="AV138" s="17"/>
      <c r="AW138" s="17"/>
      <c r="AX138" s="17"/>
      <c r="AY138" s="17"/>
      <c r="AZ138" s="14"/>
      <c r="BA138" s="15"/>
      <c r="BB138" s="15"/>
      <c r="BC138" s="15"/>
      <c r="BD138" s="13" t="str">
        <f t="shared" si="81"/>
        <v>0</v>
      </c>
      <c r="BE138" s="2"/>
      <c r="BF138" s="2"/>
      <c r="BG138" s="2"/>
      <c r="BH138" s="2"/>
      <c r="BI138" s="2"/>
      <c r="BJ138" s="2"/>
      <c r="BK138" s="2" t="s">
        <v>345</v>
      </c>
      <c r="BL138" s="10"/>
      <c r="BM138" t="str" cm="1">
        <f t="array" ref="BM138">_xlfn.IFS(LEFT(G138,1)="L","外注品",LEFT(G138,1)="W","内製品",G138="","購買品")</f>
        <v>購買品</v>
      </c>
    </row>
    <row r="139" spans="1:65">
      <c r="A139" s="2" t="str">
        <f t="shared" si="68"/>
        <v>WG01</v>
      </c>
      <c r="B139" s="2" t="s">
        <v>268</v>
      </c>
      <c r="C139" s="2" t="s">
        <v>333</v>
      </c>
      <c r="D139" s="10" t="str">
        <f t="shared" si="69"/>
        <v>E344964_01</v>
      </c>
      <c r="E139" s="10">
        <f t="shared" si="70"/>
        <v>0</v>
      </c>
      <c r="F139" s="2"/>
      <c r="G139" s="3"/>
      <c r="H139" s="19" t="s">
        <v>350</v>
      </c>
      <c r="I139" s="2"/>
      <c r="J139" s="2"/>
      <c r="K139" s="2" t="str">
        <f t="shared" si="76"/>
        <v/>
      </c>
      <c r="L139" s="7" t="str">
        <f t="shared" si="74"/>
        <v>2001/01/01</v>
      </c>
      <c r="M139" s="7" t="str">
        <f t="shared" si="75"/>
        <v>2199/12/31</v>
      </c>
      <c r="N139" s="2" t="str">
        <f t="shared" si="71"/>
        <v/>
      </c>
      <c r="O139" s="13" t="str">
        <f t="shared" si="72"/>
        <v/>
      </c>
      <c r="P139" s="15"/>
      <c r="Q139" s="13">
        <v>15</v>
      </c>
      <c r="R139" s="18">
        <v>100000000</v>
      </c>
      <c r="S139" s="18" t="str" cm="1">
        <f t="array" ref="S139">_xlfn.IFS(LEFT(G139,1)="L","記載要",LEFT(G139,1)="W","記載要",G139="","")</f>
        <v/>
      </c>
      <c r="T139" s="2"/>
      <c r="U139" s="2"/>
      <c r="V139" s="2"/>
      <c r="W139" s="2"/>
      <c r="X139" s="2"/>
      <c r="Y139" s="2"/>
      <c r="Z139" s="2"/>
      <c r="AA139" s="13">
        <v>1</v>
      </c>
      <c r="AB139" s="13">
        <f t="shared" si="77"/>
        <v>0</v>
      </c>
      <c r="AC139" s="13">
        <f t="shared" si="78"/>
        <v>0</v>
      </c>
      <c r="AD139" s="15"/>
      <c r="AE139" s="15"/>
      <c r="AF139" s="13" t="str">
        <f t="shared" si="79"/>
        <v>1</v>
      </c>
      <c r="AG139" s="17"/>
      <c r="AH139" s="17"/>
      <c r="AI139" s="15"/>
      <c r="AJ139" s="14"/>
      <c r="AK139" s="15" cm="1">
        <f t="array" ref="AK139">_xlfn.IFS(B139="","",LEFT(G139,1)="L",1,LEFT(G139,1)="W",1,AND(LEFT(B139,1)="H",G139=""),0)</f>
        <v>0</v>
      </c>
      <c r="AL139" s="15"/>
      <c r="AM139" s="15"/>
      <c r="AN139" s="15"/>
      <c r="AO139" s="15"/>
      <c r="AP139" s="15"/>
      <c r="AQ139" s="15"/>
      <c r="AR139" s="15"/>
      <c r="AS139" s="15">
        <f t="shared" si="73"/>
        <v>1</v>
      </c>
      <c r="AT139" s="15" t="s">
        <v>115</v>
      </c>
      <c r="AU139" s="13" t="str">
        <f t="shared" si="80"/>
        <v>0</v>
      </c>
      <c r="AV139" s="17"/>
      <c r="AW139" s="17"/>
      <c r="AX139" s="17"/>
      <c r="AY139" s="17"/>
      <c r="AZ139" s="14"/>
      <c r="BA139" s="15"/>
      <c r="BB139" s="15"/>
      <c r="BC139" s="15"/>
      <c r="BD139" s="13" t="str">
        <f t="shared" si="81"/>
        <v>0</v>
      </c>
      <c r="BE139" s="2"/>
      <c r="BF139" s="2"/>
      <c r="BG139" s="2"/>
      <c r="BH139" s="2"/>
      <c r="BI139" s="2"/>
      <c r="BJ139" s="2"/>
      <c r="BK139" s="2" t="s">
        <v>345</v>
      </c>
      <c r="BL139" s="10"/>
      <c r="BM139" t="str" cm="1">
        <f t="array" ref="BM139">_xlfn.IFS(LEFT(G139,1)="L","外注品",LEFT(G139,1)="W","内製品",G139="","購買品")</f>
        <v>購買品</v>
      </c>
    </row>
    <row r="140" spans="1:65">
      <c r="A140" s="2" t="str">
        <f t="shared" ref="A140:A149" si="82">IF(B140="","","WG01")</f>
        <v>WG01</v>
      </c>
      <c r="B140" s="2" t="s">
        <v>269</v>
      </c>
      <c r="C140" s="2" t="s">
        <v>334</v>
      </c>
      <c r="D140" s="10" t="str">
        <f t="shared" si="69"/>
        <v>E344964_01</v>
      </c>
      <c r="E140" s="10">
        <f t="shared" si="70"/>
        <v>0</v>
      </c>
      <c r="F140" s="2"/>
      <c r="G140" s="3"/>
      <c r="H140" s="19" t="s">
        <v>350</v>
      </c>
      <c r="I140" s="2"/>
      <c r="J140" s="2"/>
      <c r="K140" s="2" t="str">
        <f t="shared" si="76"/>
        <v/>
      </c>
      <c r="L140" s="7" t="str">
        <f t="shared" si="74"/>
        <v>2001/01/01</v>
      </c>
      <c r="M140" s="7" t="str">
        <f t="shared" si="75"/>
        <v>2199/12/31</v>
      </c>
      <c r="N140" s="2" t="str">
        <f t="shared" si="71"/>
        <v/>
      </c>
      <c r="O140" s="13" t="str">
        <f t="shared" si="72"/>
        <v/>
      </c>
      <c r="P140" s="15"/>
      <c r="Q140" s="13">
        <v>15</v>
      </c>
      <c r="R140" s="18">
        <v>100000000</v>
      </c>
      <c r="S140" s="18" t="str" cm="1">
        <f t="array" ref="S140">_xlfn.IFS(LEFT(G140,1)="L","記載要",LEFT(G140,1)="W","記載要",G140="","")</f>
        <v/>
      </c>
      <c r="T140" s="2"/>
      <c r="U140" s="2"/>
      <c r="V140" s="8"/>
      <c r="W140" s="2"/>
      <c r="X140" s="2"/>
      <c r="Y140" s="2"/>
      <c r="Z140" s="8"/>
      <c r="AA140" s="13">
        <v>1</v>
      </c>
      <c r="AB140" s="13">
        <f t="shared" si="77"/>
        <v>0</v>
      </c>
      <c r="AC140" s="13">
        <f t="shared" si="78"/>
        <v>0</v>
      </c>
      <c r="AD140" s="15"/>
      <c r="AE140" s="15"/>
      <c r="AF140" s="13" t="str">
        <f t="shared" si="79"/>
        <v>1</v>
      </c>
      <c r="AG140" s="17"/>
      <c r="AH140" s="17"/>
      <c r="AI140" s="15"/>
      <c r="AJ140" s="14"/>
      <c r="AK140" s="15" cm="1">
        <f t="array" ref="AK140">_xlfn.IFS(B140="","",LEFT(G140,1)="L",1,LEFT(G140,1)="W",1,AND(LEFT(B140,1)="H",G140=""),0)</f>
        <v>0</v>
      </c>
      <c r="AL140" s="15"/>
      <c r="AM140" s="15"/>
      <c r="AN140" s="15"/>
      <c r="AO140" s="15"/>
      <c r="AP140" s="15"/>
      <c r="AQ140" s="15"/>
      <c r="AR140" s="15"/>
      <c r="AS140" s="15">
        <f t="shared" si="73"/>
        <v>1</v>
      </c>
      <c r="AT140" s="15" t="s">
        <v>115</v>
      </c>
      <c r="AU140" s="13" t="str">
        <f t="shared" si="80"/>
        <v>0</v>
      </c>
      <c r="AV140" s="17"/>
      <c r="AW140" s="17"/>
      <c r="AX140" s="17"/>
      <c r="AY140" s="17"/>
      <c r="AZ140" s="14"/>
      <c r="BA140" s="15"/>
      <c r="BB140" s="15"/>
      <c r="BC140" s="15"/>
      <c r="BD140" s="13" t="str">
        <f t="shared" si="81"/>
        <v>0</v>
      </c>
      <c r="BE140" s="2"/>
      <c r="BF140" s="2"/>
      <c r="BG140" s="2"/>
      <c r="BH140" s="2"/>
      <c r="BI140" s="2"/>
      <c r="BJ140" s="2"/>
      <c r="BK140" s="2" t="s">
        <v>345</v>
      </c>
      <c r="BL140" s="10"/>
      <c r="BM140" t="str" cm="1">
        <f t="array" ref="BM140">_xlfn.IFS(LEFT(G140,1)="L","外注品",LEFT(G140,1)="W","内製品",G140="","購買品")</f>
        <v>購買品</v>
      </c>
    </row>
    <row r="141" spans="1:65">
      <c r="A141" s="2" t="str">
        <f t="shared" si="82"/>
        <v>WG01</v>
      </c>
      <c r="B141" s="2" t="s">
        <v>270</v>
      </c>
      <c r="C141" s="2" t="s">
        <v>335</v>
      </c>
      <c r="D141" s="10" t="str">
        <f t="shared" ref="D141:D149" si="83">BK141</f>
        <v>E344964_01</v>
      </c>
      <c r="E141" s="10">
        <f t="shared" ref="E141:E149" si="84">BL141</f>
        <v>0</v>
      </c>
      <c r="F141" s="2"/>
      <c r="G141" s="3"/>
      <c r="H141" s="19" t="s">
        <v>350</v>
      </c>
      <c r="I141" s="2"/>
      <c r="J141" s="2"/>
      <c r="K141" s="2" t="str">
        <f t="shared" si="76"/>
        <v/>
      </c>
      <c r="L141" s="7" t="str">
        <f t="shared" si="74"/>
        <v>2001/01/01</v>
      </c>
      <c r="M141" s="7" t="str">
        <f t="shared" si="75"/>
        <v>2199/12/31</v>
      </c>
      <c r="N141" s="2" t="str">
        <f t="shared" ref="N141:N149" si="85">IF(LEFT(G141,1)="W",K141,"")</f>
        <v/>
      </c>
      <c r="O141" s="13" t="str">
        <f t="shared" ref="O141:O149" si="86">IF(G141="","","記載要")</f>
        <v/>
      </c>
      <c r="P141" s="15"/>
      <c r="Q141" s="13">
        <v>15</v>
      </c>
      <c r="R141" s="18">
        <v>100000000</v>
      </c>
      <c r="S141" s="18" t="str" cm="1">
        <f t="array" ref="S141">_xlfn.IFS(LEFT(G141,1)="L","記載要",LEFT(G141,1)="W","記載要",G141="","")</f>
        <v/>
      </c>
      <c r="T141" s="2"/>
      <c r="U141" s="2"/>
      <c r="V141" s="2"/>
      <c r="W141" s="2"/>
      <c r="X141" s="2"/>
      <c r="Y141" s="2"/>
      <c r="Z141" s="8"/>
      <c r="AA141" s="13">
        <v>1</v>
      </c>
      <c r="AB141" s="13">
        <f t="shared" si="77"/>
        <v>0</v>
      </c>
      <c r="AC141" s="13">
        <f t="shared" si="78"/>
        <v>0</v>
      </c>
      <c r="AD141" s="15"/>
      <c r="AE141" s="15"/>
      <c r="AF141" s="13" t="str">
        <f t="shared" si="79"/>
        <v>1</v>
      </c>
      <c r="AG141" s="17"/>
      <c r="AH141" s="17"/>
      <c r="AI141" s="15"/>
      <c r="AJ141" s="14"/>
      <c r="AK141" s="15" cm="1">
        <f t="array" ref="AK141">_xlfn.IFS(B141="","",LEFT(G141,1)="L",1,LEFT(G141,1)="W",1,AND(LEFT(B141,1)="H",G141=""),0)</f>
        <v>0</v>
      </c>
      <c r="AL141" s="15"/>
      <c r="AM141" s="15"/>
      <c r="AN141" s="15"/>
      <c r="AO141" s="15"/>
      <c r="AP141" s="15"/>
      <c r="AQ141" s="15"/>
      <c r="AR141" s="15"/>
      <c r="AS141" s="15">
        <f t="shared" ref="AS141:AS149" si="87">IF(Q141="","",1)</f>
        <v>1</v>
      </c>
      <c r="AT141" s="15" t="s">
        <v>115</v>
      </c>
      <c r="AU141" s="13" t="str">
        <f t="shared" si="80"/>
        <v>0</v>
      </c>
      <c r="AV141" s="15"/>
      <c r="AW141" s="15"/>
      <c r="AX141" s="15"/>
      <c r="AY141" s="15"/>
      <c r="AZ141" s="14"/>
      <c r="BA141" s="15"/>
      <c r="BB141" s="15"/>
      <c r="BC141" s="15"/>
      <c r="BD141" s="13" t="str">
        <f t="shared" si="81"/>
        <v>0</v>
      </c>
      <c r="BE141" s="2"/>
      <c r="BF141" s="2"/>
      <c r="BG141" s="2"/>
      <c r="BH141" s="2"/>
      <c r="BI141" s="2"/>
      <c r="BJ141" s="2"/>
      <c r="BK141" s="2" t="s">
        <v>345</v>
      </c>
      <c r="BL141" s="10"/>
      <c r="BM141" t="str" cm="1">
        <f t="array" ref="BM141">_xlfn.IFS(LEFT(G141,1)="L","外注品",LEFT(G141,1)="W","内製品",G141="","購買品")</f>
        <v>購買品</v>
      </c>
    </row>
    <row r="142" spans="1:65">
      <c r="A142" s="2" t="str">
        <f t="shared" si="82"/>
        <v>WG01</v>
      </c>
      <c r="B142" s="2" t="s">
        <v>271</v>
      </c>
      <c r="C142" s="2" t="s">
        <v>336</v>
      </c>
      <c r="D142" s="10" t="str">
        <f t="shared" si="83"/>
        <v>E344964_01</v>
      </c>
      <c r="E142" s="10">
        <f t="shared" si="84"/>
        <v>0</v>
      </c>
      <c r="F142" s="2"/>
      <c r="G142" s="3"/>
      <c r="H142" s="19" t="s">
        <v>350</v>
      </c>
      <c r="I142" s="2"/>
      <c r="J142" s="2"/>
      <c r="K142" s="2" t="str">
        <f t="shared" si="76"/>
        <v/>
      </c>
      <c r="L142" s="7" t="str">
        <f t="shared" si="74"/>
        <v>2001/01/01</v>
      </c>
      <c r="M142" s="7" t="str">
        <f t="shared" si="75"/>
        <v>2199/12/31</v>
      </c>
      <c r="N142" s="2" t="str">
        <f t="shared" si="85"/>
        <v/>
      </c>
      <c r="O142" s="13" t="str">
        <f t="shared" si="86"/>
        <v/>
      </c>
      <c r="P142" s="15"/>
      <c r="Q142" s="13">
        <v>15</v>
      </c>
      <c r="R142" s="18">
        <v>100000000</v>
      </c>
      <c r="S142" s="18" t="str" cm="1">
        <f t="array" ref="S142">_xlfn.IFS(LEFT(G142,1)="L","記載要",LEFT(G142,1)="W","記載要",G142="","")</f>
        <v/>
      </c>
      <c r="T142" s="2"/>
      <c r="U142" s="2"/>
      <c r="V142" s="2"/>
      <c r="W142" s="2"/>
      <c r="X142" s="2"/>
      <c r="Y142" s="2"/>
      <c r="Z142" s="8"/>
      <c r="AA142" s="13">
        <v>1</v>
      </c>
      <c r="AB142" s="13">
        <f t="shared" si="77"/>
        <v>0</v>
      </c>
      <c r="AC142" s="13">
        <f t="shared" si="78"/>
        <v>0</v>
      </c>
      <c r="AD142" s="15"/>
      <c r="AE142" s="15"/>
      <c r="AF142" s="13" t="str">
        <f t="shared" si="79"/>
        <v>1</v>
      </c>
      <c r="AG142" s="17"/>
      <c r="AH142" s="17"/>
      <c r="AI142" s="15"/>
      <c r="AJ142" s="14"/>
      <c r="AK142" s="15" cm="1">
        <f t="array" ref="AK142">_xlfn.IFS(B142="","",LEFT(G142,1)="L",1,LEFT(G142,1)="W",1,AND(LEFT(B142,1)="H",G142=""),0)</f>
        <v>0</v>
      </c>
      <c r="AL142" s="15"/>
      <c r="AM142" s="15"/>
      <c r="AN142" s="15"/>
      <c r="AO142" s="15"/>
      <c r="AP142" s="15"/>
      <c r="AQ142" s="15"/>
      <c r="AR142" s="15"/>
      <c r="AS142" s="15">
        <f t="shared" si="87"/>
        <v>1</v>
      </c>
      <c r="AT142" s="15" t="s">
        <v>115</v>
      </c>
      <c r="AU142" s="13" t="str">
        <f t="shared" si="80"/>
        <v>0</v>
      </c>
      <c r="AV142" s="15"/>
      <c r="AW142" s="15"/>
      <c r="AX142" s="15"/>
      <c r="AY142" s="15"/>
      <c r="AZ142" s="14"/>
      <c r="BA142" s="15"/>
      <c r="BB142" s="15"/>
      <c r="BC142" s="15"/>
      <c r="BD142" s="13" t="str">
        <f t="shared" si="81"/>
        <v>0</v>
      </c>
      <c r="BE142" s="2"/>
      <c r="BF142" s="2"/>
      <c r="BG142" s="2"/>
      <c r="BH142" s="2"/>
      <c r="BI142" s="2"/>
      <c r="BJ142" s="2"/>
      <c r="BK142" s="2" t="s">
        <v>345</v>
      </c>
      <c r="BL142" s="10"/>
      <c r="BM142" t="str" cm="1">
        <f t="array" ref="BM142">_xlfn.IFS(LEFT(G142,1)="L","外注品",LEFT(G142,1)="W","内製品",G142="","購買品")</f>
        <v>購買品</v>
      </c>
    </row>
    <row r="143" spans="1:65">
      <c r="A143" s="2" t="str">
        <f t="shared" si="82"/>
        <v>WG01</v>
      </c>
      <c r="B143" s="2" t="s">
        <v>272</v>
      </c>
      <c r="C143" s="2" t="s">
        <v>337</v>
      </c>
      <c r="D143" s="10" t="str">
        <f t="shared" si="83"/>
        <v>E344964_01</v>
      </c>
      <c r="E143" s="10">
        <f t="shared" si="84"/>
        <v>0</v>
      </c>
      <c r="F143" s="2"/>
      <c r="G143" s="3"/>
      <c r="H143" s="19" t="s">
        <v>350</v>
      </c>
      <c r="I143" s="2"/>
      <c r="J143" s="2"/>
      <c r="K143" s="2" t="str">
        <f t="shared" si="76"/>
        <v/>
      </c>
      <c r="L143" s="7" t="str">
        <f t="shared" si="74"/>
        <v>2001/01/01</v>
      </c>
      <c r="M143" s="7" t="str">
        <f t="shared" si="75"/>
        <v>2199/12/31</v>
      </c>
      <c r="N143" s="2" t="str">
        <f t="shared" si="85"/>
        <v/>
      </c>
      <c r="O143" s="13" t="str">
        <f t="shared" si="86"/>
        <v/>
      </c>
      <c r="P143" s="15"/>
      <c r="Q143" s="13">
        <v>15</v>
      </c>
      <c r="R143" s="18">
        <v>100000000</v>
      </c>
      <c r="S143" s="18" t="str" cm="1">
        <f t="array" ref="S143">_xlfn.IFS(LEFT(G143,1)="L","記載要",LEFT(G143,1)="W","記載要",G143="","")</f>
        <v/>
      </c>
      <c r="T143" s="2"/>
      <c r="U143" s="2"/>
      <c r="V143" s="2"/>
      <c r="W143" s="2"/>
      <c r="X143" s="2"/>
      <c r="Y143" s="2"/>
      <c r="Z143" s="8"/>
      <c r="AA143" s="13">
        <v>1</v>
      </c>
      <c r="AB143" s="13">
        <f t="shared" si="77"/>
        <v>0</v>
      </c>
      <c r="AC143" s="13">
        <f t="shared" si="78"/>
        <v>0</v>
      </c>
      <c r="AD143" s="15"/>
      <c r="AE143" s="15"/>
      <c r="AF143" s="13" t="str">
        <f t="shared" si="79"/>
        <v>1</v>
      </c>
      <c r="AG143" s="17"/>
      <c r="AH143" s="17"/>
      <c r="AI143" s="15"/>
      <c r="AJ143" s="14"/>
      <c r="AK143" s="15" cm="1">
        <f t="array" ref="AK143">_xlfn.IFS(B143="","",LEFT(G143,1)="L",1,LEFT(G143,1)="W",1,AND(LEFT(B143,1)="H",G143=""),0)</f>
        <v>0</v>
      </c>
      <c r="AL143" s="15"/>
      <c r="AM143" s="15"/>
      <c r="AN143" s="15"/>
      <c r="AO143" s="15"/>
      <c r="AP143" s="15"/>
      <c r="AQ143" s="15"/>
      <c r="AR143" s="15"/>
      <c r="AS143" s="15">
        <f t="shared" si="87"/>
        <v>1</v>
      </c>
      <c r="AT143" s="15" t="s">
        <v>115</v>
      </c>
      <c r="AU143" s="13" t="str">
        <f t="shared" si="80"/>
        <v>0</v>
      </c>
      <c r="AV143" s="15"/>
      <c r="AW143" s="15"/>
      <c r="AX143" s="15"/>
      <c r="AY143" s="15"/>
      <c r="AZ143" s="14"/>
      <c r="BA143" s="15"/>
      <c r="BB143" s="15"/>
      <c r="BC143" s="15"/>
      <c r="BD143" s="13" t="str">
        <f t="shared" si="81"/>
        <v>0</v>
      </c>
      <c r="BE143" s="2"/>
      <c r="BF143" s="2"/>
      <c r="BG143" s="2"/>
      <c r="BH143" s="2"/>
      <c r="BI143" s="2"/>
      <c r="BJ143" s="2"/>
      <c r="BK143" s="2" t="s">
        <v>345</v>
      </c>
      <c r="BL143" s="10"/>
      <c r="BM143" t="str" cm="1">
        <f t="array" ref="BM143">_xlfn.IFS(LEFT(G143,1)="L","外注品",LEFT(G143,1)="W","内製品",G143="","購買品")</f>
        <v>購買品</v>
      </c>
    </row>
    <row r="144" spans="1:65">
      <c r="A144" s="2" t="str">
        <f t="shared" si="82"/>
        <v>WG01</v>
      </c>
      <c r="B144" s="2" t="s">
        <v>273</v>
      </c>
      <c r="C144" s="2" t="s">
        <v>338</v>
      </c>
      <c r="D144" s="10" t="str">
        <f t="shared" si="83"/>
        <v>E344964_01</v>
      </c>
      <c r="E144" s="10">
        <f t="shared" si="84"/>
        <v>0</v>
      </c>
      <c r="F144" s="2"/>
      <c r="G144" s="3"/>
      <c r="H144" s="19" t="s">
        <v>350</v>
      </c>
      <c r="I144" s="2"/>
      <c r="J144" s="2"/>
      <c r="K144" s="2" t="str">
        <f t="shared" si="76"/>
        <v/>
      </c>
      <c r="L144" s="7" t="str">
        <f t="shared" si="74"/>
        <v>2001/01/01</v>
      </c>
      <c r="M144" s="7" t="str">
        <f t="shared" si="75"/>
        <v>2199/12/31</v>
      </c>
      <c r="N144" s="2" t="str">
        <f t="shared" si="85"/>
        <v/>
      </c>
      <c r="O144" s="13" t="str">
        <f t="shared" si="86"/>
        <v/>
      </c>
      <c r="P144" s="15"/>
      <c r="Q144" s="13">
        <v>15</v>
      </c>
      <c r="R144" s="18">
        <v>100000000</v>
      </c>
      <c r="S144" s="18" t="str" cm="1">
        <f t="array" ref="S144">_xlfn.IFS(LEFT(G144,1)="L","記載要",LEFT(G144,1)="W","記載要",G144="","")</f>
        <v/>
      </c>
      <c r="T144" s="2"/>
      <c r="U144" s="2"/>
      <c r="V144" s="2"/>
      <c r="W144" s="2"/>
      <c r="X144" s="2"/>
      <c r="Y144" s="2"/>
      <c r="Z144" s="8"/>
      <c r="AA144" s="13">
        <v>1</v>
      </c>
      <c r="AB144" s="13">
        <f t="shared" si="77"/>
        <v>0</v>
      </c>
      <c r="AC144" s="13">
        <f t="shared" si="78"/>
        <v>0</v>
      </c>
      <c r="AD144" s="15"/>
      <c r="AE144" s="15"/>
      <c r="AF144" s="13" t="str">
        <f t="shared" si="79"/>
        <v>1</v>
      </c>
      <c r="AG144" s="17"/>
      <c r="AH144" s="17"/>
      <c r="AI144" s="15"/>
      <c r="AJ144" s="14"/>
      <c r="AK144" s="15" cm="1">
        <f t="array" ref="AK144">_xlfn.IFS(B144="","",LEFT(G144,1)="L",1,LEFT(G144,1)="W",1,AND(LEFT(B144,1)="H",G144=""),0)</f>
        <v>0</v>
      </c>
      <c r="AL144" s="15"/>
      <c r="AM144" s="15"/>
      <c r="AN144" s="15"/>
      <c r="AO144" s="15"/>
      <c r="AP144" s="15"/>
      <c r="AQ144" s="15"/>
      <c r="AR144" s="15"/>
      <c r="AS144" s="15">
        <f t="shared" si="87"/>
        <v>1</v>
      </c>
      <c r="AT144" s="15" t="s">
        <v>115</v>
      </c>
      <c r="AU144" s="13" t="str">
        <f t="shared" si="80"/>
        <v>0</v>
      </c>
      <c r="AV144" s="15"/>
      <c r="AW144" s="15"/>
      <c r="AX144" s="15"/>
      <c r="AY144" s="15"/>
      <c r="AZ144" s="14"/>
      <c r="BA144" s="15"/>
      <c r="BB144" s="15"/>
      <c r="BC144" s="15"/>
      <c r="BD144" s="13" t="str">
        <f t="shared" si="81"/>
        <v>0</v>
      </c>
      <c r="BE144" s="2"/>
      <c r="BF144" s="2"/>
      <c r="BG144" s="2"/>
      <c r="BH144" s="2"/>
      <c r="BI144" s="2"/>
      <c r="BJ144" s="2"/>
      <c r="BK144" s="2" t="s">
        <v>345</v>
      </c>
      <c r="BL144" s="10"/>
      <c r="BM144" t="str" cm="1">
        <f t="array" ref="BM144">_xlfn.IFS(LEFT(G144,1)="L","外注品",LEFT(G144,1)="W","内製品",G144="","購買品")</f>
        <v>購買品</v>
      </c>
    </row>
    <row r="145" spans="1:65">
      <c r="A145" s="2" t="str">
        <f t="shared" si="82"/>
        <v>WG01</v>
      </c>
      <c r="B145" s="2" t="s">
        <v>274</v>
      </c>
      <c r="C145" s="2" t="s">
        <v>339</v>
      </c>
      <c r="D145" s="10" t="str">
        <f t="shared" si="83"/>
        <v>E344964_01</v>
      </c>
      <c r="E145" s="10">
        <f t="shared" si="84"/>
        <v>0</v>
      </c>
      <c r="F145" s="2"/>
      <c r="G145" s="3"/>
      <c r="H145" s="19" t="s">
        <v>350</v>
      </c>
      <c r="I145" s="2"/>
      <c r="J145" s="2"/>
      <c r="K145" s="2" t="str">
        <f t="shared" si="76"/>
        <v/>
      </c>
      <c r="L145" s="7" t="str">
        <f t="shared" si="74"/>
        <v>2001/01/01</v>
      </c>
      <c r="M145" s="7" t="str">
        <f t="shared" si="75"/>
        <v>2199/12/31</v>
      </c>
      <c r="N145" s="2" t="str">
        <f t="shared" si="85"/>
        <v/>
      </c>
      <c r="O145" s="13" t="str">
        <f t="shared" si="86"/>
        <v/>
      </c>
      <c r="P145" s="15"/>
      <c r="Q145" s="13">
        <v>15</v>
      </c>
      <c r="R145" s="18">
        <v>100000000</v>
      </c>
      <c r="S145" s="18" t="str" cm="1">
        <f t="array" ref="S145">_xlfn.IFS(LEFT(G145,1)="L","記載要",LEFT(G145,1)="W","記載要",G145="","")</f>
        <v/>
      </c>
      <c r="T145" s="2"/>
      <c r="U145" s="2"/>
      <c r="V145" s="2"/>
      <c r="W145" s="2"/>
      <c r="X145" s="2"/>
      <c r="Y145" s="2"/>
      <c r="Z145" s="8"/>
      <c r="AA145" s="13">
        <v>1</v>
      </c>
      <c r="AB145" s="13">
        <f t="shared" si="77"/>
        <v>0</v>
      </c>
      <c r="AC145" s="13">
        <f t="shared" si="78"/>
        <v>0</v>
      </c>
      <c r="AD145" s="15"/>
      <c r="AE145" s="15"/>
      <c r="AF145" s="13" t="str">
        <f t="shared" si="79"/>
        <v>1</v>
      </c>
      <c r="AG145" s="17"/>
      <c r="AH145" s="17"/>
      <c r="AI145" s="15"/>
      <c r="AJ145" s="14"/>
      <c r="AK145" s="15" cm="1">
        <f t="array" ref="AK145">_xlfn.IFS(B145="","",LEFT(G145,1)="L",1,LEFT(G145,1)="W",1,AND(LEFT(B145,1)="H",G145=""),0)</f>
        <v>0</v>
      </c>
      <c r="AL145" s="15"/>
      <c r="AM145" s="15"/>
      <c r="AN145" s="15"/>
      <c r="AO145" s="15"/>
      <c r="AP145" s="15"/>
      <c r="AQ145" s="15"/>
      <c r="AR145" s="15"/>
      <c r="AS145" s="15">
        <f t="shared" si="87"/>
        <v>1</v>
      </c>
      <c r="AT145" s="15" t="s">
        <v>115</v>
      </c>
      <c r="AU145" s="13" t="str">
        <f t="shared" si="80"/>
        <v>0</v>
      </c>
      <c r="AV145" s="15"/>
      <c r="AW145" s="15"/>
      <c r="AX145" s="15"/>
      <c r="AY145" s="15"/>
      <c r="AZ145" s="14"/>
      <c r="BA145" s="15"/>
      <c r="BB145" s="15"/>
      <c r="BC145" s="15"/>
      <c r="BD145" s="13" t="str">
        <f t="shared" si="81"/>
        <v>0</v>
      </c>
      <c r="BE145" s="2"/>
      <c r="BF145" s="2"/>
      <c r="BG145" s="2"/>
      <c r="BH145" s="2"/>
      <c r="BI145" s="2"/>
      <c r="BJ145" s="2"/>
      <c r="BK145" s="2" t="s">
        <v>345</v>
      </c>
      <c r="BL145" s="10"/>
      <c r="BM145" t="str" cm="1">
        <f t="array" ref="BM145">_xlfn.IFS(LEFT(G145,1)="L","外注品",LEFT(G145,1)="W","内製品",G145="","購買品")</f>
        <v>購買品</v>
      </c>
    </row>
    <row r="146" spans="1:65">
      <c r="A146" s="2" t="str">
        <f t="shared" si="82"/>
        <v>WG01</v>
      </c>
      <c r="B146" s="2" t="s">
        <v>346</v>
      </c>
      <c r="C146" s="2" t="s">
        <v>348</v>
      </c>
      <c r="D146" s="10">
        <f t="shared" si="83"/>
        <v>0</v>
      </c>
      <c r="E146" s="10">
        <f t="shared" si="84"/>
        <v>0</v>
      </c>
      <c r="F146" s="2"/>
      <c r="G146" s="3"/>
      <c r="H146" s="19" t="s">
        <v>351</v>
      </c>
      <c r="I146" s="2"/>
      <c r="J146" s="2"/>
      <c r="K146" s="2" t="str">
        <f t="shared" si="76"/>
        <v/>
      </c>
      <c r="L146" s="7" t="str">
        <f t="shared" si="74"/>
        <v>2001/01/01</v>
      </c>
      <c r="M146" s="7" t="str">
        <f t="shared" si="75"/>
        <v>2199/12/31</v>
      </c>
      <c r="N146" s="2" t="str">
        <f t="shared" si="85"/>
        <v/>
      </c>
      <c r="O146" s="13" t="str">
        <f t="shared" si="86"/>
        <v/>
      </c>
      <c r="P146" s="15"/>
      <c r="Q146" s="13">
        <v>120</v>
      </c>
      <c r="R146" s="18">
        <v>760560</v>
      </c>
      <c r="S146" s="18" t="str" cm="1">
        <f t="array" ref="S146">_xlfn.IFS(LEFT(G146,1)="L","記載要",LEFT(G146,1)="W","記載要",G146="","")</f>
        <v/>
      </c>
      <c r="T146" s="2"/>
      <c r="U146" s="2"/>
      <c r="V146" s="2"/>
      <c r="W146" s="2"/>
      <c r="X146" s="2"/>
      <c r="Y146" s="2"/>
      <c r="Z146" s="8"/>
      <c r="AA146" s="13">
        <v>1</v>
      </c>
      <c r="AB146" s="13">
        <f t="shared" si="77"/>
        <v>0</v>
      </c>
      <c r="AC146" s="13">
        <f t="shared" si="78"/>
        <v>0</v>
      </c>
      <c r="AD146" s="15"/>
      <c r="AE146" s="15"/>
      <c r="AF146" s="13" t="str">
        <f t="shared" si="79"/>
        <v>1</v>
      </c>
      <c r="AG146" s="17"/>
      <c r="AH146" s="17"/>
      <c r="AI146" s="15"/>
      <c r="AJ146" s="14"/>
      <c r="AK146" s="15" cm="1">
        <f t="array" ref="AK146">_xlfn.IFS(B146="","",LEFT(G146,1)="L",1,LEFT(G146,1)="W",1,AND(LEFT(B146,1)="H",G146=""),0)</f>
        <v>0</v>
      </c>
      <c r="AL146" s="15"/>
      <c r="AM146" s="15"/>
      <c r="AN146" s="15"/>
      <c r="AO146" s="15"/>
      <c r="AP146" s="15"/>
      <c r="AQ146" s="15"/>
      <c r="AR146" s="15"/>
      <c r="AS146" s="15">
        <f t="shared" si="87"/>
        <v>1</v>
      </c>
      <c r="AT146" s="15" t="s">
        <v>115</v>
      </c>
      <c r="AU146" s="13" t="str">
        <f t="shared" si="80"/>
        <v>0</v>
      </c>
      <c r="AV146" s="15"/>
      <c r="AW146" s="15"/>
      <c r="AX146" s="15"/>
      <c r="AY146" s="15"/>
      <c r="AZ146" s="14"/>
      <c r="BA146" s="15"/>
      <c r="BB146" s="15"/>
      <c r="BC146" s="15"/>
      <c r="BD146" s="13" t="str">
        <f t="shared" si="81"/>
        <v>0</v>
      </c>
      <c r="BE146" s="2"/>
      <c r="BF146" s="2"/>
      <c r="BG146" s="2"/>
      <c r="BH146" s="2"/>
      <c r="BI146" s="2"/>
      <c r="BJ146" s="2"/>
      <c r="BK146" s="2"/>
      <c r="BL146" s="10"/>
      <c r="BM146" t="str" cm="1">
        <f t="array" ref="BM146">_xlfn.IFS(LEFT(G146,1)="L","外注品",LEFT(G146,1)="W","内製品",G146="","購買品")</f>
        <v>購買品</v>
      </c>
    </row>
    <row r="147" spans="1:65">
      <c r="A147" s="2" t="str">
        <f t="shared" si="82"/>
        <v>WG01</v>
      </c>
      <c r="B147" s="2" t="s">
        <v>347</v>
      </c>
      <c r="C147" s="2" t="s">
        <v>349</v>
      </c>
      <c r="D147" s="10">
        <f t="shared" si="83"/>
        <v>0</v>
      </c>
      <c r="E147" s="10">
        <f t="shared" si="84"/>
        <v>0</v>
      </c>
      <c r="F147" s="2"/>
      <c r="G147" s="3"/>
      <c r="H147" s="19" t="s">
        <v>351</v>
      </c>
      <c r="I147" s="2"/>
      <c r="J147" s="2"/>
      <c r="K147" s="2" t="str">
        <f t="shared" si="76"/>
        <v/>
      </c>
      <c r="L147" s="7" t="str">
        <f t="shared" si="74"/>
        <v>2001/01/01</v>
      </c>
      <c r="M147" s="7" t="str">
        <f t="shared" si="75"/>
        <v>2199/12/31</v>
      </c>
      <c r="N147" s="2" t="str">
        <f t="shared" si="85"/>
        <v/>
      </c>
      <c r="O147" s="13" t="str">
        <f t="shared" si="86"/>
        <v/>
      </c>
      <c r="P147" s="15"/>
      <c r="Q147" s="13">
        <v>120</v>
      </c>
      <c r="R147" s="18">
        <v>100000000</v>
      </c>
      <c r="S147" s="18" t="str" cm="1">
        <f t="array" ref="S147">_xlfn.IFS(LEFT(G147,1)="L","記載要",LEFT(G147,1)="W","記載要",G147="","")</f>
        <v/>
      </c>
      <c r="T147" s="2"/>
      <c r="U147" s="2"/>
      <c r="V147" s="2"/>
      <c r="W147" s="2"/>
      <c r="X147" s="2"/>
      <c r="Y147" s="2"/>
      <c r="Z147" s="8"/>
      <c r="AA147" s="13">
        <v>1</v>
      </c>
      <c r="AB147" s="13">
        <f t="shared" si="77"/>
        <v>0</v>
      </c>
      <c r="AC147" s="13">
        <f t="shared" si="78"/>
        <v>0</v>
      </c>
      <c r="AD147" s="15"/>
      <c r="AE147" s="15"/>
      <c r="AF147" s="13" t="str">
        <f t="shared" si="79"/>
        <v>1</v>
      </c>
      <c r="AG147" s="17"/>
      <c r="AH147" s="17"/>
      <c r="AI147" s="15"/>
      <c r="AJ147" s="14"/>
      <c r="AK147" s="15" cm="1">
        <f t="array" ref="AK147">_xlfn.IFS(B147="","",LEFT(G147,1)="L",1,LEFT(G147,1)="W",1,AND(LEFT(B147,1)="H",G147=""),0)</f>
        <v>0</v>
      </c>
      <c r="AL147" s="15"/>
      <c r="AM147" s="15"/>
      <c r="AN147" s="15"/>
      <c r="AO147" s="15"/>
      <c r="AP147" s="15"/>
      <c r="AQ147" s="15"/>
      <c r="AR147" s="15"/>
      <c r="AS147" s="15">
        <f t="shared" si="87"/>
        <v>1</v>
      </c>
      <c r="AT147" s="15" t="s">
        <v>115</v>
      </c>
      <c r="AU147" s="13" t="str">
        <f t="shared" si="80"/>
        <v>0</v>
      </c>
      <c r="AV147" s="15"/>
      <c r="AW147" s="15"/>
      <c r="AX147" s="15"/>
      <c r="AY147" s="15"/>
      <c r="AZ147" s="14"/>
      <c r="BA147" s="15"/>
      <c r="BB147" s="15"/>
      <c r="BC147" s="15"/>
      <c r="BD147" s="13" t="str">
        <f t="shared" si="81"/>
        <v>0</v>
      </c>
      <c r="BE147" s="2"/>
      <c r="BF147" s="2"/>
      <c r="BG147" s="2"/>
      <c r="BH147" s="2"/>
      <c r="BI147" s="2"/>
      <c r="BJ147" s="2"/>
      <c r="BK147" s="2"/>
      <c r="BL147" s="10"/>
      <c r="BM147" t="str" cm="1">
        <f t="array" ref="BM147">_xlfn.IFS(LEFT(G147,1)="L","外注品",LEFT(G147,1)="W","内製品",G147="","購買品")</f>
        <v>購買品</v>
      </c>
    </row>
    <row r="148" spans="1:65">
      <c r="A148" s="2" t="str">
        <f t="shared" si="82"/>
        <v/>
      </c>
      <c r="B148" s="2"/>
      <c r="C148" s="2"/>
      <c r="D148" s="10">
        <f t="shared" si="83"/>
        <v>0</v>
      </c>
      <c r="E148" s="10">
        <f t="shared" si="84"/>
        <v>0</v>
      </c>
      <c r="F148" s="2"/>
      <c r="G148" s="3"/>
      <c r="H148" s="3" t="str" cm="1">
        <f t="array" ref="H148">IFERROR(_xlfn.IFS(B148="","",AND(B148="",G148=""),"",G148="","記載要"),"")</f>
        <v/>
      </c>
      <c r="I148" s="2"/>
      <c r="J148" s="2"/>
      <c r="K148" s="2" t="str">
        <f t="shared" si="76"/>
        <v/>
      </c>
      <c r="L148" s="7" t="str">
        <f t="shared" si="74"/>
        <v/>
      </c>
      <c r="M148" s="7" t="str">
        <f t="shared" si="75"/>
        <v/>
      </c>
      <c r="N148" s="2" t="str">
        <f t="shared" si="85"/>
        <v/>
      </c>
      <c r="O148" s="13" t="str">
        <f t="shared" si="86"/>
        <v/>
      </c>
      <c r="P148" s="15"/>
      <c r="Q148" s="13" t="str" cm="1">
        <f t="array" ref="Q148">_xlfn.IFS(AND(C148="",G148=""),"",LEFT(G148,1)="L","記載要",LEFT(G148,1)="W","",AND(C148,G148=""),"記載要")</f>
        <v/>
      </c>
      <c r="R148" s="18" t="str">
        <f t="shared" ref="R148:R149" si="88">IF(H148="","","記載要")</f>
        <v/>
      </c>
      <c r="S148" s="18" t="str" cm="1">
        <f t="array" ref="S148">_xlfn.IFS(LEFT(G148,1)="L","記載要",LEFT(G148,1)="W","記載要",G148="","")</f>
        <v/>
      </c>
      <c r="T148" s="2"/>
      <c r="U148" s="2"/>
      <c r="V148" s="2"/>
      <c r="W148" s="2"/>
      <c r="X148" s="2"/>
      <c r="Y148" s="2"/>
      <c r="Z148" s="8"/>
      <c r="AA148" s="13" t="str">
        <f t="shared" ref="AA148:AA149" si="89">IF(B148="","",0)</f>
        <v/>
      </c>
      <c r="AB148" s="13" t="str">
        <f t="shared" si="77"/>
        <v/>
      </c>
      <c r="AC148" s="13" t="str">
        <f t="shared" si="78"/>
        <v/>
      </c>
      <c r="AD148" s="15"/>
      <c r="AE148" s="15"/>
      <c r="AF148" s="13" t="str">
        <f t="shared" si="79"/>
        <v/>
      </c>
      <c r="AG148" s="17"/>
      <c r="AH148" s="17"/>
      <c r="AI148" s="15"/>
      <c r="AJ148" s="14"/>
      <c r="AK148" s="15" t="str" cm="1">
        <f t="array" ref="AK148">_xlfn.IFS(B148="","",LEFT(G148,1)="L",1,LEFT(G148,1)="W",1,AND(LEFT(B148,1)="H",G148=""),0)</f>
        <v/>
      </c>
      <c r="AL148" s="15"/>
      <c r="AM148" s="15"/>
      <c r="AN148" s="15"/>
      <c r="AO148" s="15"/>
      <c r="AP148" s="15"/>
      <c r="AQ148" s="15"/>
      <c r="AR148" s="15"/>
      <c r="AS148" s="15" t="str">
        <f t="shared" si="87"/>
        <v/>
      </c>
      <c r="AT148" s="15" t="s">
        <v>115</v>
      </c>
      <c r="AU148" s="13" t="str">
        <f t="shared" si="80"/>
        <v/>
      </c>
      <c r="AV148" s="15"/>
      <c r="AW148" s="15"/>
      <c r="AX148" s="15"/>
      <c r="AY148" s="15"/>
      <c r="AZ148" s="14"/>
      <c r="BA148" s="15"/>
      <c r="BB148" s="15"/>
      <c r="BC148" s="15"/>
      <c r="BD148" s="13" t="str">
        <f t="shared" si="81"/>
        <v/>
      </c>
      <c r="BE148" s="2"/>
      <c r="BF148" s="2"/>
      <c r="BG148" s="2"/>
      <c r="BH148" s="2"/>
      <c r="BI148" s="2"/>
      <c r="BJ148" s="2"/>
      <c r="BK148" s="2"/>
      <c r="BL148" s="10"/>
      <c r="BM148" t="str" cm="1">
        <f t="array" ref="BM148">_xlfn.IFS(LEFT(G148,1)="L","外注品",LEFT(G148,1)="W","内製品",G148="","購買品")</f>
        <v>購買品</v>
      </c>
    </row>
    <row r="149" spans="1:65">
      <c r="A149" s="2" t="str">
        <f t="shared" si="82"/>
        <v/>
      </c>
      <c r="B149" s="2"/>
      <c r="C149" s="2"/>
      <c r="D149" s="10">
        <f t="shared" si="83"/>
        <v>0</v>
      </c>
      <c r="E149" s="10">
        <f t="shared" si="84"/>
        <v>0</v>
      </c>
      <c r="F149" s="2"/>
      <c r="G149" s="3"/>
      <c r="H149" s="3" t="str" cm="1">
        <f t="array" ref="H149">IFERROR(_xlfn.IFS(B149="","",AND(B149="",G149=""),"",G149="","記載要"),"")</f>
        <v/>
      </c>
      <c r="I149" s="2"/>
      <c r="J149" s="2"/>
      <c r="K149" s="2" t="str">
        <f t="shared" si="76"/>
        <v/>
      </c>
      <c r="L149" s="7" t="str">
        <f t="shared" si="74"/>
        <v/>
      </c>
      <c r="M149" s="7" t="str">
        <f t="shared" si="75"/>
        <v/>
      </c>
      <c r="N149" s="2" t="str">
        <f t="shared" si="85"/>
        <v/>
      </c>
      <c r="O149" s="13" t="str">
        <f t="shared" si="86"/>
        <v/>
      </c>
      <c r="P149" s="15"/>
      <c r="Q149" s="13" t="str" cm="1">
        <f t="array" ref="Q149">_xlfn.IFS(AND(C149="",G149=""),"",LEFT(G149,1)="L","記載要",LEFT(G149,1)="W","",AND(C149,G149=""),"記載要")</f>
        <v/>
      </c>
      <c r="R149" s="18" t="str">
        <f t="shared" si="88"/>
        <v/>
      </c>
      <c r="S149" s="18" t="str" cm="1">
        <f t="array" ref="S149">_xlfn.IFS(LEFT(G149,1)="L","記載要",LEFT(G149,1)="W","記載要",G149="","")</f>
        <v/>
      </c>
      <c r="T149" s="2"/>
      <c r="U149" s="2"/>
      <c r="V149" s="2"/>
      <c r="W149" s="2"/>
      <c r="X149" s="2"/>
      <c r="Y149" s="2"/>
      <c r="Z149" s="8"/>
      <c r="AA149" s="13" t="str">
        <f t="shared" si="89"/>
        <v/>
      </c>
      <c r="AB149" s="13" t="str">
        <f t="shared" si="77"/>
        <v/>
      </c>
      <c r="AC149" s="13" t="str">
        <f t="shared" si="78"/>
        <v/>
      </c>
      <c r="AD149" s="15"/>
      <c r="AE149" s="15"/>
      <c r="AF149" s="13" t="str">
        <f t="shared" si="79"/>
        <v/>
      </c>
      <c r="AG149" s="17"/>
      <c r="AH149" s="17"/>
      <c r="AI149" s="15"/>
      <c r="AJ149" s="14"/>
      <c r="AK149" s="15" t="str" cm="1">
        <f t="array" ref="AK149">_xlfn.IFS(B149="","",LEFT(G149,1)="L",1,LEFT(G149,1)="W",1,AND(LEFT(B149,1)="H",G149=""),0)</f>
        <v/>
      </c>
      <c r="AL149" s="15"/>
      <c r="AM149" s="15"/>
      <c r="AN149" s="15"/>
      <c r="AO149" s="15"/>
      <c r="AP149" s="15"/>
      <c r="AQ149" s="15"/>
      <c r="AR149" s="15"/>
      <c r="AS149" s="15" t="str">
        <f t="shared" si="87"/>
        <v/>
      </c>
      <c r="AT149" s="15" t="s">
        <v>115</v>
      </c>
      <c r="AU149" s="13" t="str">
        <f t="shared" si="80"/>
        <v/>
      </c>
      <c r="AV149" s="15"/>
      <c r="AW149" s="15"/>
      <c r="AX149" s="15"/>
      <c r="AY149" s="15"/>
      <c r="AZ149" s="14"/>
      <c r="BA149" s="15"/>
      <c r="BB149" s="15"/>
      <c r="BC149" s="15"/>
      <c r="BD149" s="13" t="str">
        <f t="shared" si="81"/>
        <v/>
      </c>
      <c r="BE149" s="2"/>
      <c r="BF149" s="2"/>
      <c r="BG149" s="2"/>
      <c r="BH149" s="2"/>
      <c r="BI149" s="2"/>
      <c r="BJ149" s="2"/>
      <c r="BK149" s="2"/>
      <c r="BL149" s="10"/>
      <c r="BM149" t="str" cm="1">
        <f t="array" ref="BM149">_xlfn.IFS(LEFT(G149,1)="L","外注品",LEFT(G149,1)="W","内製品",G149="","購買品")</f>
        <v>購買品</v>
      </c>
    </row>
  </sheetData>
  <autoFilter ref="A2:BM149" xr:uid="{00000000-0001-0000-0000-000000000000}"/>
  <phoneticPr fontId="1"/>
  <conditionalFormatting sqref="H3:H14 H19:H22 H27:H149 O3:O149 Q3:S149">
    <cfRule type="expression" dxfId="0" priority="3">
      <formula>H3="記載要"</formula>
    </cfRule>
  </conditionalFormatting>
  <pageMargins left="0.7" right="0.7" top="0.75" bottom="0.75" header="0.3" footer="0.3"/>
  <pageSetup paperSize="8" orientation="portrait" horizontalDpi="4294967293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3711-37C8-4B9A-9BD1-DA26809A06DE}">
  <sheetPr codeName="Sheet2"/>
  <dimension ref="A2:B60"/>
  <sheetViews>
    <sheetView topLeftCell="A34" workbookViewId="0">
      <selection activeCell="A2" sqref="A2:A60"/>
    </sheetView>
  </sheetViews>
  <sheetFormatPr defaultRowHeight="18"/>
  <sheetData>
    <row r="2" spans="1:2">
      <c r="A2">
        <v>1</v>
      </c>
      <c r="B2" t="s">
        <v>56</v>
      </c>
    </row>
    <row r="3" spans="1:2">
      <c r="A3">
        <v>2</v>
      </c>
      <c r="B3" t="s">
        <v>57</v>
      </c>
    </row>
    <row r="4" spans="1:2">
      <c r="A4">
        <v>3</v>
      </c>
      <c r="B4" t="s">
        <v>58</v>
      </c>
    </row>
    <row r="5" spans="1:2">
      <c r="A5">
        <v>4</v>
      </c>
      <c r="B5" t="s">
        <v>59</v>
      </c>
    </row>
    <row r="6" spans="1:2">
      <c r="A6">
        <v>5</v>
      </c>
      <c r="B6" t="s">
        <v>60</v>
      </c>
    </row>
    <row r="7" spans="1:2">
      <c r="A7">
        <v>6</v>
      </c>
      <c r="B7" t="s">
        <v>61</v>
      </c>
    </row>
    <row r="8" spans="1:2">
      <c r="A8">
        <v>7</v>
      </c>
      <c r="B8" t="s">
        <v>62</v>
      </c>
    </row>
    <row r="9" spans="1:2">
      <c r="A9">
        <v>8</v>
      </c>
      <c r="B9" t="s">
        <v>63</v>
      </c>
    </row>
    <row r="10" spans="1:2">
      <c r="A10">
        <v>9</v>
      </c>
      <c r="B10" t="s">
        <v>64</v>
      </c>
    </row>
    <row r="11" spans="1:2">
      <c r="A11">
        <v>10</v>
      </c>
      <c r="B11" t="s">
        <v>65</v>
      </c>
    </row>
    <row r="12" spans="1:2">
      <c r="A12">
        <v>11</v>
      </c>
      <c r="B12" t="s">
        <v>66</v>
      </c>
    </row>
    <row r="13" spans="1:2">
      <c r="A13">
        <v>12</v>
      </c>
      <c r="B13" t="s">
        <v>67</v>
      </c>
    </row>
    <row r="14" spans="1:2">
      <c r="A14">
        <v>13</v>
      </c>
      <c r="B14" t="s">
        <v>68</v>
      </c>
    </row>
    <row r="15" spans="1:2">
      <c r="A15">
        <v>14</v>
      </c>
      <c r="B15" t="s">
        <v>69</v>
      </c>
    </row>
    <row r="16" spans="1:2">
      <c r="A16">
        <v>15</v>
      </c>
      <c r="B16" t="s">
        <v>70</v>
      </c>
    </row>
    <row r="17" spans="1:2">
      <c r="A17">
        <v>16</v>
      </c>
      <c r="B17" t="s">
        <v>71</v>
      </c>
    </row>
    <row r="18" spans="1:2">
      <c r="A18">
        <v>17</v>
      </c>
      <c r="B18" t="s">
        <v>72</v>
      </c>
    </row>
    <row r="19" spans="1:2">
      <c r="A19">
        <v>18</v>
      </c>
      <c r="B19" t="s">
        <v>73</v>
      </c>
    </row>
    <row r="20" spans="1:2">
      <c r="A20">
        <v>19</v>
      </c>
      <c r="B20" t="s">
        <v>74</v>
      </c>
    </row>
    <row r="21" spans="1:2">
      <c r="A21">
        <v>20</v>
      </c>
      <c r="B21" t="s">
        <v>75</v>
      </c>
    </row>
    <row r="22" spans="1:2">
      <c r="A22">
        <v>21</v>
      </c>
      <c r="B22" t="s">
        <v>76</v>
      </c>
    </row>
    <row r="23" spans="1:2">
      <c r="A23">
        <v>22</v>
      </c>
      <c r="B23" t="s">
        <v>77</v>
      </c>
    </row>
    <row r="24" spans="1:2">
      <c r="A24">
        <v>23</v>
      </c>
      <c r="B24" t="s">
        <v>78</v>
      </c>
    </row>
    <row r="25" spans="1:2">
      <c r="A25">
        <v>24</v>
      </c>
      <c r="B25" t="s">
        <v>79</v>
      </c>
    </row>
    <row r="26" spans="1:2">
      <c r="A26">
        <v>25</v>
      </c>
      <c r="B26" t="s">
        <v>80</v>
      </c>
    </row>
    <row r="27" spans="1:2">
      <c r="A27">
        <v>26</v>
      </c>
      <c r="B27" t="s">
        <v>81</v>
      </c>
    </row>
    <row r="28" spans="1:2">
      <c r="A28">
        <v>27</v>
      </c>
      <c r="B28" t="s">
        <v>82</v>
      </c>
    </row>
    <row r="29" spans="1:2">
      <c r="A29">
        <v>28</v>
      </c>
      <c r="B29" t="s">
        <v>83</v>
      </c>
    </row>
    <row r="30" spans="1:2">
      <c r="A30">
        <v>29</v>
      </c>
      <c r="B30" t="s">
        <v>84</v>
      </c>
    </row>
    <row r="31" spans="1:2">
      <c r="A31">
        <v>30</v>
      </c>
      <c r="B31" t="s">
        <v>85</v>
      </c>
    </row>
    <row r="32" spans="1:2">
      <c r="A32">
        <v>31</v>
      </c>
      <c r="B32" t="s">
        <v>86</v>
      </c>
    </row>
    <row r="33" spans="1:2">
      <c r="A33">
        <v>32</v>
      </c>
      <c r="B33" t="s">
        <v>87</v>
      </c>
    </row>
    <row r="34" spans="1:2">
      <c r="A34">
        <v>33</v>
      </c>
      <c r="B34" t="s">
        <v>88</v>
      </c>
    </row>
    <row r="35" spans="1:2">
      <c r="A35">
        <v>34</v>
      </c>
      <c r="B35" t="s">
        <v>89</v>
      </c>
    </row>
    <row r="36" spans="1:2">
      <c r="A36">
        <v>35</v>
      </c>
      <c r="B36" t="s">
        <v>90</v>
      </c>
    </row>
    <row r="37" spans="1:2">
      <c r="A37">
        <v>36</v>
      </c>
      <c r="B37" t="s">
        <v>91</v>
      </c>
    </row>
    <row r="38" spans="1:2">
      <c r="A38">
        <v>37</v>
      </c>
      <c r="B38" t="s">
        <v>92</v>
      </c>
    </row>
    <row r="39" spans="1:2">
      <c r="A39">
        <v>38</v>
      </c>
      <c r="B39" t="s">
        <v>93</v>
      </c>
    </row>
    <row r="40" spans="1:2">
      <c r="A40">
        <v>39</v>
      </c>
      <c r="B40" t="s">
        <v>94</v>
      </c>
    </row>
    <row r="41" spans="1:2">
      <c r="A41">
        <v>40</v>
      </c>
      <c r="B41" t="s">
        <v>95</v>
      </c>
    </row>
    <row r="42" spans="1:2">
      <c r="A42">
        <v>41</v>
      </c>
      <c r="B42" t="s">
        <v>96</v>
      </c>
    </row>
    <row r="43" spans="1:2">
      <c r="A43">
        <v>42</v>
      </c>
      <c r="B43" t="s">
        <v>97</v>
      </c>
    </row>
    <row r="44" spans="1:2">
      <c r="A44">
        <v>43</v>
      </c>
      <c r="B44" t="s">
        <v>98</v>
      </c>
    </row>
    <row r="45" spans="1:2">
      <c r="A45">
        <v>44</v>
      </c>
      <c r="B45" t="s">
        <v>99</v>
      </c>
    </row>
    <row r="46" spans="1:2">
      <c r="A46">
        <v>45</v>
      </c>
      <c r="B46" t="s">
        <v>100</v>
      </c>
    </row>
    <row r="47" spans="1:2">
      <c r="A47">
        <v>46</v>
      </c>
      <c r="B47" t="s">
        <v>101</v>
      </c>
    </row>
    <row r="48" spans="1:2">
      <c r="A48">
        <v>47</v>
      </c>
      <c r="B48" t="s">
        <v>102</v>
      </c>
    </row>
    <row r="49" spans="1:2">
      <c r="A49">
        <v>48</v>
      </c>
      <c r="B49" t="s">
        <v>103</v>
      </c>
    </row>
    <row r="50" spans="1:2">
      <c r="A50">
        <v>49</v>
      </c>
      <c r="B50" t="s">
        <v>104</v>
      </c>
    </row>
    <row r="51" spans="1:2">
      <c r="A51">
        <v>50</v>
      </c>
      <c r="B51" t="s">
        <v>105</v>
      </c>
    </row>
    <row r="52" spans="1:2">
      <c r="A52">
        <v>51</v>
      </c>
      <c r="B52" t="s">
        <v>106</v>
      </c>
    </row>
    <row r="53" spans="1:2">
      <c r="A53">
        <v>52</v>
      </c>
      <c r="B53" t="s">
        <v>107</v>
      </c>
    </row>
    <row r="54" spans="1:2">
      <c r="A54">
        <v>53</v>
      </c>
      <c r="B54" t="s">
        <v>108</v>
      </c>
    </row>
    <row r="55" spans="1:2">
      <c r="A55">
        <v>54</v>
      </c>
      <c r="B55" t="s">
        <v>109</v>
      </c>
    </row>
    <row r="56" spans="1:2">
      <c r="A56">
        <v>55</v>
      </c>
      <c r="B56" t="s">
        <v>110</v>
      </c>
    </row>
    <row r="57" spans="1:2">
      <c r="A57">
        <v>56</v>
      </c>
      <c r="B57" t="s">
        <v>111</v>
      </c>
    </row>
    <row r="58" spans="1:2">
      <c r="A58">
        <v>57</v>
      </c>
      <c r="B58" t="s">
        <v>112</v>
      </c>
    </row>
    <row r="59" spans="1:2">
      <c r="A59">
        <v>58</v>
      </c>
      <c r="B59" t="s">
        <v>113</v>
      </c>
    </row>
    <row r="60" spans="1:2">
      <c r="A60">
        <v>59</v>
      </c>
      <c r="B60" t="s">
        <v>114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芦原 顕一</cp:lastModifiedBy>
  <cp:lastPrinted>2025-01-16T04:18:01Z</cp:lastPrinted>
  <dcterms:created xsi:type="dcterms:W3CDTF">2024-10-21T09:11:57Z</dcterms:created>
  <dcterms:modified xsi:type="dcterms:W3CDTF">2025-07-29T12:45:25Z</dcterms:modified>
</cp:coreProperties>
</file>